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Nikon\"/>
    </mc:Choice>
  </mc:AlternateContent>
  <xr:revisionPtr revIDLastSave="0" documentId="13_ncr:1_{A76B0020-4915-479A-AE6F-9BAC32B44330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Camera Database" sheetId="10" r:id="rId1"/>
    <sheet name="OperationCode" sheetId="1" r:id="rId2"/>
    <sheet name="ResponseCode" sheetId="3" r:id="rId3"/>
    <sheet name="EventCode" sheetId="4" r:id="rId4"/>
    <sheet name="DevicePropCode" sheetId="5" r:id="rId5"/>
    <sheet name="ObjectPropCode" sheetId="6" r:id="rId6"/>
    <sheet name="DataSet" sheetId="8" r:id="rId7"/>
    <sheet name="LiveViewDataSet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30" i="10" l="1"/>
  <c r="AQ31" i="10"/>
  <c r="AQ32" i="10"/>
  <c r="AQ33" i="10"/>
  <c r="AQ34" i="10"/>
  <c r="AQ35" i="10"/>
  <c r="AR5" i="10" a="1"/>
  <c r="AR5" i="10" s="1"/>
  <c r="AQ5" i="10" s="1"/>
  <c r="AR6" i="10" a="1"/>
  <c r="AR6" i="10" s="1"/>
  <c r="AQ6" i="10" s="1"/>
  <c r="AR7" i="10" a="1"/>
  <c r="AR7" i="10" s="1"/>
  <c r="AQ7" i="10" s="1"/>
  <c r="AR8" i="10" a="1"/>
  <c r="AR8" i="10" s="1"/>
  <c r="AQ8" i="10" s="1"/>
  <c r="AR9" i="10" a="1"/>
  <c r="AR9" i="10" s="1"/>
  <c r="AQ9" i="10" s="1"/>
  <c r="AR10" i="10" a="1"/>
  <c r="AR10" i="10" s="1"/>
  <c r="AQ10" i="10" s="1"/>
  <c r="AR11" i="10" a="1"/>
  <c r="AR11" i="10" s="1"/>
  <c r="AQ11" i="10" s="1"/>
  <c r="AR12" i="10" a="1"/>
  <c r="AR12" i="10" s="1"/>
  <c r="AQ12" i="10" s="1"/>
  <c r="AR13" i="10" a="1"/>
  <c r="AR13" i="10" s="1"/>
  <c r="AQ13" i="10" s="1"/>
  <c r="AR14" i="10" a="1"/>
  <c r="AR14" i="10" s="1"/>
  <c r="AQ14" i="10" s="1"/>
  <c r="AR15" i="10" a="1"/>
  <c r="AR15" i="10" s="1"/>
  <c r="AQ15" i="10" s="1"/>
  <c r="AR16" i="10" a="1"/>
  <c r="AR16" i="10" s="1"/>
  <c r="AQ16" i="10" s="1"/>
  <c r="AR17" i="10" a="1"/>
  <c r="AR17" i="10" s="1"/>
  <c r="AQ17" i="10" s="1"/>
  <c r="AR18" i="10" a="1"/>
  <c r="AR18" i="10" s="1"/>
  <c r="AQ18" i="10" s="1"/>
  <c r="AR19" i="10" a="1"/>
  <c r="AR19" i="10" s="1"/>
  <c r="AQ19" i="10" s="1"/>
  <c r="AR20" i="10" a="1"/>
  <c r="AR20" i="10" s="1"/>
  <c r="AQ20" i="10" s="1"/>
  <c r="AR21" i="10" a="1"/>
  <c r="AR21" i="10" s="1"/>
  <c r="AQ21" i="10" s="1"/>
  <c r="AR22" i="10" a="1"/>
  <c r="AR22" i="10" s="1"/>
  <c r="AQ22" i="10" s="1"/>
  <c r="AR23" i="10" a="1"/>
  <c r="AR23" i="10" s="1"/>
  <c r="AQ23" i="10" s="1"/>
  <c r="AR24" i="10" a="1"/>
  <c r="AR24" i="10" s="1"/>
  <c r="AQ24" i="10" s="1"/>
  <c r="AR25" i="10" a="1"/>
  <c r="AR25" i="10" s="1"/>
  <c r="AQ25" i="10" s="1"/>
  <c r="AR26" i="10" a="1"/>
  <c r="AR26" i="10" s="1"/>
  <c r="AQ26" i="10" s="1"/>
  <c r="AR27" i="10" a="1"/>
  <c r="AR27" i="10" s="1"/>
  <c r="AQ27" i="10" s="1"/>
  <c r="AR28" i="10" a="1"/>
  <c r="AR28" i="10" s="1"/>
  <c r="AQ28" i="10" s="1"/>
  <c r="AR29" i="10" a="1"/>
  <c r="AR29" i="10" s="1"/>
  <c r="AQ29" i="10" s="1"/>
  <c r="AR36" i="10" a="1"/>
  <c r="AR36" i="10" s="1"/>
  <c r="AQ36" i="10" s="1"/>
  <c r="AR37" i="10" a="1"/>
  <c r="AR37" i="10" s="1"/>
  <c r="AQ37" i="10" s="1"/>
  <c r="AR38" i="10" a="1"/>
  <c r="AR38" i="10" s="1"/>
  <c r="AQ38" i="10" s="1"/>
  <c r="AR39" i="10" a="1"/>
  <c r="AR39" i="10" s="1"/>
  <c r="AQ39" i="10" s="1"/>
  <c r="AR40" i="10" a="1"/>
  <c r="AR40" i="10" s="1"/>
  <c r="AQ40" i="10" s="1"/>
  <c r="AR41" i="10" a="1"/>
  <c r="AR41" i="10" s="1"/>
  <c r="AQ41" i="10" s="1"/>
  <c r="AR42" i="10" a="1"/>
  <c r="AR42" i="10" s="1"/>
  <c r="AQ42" i="10" s="1"/>
  <c r="AR43" i="10" a="1"/>
  <c r="AR43" i="10" s="1"/>
  <c r="AQ43" i="10" s="1"/>
  <c r="AR44" i="10" a="1"/>
  <c r="AR44" i="10" s="1"/>
  <c r="AQ44" i="10" s="1"/>
  <c r="AR45" i="10" a="1"/>
  <c r="AR45" i="10" s="1"/>
  <c r="AQ45" i="10" s="1"/>
  <c r="AR46" i="10" a="1"/>
  <c r="AR46" i="10" s="1"/>
  <c r="AQ46" i="10" s="1"/>
  <c r="AR47" i="10" a="1"/>
  <c r="AR47" i="10" s="1"/>
  <c r="AQ47" i="10" s="1"/>
  <c r="AR48" i="10" a="1"/>
  <c r="AR48" i="10" s="1"/>
  <c r="AQ48" i="10" s="1"/>
  <c r="AR49" i="10" a="1"/>
  <c r="AR49" i="10" s="1"/>
  <c r="AQ49" i="10" s="1"/>
  <c r="AR50" i="10" a="1"/>
  <c r="AR50" i="10" s="1"/>
  <c r="AQ50" i="10" s="1"/>
  <c r="AR51" i="10" a="1"/>
  <c r="AR51" i="10" s="1"/>
  <c r="AQ51" i="10" s="1"/>
  <c r="AR52" i="10" a="1"/>
  <c r="AR52" i="10" s="1"/>
  <c r="AQ52" i="10" s="1"/>
  <c r="AR53" i="10" a="1"/>
  <c r="AR53" i="10" s="1"/>
  <c r="AQ53" i="10" s="1"/>
  <c r="AR54" i="10" a="1"/>
  <c r="AR54" i="10" s="1"/>
  <c r="AQ54" i="10" s="1"/>
  <c r="AR55" i="10" a="1"/>
  <c r="AR55" i="10" s="1"/>
  <c r="AQ55" i="10" s="1"/>
  <c r="AR56" i="10" a="1"/>
  <c r="AR56" i="10" s="1"/>
  <c r="AQ56" i="10" s="1"/>
  <c r="AR57" i="10" a="1"/>
  <c r="AR57" i="10" s="1"/>
  <c r="AQ57" i="10" s="1"/>
  <c r="AR58" i="10" a="1"/>
  <c r="AR58" i="10" s="1"/>
  <c r="AQ58" i="10" s="1"/>
  <c r="AR59" i="10" a="1"/>
  <c r="AR59" i="10" s="1"/>
  <c r="AQ59" i="10" s="1"/>
  <c r="AR60" i="10" a="1"/>
  <c r="AR60" i="10" s="1"/>
  <c r="AQ60" i="10" s="1"/>
  <c r="AR4" i="10" a="1"/>
  <c r="AR4" i="10" s="1"/>
  <c r="AQ4" i="10" s="1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" i="6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3" i="3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3" i="1"/>
  <c r="C3" i="4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K3" i="1"/>
  <c r="J3" i="4"/>
  <c r="AQ1" i="10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<sst xmlns="http://schemas.openxmlformats.org/spreadsheetml/2006/main" count="2731" uniqueCount="1476">
  <si>
    <t>Description</t>
  </si>
  <si>
    <t>0x1001</t>
  </si>
  <si>
    <t>0x1002</t>
  </si>
  <si>
    <t>0x1003</t>
  </si>
  <si>
    <t>0x1004</t>
  </si>
  <si>
    <t>0x1005</t>
  </si>
  <si>
    <t>0x1006</t>
  </si>
  <si>
    <t>0x1007</t>
  </si>
  <si>
    <t>0x1008</t>
  </si>
  <si>
    <t>0x1009</t>
  </si>
  <si>
    <t>0x100A</t>
  </si>
  <si>
    <t>0x100B</t>
  </si>
  <si>
    <t>0x100C</t>
  </si>
  <si>
    <t>0x100D</t>
  </si>
  <si>
    <t>0x100E</t>
  </si>
  <si>
    <t>0x100F</t>
  </si>
  <si>
    <t>GetDeviceInfo</t>
  </si>
  <si>
    <t>OpenSession</t>
  </si>
  <si>
    <t>GetStorageIDs</t>
  </si>
  <si>
    <t>GetStorageInfo</t>
  </si>
  <si>
    <t>GetNumObjects</t>
  </si>
  <si>
    <t>GetObjectHandles</t>
  </si>
  <si>
    <t>GetObjectInfo</t>
  </si>
  <si>
    <t>GetObject</t>
  </si>
  <si>
    <t>CloseSession</t>
  </si>
  <si>
    <t>GetThumb</t>
  </si>
  <si>
    <t>DeleteObject</t>
  </si>
  <si>
    <t>SendObjectInfo</t>
  </si>
  <si>
    <t>SendObject</t>
  </si>
  <si>
    <t>InitiateCapture</t>
  </si>
  <si>
    <t>FormatStore</t>
  </si>
  <si>
    <t>0x1014</t>
  </si>
  <si>
    <t>0x1015</t>
  </si>
  <si>
    <t>0x1016</t>
  </si>
  <si>
    <t>0x101B</t>
  </si>
  <si>
    <t>GetDevicePropDesc</t>
  </si>
  <si>
    <t>GetDevicePropValue</t>
  </si>
  <si>
    <t>SetDevicePropValue</t>
  </si>
  <si>
    <t>GetPartialObject</t>
  </si>
  <si>
    <t>InitiateCaptureRecInSdram</t>
  </si>
  <si>
    <t>0x90C0</t>
  </si>
  <si>
    <t>0x90C2</t>
  </si>
  <si>
    <t>0x90C1</t>
  </si>
  <si>
    <t>0x90C3</t>
  </si>
  <si>
    <t>0x90C4</t>
  </si>
  <si>
    <t>0x90C7</t>
  </si>
  <si>
    <t>0x90C8</t>
  </si>
  <si>
    <t>0x90C9</t>
  </si>
  <si>
    <t>0x90CB</t>
  </si>
  <si>
    <t>0x90CC</t>
  </si>
  <si>
    <t>0x90CD</t>
  </si>
  <si>
    <t>0x90CE</t>
  </si>
  <si>
    <t>0x90CF</t>
  </si>
  <si>
    <t>0x9201</t>
  </si>
  <si>
    <t>0x9202</t>
  </si>
  <si>
    <t>0x9203</t>
  </si>
  <si>
    <t>AfDrive</t>
  </si>
  <si>
    <t>ChangeCameraMode</t>
  </si>
  <si>
    <t>DeleteImagesInSdram</t>
  </si>
  <si>
    <t>GetLargeThumb</t>
  </si>
  <si>
    <t>GetEvent</t>
  </si>
  <si>
    <t>DeviceReady</t>
  </si>
  <si>
    <t>SetPreWbData</t>
  </si>
  <si>
    <t>AfAndCaptureRecInSdram</t>
  </si>
  <si>
    <t>GetPicCtrlData</t>
  </si>
  <si>
    <t>SetPicCtrlData</t>
  </si>
  <si>
    <t>DeleteCustomPicCtrl</t>
  </si>
  <si>
    <t>GetPicCtrlCapability</t>
  </si>
  <si>
    <t>StartLiveView</t>
  </si>
  <si>
    <t>EndLiveView</t>
  </si>
  <si>
    <t>GetLiveViewImage</t>
  </si>
  <si>
    <t>MfDrive</t>
  </si>
  <si>
    <t>0x9204</t>
  </si>
  <si>
    <t>0x9205</t>
  </si>
  <si>
    <t>0x9206</t>
  </si>
  <si>
    <t>0x9207</t>
  </si>
  <si>
    <t>0x9209</t>
  </si>
  <si>
    <t>ChangeAfArea</t>
  </si>
  <si>
    <t>AfDriveCancel</t>
  </si>
  <si>
    <t>InitiateCaptureRecInMedia</t>
  </si>
  <si>
    <t>GetVendorStorageIDs</t>
  </si>
  <si>
    <t>0x920A</t>
  </si>
  <si>
    <t>0x920B</t>
  </si>
  <si>
    <t>0x920C</t>
  </si>
  <si>
    <t>0x920F</t>
  </si>
  <si>
    <t>EndMovieRecord</t>
  </si>
  <si>
    <t>StartMovieRecord</t>
  </si>
  <si>
    <t>TerminateCapture</t>
  </si>
  <si>
    <t>GetFhdPicture</t>
  </si>
  <si>
    <t>GetPartialObjectHighSpeed</t>
  </si>
  <si>
    <t>GetIPTCInfo</t>
  </si>
  <si>
    <t>StartSpotWb</t>
  </si>
  <si>
    <t>EndSpotWb</t>
  </si>
  <si>
    <t>ChangeSpotWbArea</t>
  </si>
  <si>
    <t>MeasureSpotWb</t>
  </si>
  <si>
    <t>EndSpotWbResultDisp</t>
  </si>
  <si>
    <t>0x9400</t>
  </si>
  <si>
    <t>0x9401</t>
  </si>
  <si>
    <t>0x9402</t>
  </si>
  <si>
    <t>0x9403</t>
  </si>
  <si>
    <t>0x9404</t>
  </si>
  <si>
    <t>0x9405</t>
  </si>
  <si>
    <t>0x9406</t>
  </si>
  <si>
    <t>0x940C</t>
  </si>
  <si>
    <t>CancelImagesInSdram</t>
  </si>
  <si>
    <t>0x9412</t>
  </si>
  <si>
    <t>0x9413</t>
  </si>
  <si>
    <t>GetIPTCPresetInfo</t>
  </si>
  <si>
    <t>SetIPTCPresetInfo</t>
  </si>
  <si>
    <t>0x9414</t>
  </si>
  <si>
    <t>0x9415</t>
  </si>
  <si>
    <t>0x9416</t>
  </si>
  <si>
    <t>0x9417</t>
  </si>
  <si>
    <t>0x9418</t>
  </si>
  <si>
    <t>0x9419</t>
  </si>
  <si>
    <t>0x941A</t>
  </si>
  <si>
    <t>0x941B</t>
  </si>
  <si>
    <t>0x941C</t>
  </si>
  <si>
    <t>GetSBHandles</t>
  </si>
  <si>
    <t>GetSBAttrDesc</t>
  </si>
  <si>
    <t>GetSBAttrValue</t>
  </si>
  <si>
    <t>SetSBAttrValue</t>
  </si>
  <si>
    <t>GetSBGroupAttrDesc</t>
  </si>
  <si>
    <t>GetSBGroupAttrValue</t>
  </si>
  <si>
    <t>SetSBGroupAttrValue</t>
  </si>
  <si>
    <t>TestFlash</t>
  </si>
  <si>
    <t>GetEventEx</t>
  </si>
  <si>
    <t>0x9420</t>
  </si>
  <si>
    <t>0x9421</t>
  </si>
  <si>
    <t>0x9422</t>
  </si>
  <si>
    <t>0x9423</t>
  </si>
  <si>
    <t>0x9424</t>
  </si>
  <si>
    <t>0x9425</t>
  </si>
  <si>
    <t>0x9426</t>
  </si>
  <si>
    <t>0x9428</t>
  </si>
  <si>
    <t>GetObjectSize</t>
  </si>
  <si>
    <t>SaveCameraSetting</t>
  </si>
  <si>
    <t>ChangeMonitorOff</t>
  </si>
  <si>
    <t>GetLiveViewCompressedSize</t>
  </si>
  <si>
    <t>StartTracking</t>
  </si>
  <si>
    <t>EndTracking</t>
  </si>
  <si>
    <t>ChangeAELock</t>
  </si>
  <si>
    <t>GetLiveViewImageEx</t>
  </si>
  <si>
    <t>GetHLGQualityData</t>
  </si>
  <si>
    <t>SetHLGQualityData</t>
  </si>
  <si>
    <t>0x942E</t>
  </si>
  <si>
    <t>0x942F</t>
  </si>
  <si>
    <t>OperationCode</t>
  </si>
  <si>
    <t>0x9431</t>
  </si>
  <si>
    <t>0x9433</t>
  </si>
  <si>
    <t>0x9434</t>
  </si>
  <si>
    <t>0x9435</t>
  </si>
  <si>
    <t>0x9436</t>
  </si>
  <si>
    <t>0x9439</t>
  </si>
  <si>
    <t>GetPartialObjectEx</t>
  </si>
  <si>
    <t>InitiatePixelMapping</t>
  </si>
  <si>
    <t>GetObjectsMetaData</t>
  </si>
  <si>
    <t>ChangeApplicationMode</t>
  </si>
  <si>
    <t>ResetMenu</t>
  </si>
  <si>
    <t>GetVendorCodes</t>
  </si>
  <si>
    <t>0x943A</t>
  </si>
  <si>
    <t>0x943B</t>
  </si>
  <si>
    <t>0x943C</t>
  </si>
  <si>
    <t>0x943D</t>
  </si>
  <si>
    <t>GetDevicePropDescEx</t>
  </si>
  <si>
    <t>GetDevicePropValueEx</t>
  </si>
  <si>
    <t>SetDevicePropValueEx</t>
  </si>
  <si>
    <t>RegisterDevicePropGroup</t>
  </si>
  <si>
    <t>0x943E</t>
  </si>
  <si>
    <t>0x943F</t>
  </si>
  <si>
    <t>0x9440</t>
  </si>
  <si>
    <t>0x9441</t>
  </si>
  <si>
    <t>0x9442</t>
  </si>
  <si>
    <t>0x9443</t>
  </si>
  <si>
    <t>0x9444</t>
  </si>
  <si>
    <t>0x9445</t>
  </si>
  <si>
    <t>0x9446</t>
  </si>
  <si>
    <t>0x9447</t>
  </si>
  <si>
    <t>GetDevicePropDescList</t>
  </si>
  <si>
    <t>GetDevicePropValueList</t>
  </si>
  <si>
    <t>OperationDataNone</t>
  </si>
  <si>
    <t>OperationReceiveData</t>
  </si>
  <si>
    <t>OperationSendData</t>
  </si>
  <si>
    <t>GetPicCtrlDataList</t>
  </si>
  <si>
    <t>GetPicCtrlCapabilityList</t>
  </si>
  <si>
    <t>InitiateOpenCaptureV</t>
  </si>
  <si>
    <t>TerminateOpenCaptureV</t>
  </si>
  <si>
    <t>GetOpenCaptureInfo</t>
  </si>
  <si>
    <t>0x944C</t>
  </si>
  <si>
    <t>GetCommandFeature</t>
  </si>
  <si>
    <t>0x944D</t>
  </si>
  <si>
    <t>GetPicCtrlHlgDataList</t>
  </si>
  <si>
    <t>0x944E</t>
  </si>
  <si>
    <t>SetPicCtrlHlgData</t>
  </si>
  <si>
    <t>0x944F</t>
  </si>
  <si>
    <t>GetPicCtrlHlgCapabilityList</t>
  </si>
  <si>
    <t>0x9453</t>
  </si>
  <si>
    <t>SetPortraitImpressionBalanceData</t>
  </si>
  <si>
    <t>0x9454</t>
  </si>
  <si>
    <t>GetPortraitImpressionBalanceDataList</t>
  </si>
  <si>
    <t>0x9461</t>
  </si>
  <si>
    <t>ClearEvent</t>
  </si>
  <si>
    <t>0x9463</t>
  </si>
  <si>
    <t>SetFlickerReductionShutterSpeed</t>
  </si>
  <si>
    <t>0x9464</t>
  </si>
  <si>
    <t>PowerZoomDrive</t>
  </si>
  <si>
    <t>0x946D</t>
  </si>
  <si>
    <t>GetCameraSettingData</t>
  </si>
  <si>
    <t>0x946E</t>
  </si>
  <si>
    <t>SendCameraSettingData</t>
  </si>
  <si>
    <t>0x9470</t>
  </si>
  <si>
    <t>GetManualSettingLensData2</t>
  </si>
  <si>
    <t>0x9801</t>
  </si>
  <si>
    <t>GetObjectPropsSupported</t>
  </si>
  <si>
    <t>0x9802</t>
  </si>
  <si>
    <t>GetObjectPropDesc</t>
  </si>
  <si>
    <t>0x9803</t>
  </si>
  <si>
    <t>GetObjectPropValue</t>
  </si>
  <si>
    <t>0x9805</t>
  </si>
  <si>
    <t>GetObjectPropList</t>
  </si>
  <si>
    <t>Output C++:</t>
  </si>
  <si>
    <t>0x2001</t>
  </si>
  <si>
    <t>0x2002</t>
  </si>
  <si>
    <t>0x2003</t>
  </si>
  <si>
    <t>0x2004</t>
  </si>
  <si>
    <t>0x2005</t>
  </si>
  <si>
    <t>0x2006</t>
  </si>
  <si>
    <t>0x2007</t>
  </si>
  <si>
    <t>0x2008</t>
  </si>
  <si>
    <t>0x2009</t>
  </si>
  <si>
    <t>OK</t>
  </si>
  <si>
    <t>General_Error</t>
  </si>
  <si>
    <t>Session_Not_Open</t>
  </si>
  <si>
    <t>Invalid_TransactionID</t>
  </si>
  <si>
    <t>Operation_Not_Supported</t>
  </si>
  <si>
    <t>Parameter_Not_Supported</t>
  </si>
  <si>
    <t>Incomplete_Transfer</t>
  </si>
  <si>
    <t>Invalid_StorageID</t>
  </si>
  <si>
    <t>Invalid_Object_Handle</t>
  </si>
  <si>
    <t>DeviceProp_Not_Supported</t>
  </si>
  <si>
    <t>Invalid_ObjectFormatCode</t>
  </si>
  <si>
    <t>Store_Full</t>
  </si>
  <si>
    <t>Object_Write_Protect</t>
  </si>
  <si>
    <t>Store_Read_Only</t>
  </si>
  <si>
    <t>Access_Denied</t>
  </si>
  <si>
    <t>0x200A</t>
  </si>
  <si>
    <t>0x200B</t>
  </si>
  <si>
    <t>0x200C</t>
  </si>
  <si>
    <t>0x200D</t>
  </si>
  <si>
    <t>0x200E</t>
  </si>
  <si>
    <t>0x200F</t>
  </si>
  <si>
    <t>0x2010</t>
  </si>
  <si>
    <t>0x2012</t>
  </si>
  <si>
    <t>0x2013</t>
  </si>
  <si>
    <t>0x2014</t>
  </si>
  <si>
    <t>0x2015</t>
  </si>
  <si>
    <t>0x2018</t>
  </si>
  <si>
    <t>0x2019</t>
  </si>
  <si>
    <t>0x201A</t>
  </si>
  <si>
    <t>0x201B</t>
  </si>
  <si>
    <t>0x201C</t>
  </si>
  <si>
    <t>0x201D</t>
  </si>
  <si>
    <t>0x201E</t>
  </si>
  <si>
    <t>0x201F</t>
  </si>
  <si>
    <t>No_Thumbnail_Present</t>
  </si>
  <si>
    <t>Partial_Deletion</t>
  </si>
  <si>
    <t>Store_Not_Available</t>
  </si>
  <si>
    <t>Specification_By_Format_Unsupported</t>
  </si>
  <si>
    <t>No_Valid_ObjectInfo</t>
  </si>
  <si>
    <t>Capture_Already_Terminated</t>
  </si>
  <si>
    <t>Device_Busy</t>
  </si>
  <si>
    <t>Invalid_Parent_Object</t>
  </si>
  <si>
    <t>Invalid_DeviceProp_Format</t>
  </si>
  <si>
    <t>Invalid_DeviceProp_Value</t>
  </si>
  <si>
    <t>Invalid_Parameter</t>
  </si>
  <si>
    <t>Session_Already_Open</t>
  </si>
  <si>
    <t>Transaction_Cancelled</t>
  </si>
  <si>
    <t>0x2020</t>
  </si>
  <si>
    <t>Specification_of_Destination_Unsupported</t>
  </si>
  <si>
    <t>0xA001</t>
  </si>
  <si>
    <t>Hardware_Error</t>
  </si>
  <si>
    <t>0xA002</t>
  </si>
  <si>
    <t>Out_of_Focus</t>
  </si>
  <si>
    <t>0xA003</t>
  </si>
  <si>
    <t>Change_CameraMode_Failed</t>
  </si>
  <si>
    <t>0xA004</t>
  </si>
  <si>
    <t>Invalid_Status</t>
  </si>
  <si>
    <t>0xA006</t>
  </si>
  <si>
    <t>Wb_Preset_Error</t>
  </si>
  <si>
    <t>0xA007</t>
  </si>
  <si>
    <t>Dust_Reference_Error</t>
  </si>
  <si>
    <t>0xA008</t>
  </si>
  <si>
    <t>Shutter_Speed_Bulb</t>
  </si>
  <si>
    <t>0xA00A</t>
  </si>
  <si>
    <t>CameraMode_Not_Adjust_Fnumber</t>
  </si>
  <si>
    <t>0xA00B</t>
  </si>
  <si>
    <t>Not_LiveView</t>
  </si>
  <si>
    <t>0xA00C</t>
  </si>
  <si>
    <t>MfDrive_Step_End</t>
  </si>
  <si>
    <t>0xA00E</t>
  </si>
  <si>
    <t>MfDrive_Step_Insufficiency</t>
  </si>
  <si>
    <t>0xA00F</t>
  </si>
  <si>
    <t>No_FullHD_Present</t>
  </si>
  <si>
    <t>0xA021</t>
  </si>
  <si>
    <t>Store_Error</t>
  </si>
  <si>
    <t>0xA022</t>
  </si>
  <si>
    <t>Store_Unformatted</t>
  </si>
  <si>
    <t>0xA200</t>
  </si>
  <si>
    <t>Bulb_Release_Busy</t>
  </si>
  <si>
    <t>0xA201</t>
  </si>
  <si>
    <t>Silent_Release_Busy</t>
  </si>
  <si>
    <t>0xA202</t>
  </si>
  <si>
    <t>MovieFrame_Release_Busy</t>
  </si>
  <si>
    <t>0xA204</t>
  </si>
  <si>
    <t>Shutter_Speed_Time</t>
  </si>
  <si>
    <t>0xA209</t>
  </si>
  <si>
    <t>Invalid_SBAttribute_Value</t>
  </si>
  <si>
    <t>0xA210</t>
  </si>
  <si>
    <t>Invalid_Data</t>
  </si>
  <si>
    <t>0xA801</t>
  </si>
  <si>
    <t>Invalid_ObjectPropCode</t>
  </si>
  <si>
    <t>0xA802</t>
  </si>
  <si>
    <t>Invalid_ObjectProp_Format</t>
  </si>
  <si>
    <t>0xA80A</t>
  </si>
  <si>
    <t>ObjectProp_Not_Supported</t>
  </si>
  <si>
    <t>ResponseCode</t>
  </si>
  <si>
    <t>EventCode</t>
  </si>
  <si>
    <t>0x4001</t>
  </si>
  <si>
    <t>0x4002</t>
  </si>
  <si>
    <t>0x4003</t>
  </si>
  <si>
    <t>0x4004</t>
  </si>
  <si>
    <t>0x4005</t>
  </si>
  <si>
    <t>0x4006</t>
  </si>
  <si>
    <t>0x4007</t>
  </si>
  <si>
    <t>0x4008</t>
  </si>
  <si>
    <t>0x4009</t>
  </si>
  <si>
    <t>0x400A</t>
  </si>
  <si>
    <t>0x400C</t>
  </si>
  <si>
    <t>0x400D</t>
  </si>
  <si>
    <t>CancelTransaction</t>
  </si>
  <si>
    <t>ObjectAdded</t>
  </si>
  <si>
    <t>ObjectRemoved</t>
  </si>
  <si>
    <t>StoreAdded</t>
  </si>
  <si>
    <t>StoreRemoved</t>
  </si>
  <si>
    <t>DevicePropChanged</t>
  </si>
  <si>
    <t>ObjectInfoChanged</t>
  </si>
  <si>
    <t>DeviceInfoChanged</t>
  </si>
  <si>
    <t>RequestObjectTransfer</t>
  </si>
  <si>
    <t>StoreFull</t>
  </si>
  <si>
    <t>StorageInfoChanged</t>
  </si>
  <si>
    <t>CaptureComplete</t>
  </si>
  <si>
    <t>ObjectAddedInSdram</t>
  </si>
  <si>
    <t>CaptureCompleteRecInSdram</t>
  </si>
  <si>
    <t>CaptureSkip</t>
  </si>
  <si>
    <t>MovieRecordInterrupted</t>
  </si>
  <si>
    <t>MovieRecordComplete</t>
  </si>
  <si>
    <t>MovieRecordStarted</t>
  </si>
  <si>
    <t>PictureControlAdjustChanged</t>
  </si>
  <si>
    <t>LiveViewStateChanged</t>
  </si>
  <si>
    <t>PixelMappingComplete</t>
  </si>
  <si>
    <t>ManualSettingLensDataChanged</t>
  </si>
  <si>
    <t>OpenCaptureComplete</t>
  </si>
  <si>
    <t>SBAdded</t>
  </si>
  <si>
    <t>SBRemoved</t>
  </si>
  <si>
    <t>SBAttrChanged</t>
  </si>
  <si>
    <t>SBGroupAttrChanged</t>
  </si>
  <si>
    <t>HlgQualityAdjustChanged</t>
  </si>
  <si>
    <t>PortraitImpressionBalanceAdjustChanged</t>
  </si>
  <si>
    <t>PictureControlHlgAdjustChanged</t>
  </si>
  <si>
    <t>0xC101</t>
  </si>
  <si>
    <t>0xC102</t>
  </si>
  <si>
    <t>0xC103</t>
  </si>
  <si>
    <t>0xC105</t>
  </si>
  <si>
    <t>0xC108</t>
  </si>
  <si>
    <t>0xC10A</t>
  </si>
  <si>
    <t>0xC10B</t>
  </si>
  <si>
    <t>0xC10C</t>
  </si>
  <si>
    <t>0xC10D</t>
  </si>
  <si>
    <t>0xC10E</t>
  </si>
  <si>
    <t>0xC120</t>
  </si>
  <si>
    <t>0xC10F</t>
  </si>
  <si>
    <t>0xC121</t>
  </si>
  <si>
    <t>0xC122</t>
  </si>
  <si>
    <t>0xC123</t>
  </si>
  <si>
    <t>0xC125</t>
  </si>
  <si>
    <t>0xC126</t>
  </si>
  <si>
    <t>0xC127</t>
  </si>
  <si>
    <t>DevicePropCode</t>
  </si>
  <si>
    <t>0x5001</t>
  </si>
  <si>
    <t>BatteryLevel</t>
  </si>
  <si>
    <t>0x5003</t>
  </si>
  <si>
    <t>ImageSize</t>
  </si>
  <si>
    <t>0x5004</t>
  </si>
  <si>
    <t>CompressionSetting</t>
  </si>
  <si>
    <t>0x5005</t>
  </si>
  <si>
    <t>WhiteBalance</t>
  </si>
  <si>
    <t>0x5007</t>
  </si>
  <si>
    <t>Fnumber</t>
  </si>
  <si>
    <t>0x5008</t>
  </si>
  <si>
    <t>FocalLength</t>
  </si>
  <si>
    <t>0x500A</t>
  </si>
  <si>
    <t>FocusMode</t>
  </si>
  <si>
    <t>0x500B</t>
  </si>
  <si>
    <t>ExposureMeteringMode</t>
  </si>
  <si>
    <t>0x500C</t>
  </si>
  <si>
    <t>FlashMode</t>
  </si>
  <si>
    <t>0x500D</t>
  </si>
  <si>
    <t>ExposureTime</t>
  </si>
  <si>
    <t>0x500E</t>
  </si>
  <si>
    <t>ExposureProgramMode</t>
  </si>
  <si>
    <t>0x500F</t>
  </si>
  <si>
    <t>ExposureIndex</t>
  </si>
  <si>
    <t>0x5010</t>
  </si>
  <si>
    <t>ExposureBiasCompensation</t>
  </si>
  <si>
    <t>0x5011</t>
  </si>
  <si>
    <t>DateTime</t>
  </si>
  <si>
    <t>0x5013</t>
  </si>
  <si>
    <t>StillCaptureMode</t>
  </si>
  <si>
    <t>0x5018</t>
  </si>
  <si>
    <t>BurstNumber</t>
  </si>
  <si>
    <t>0x501E</t>
  </si>
  <si>
    <t>Artist</t>
  </si>
  <si>
    <t>0x501F</t>
  </si>
  <si>
    <t>Copyright</t>
  </si>
  <si>
    <t>0xD010</t>
  </si>
  <si>
    <t>ShootingMenuBank</t>
  </si>
  <si>
    <t>0xD011</t>
  </si>
  <si>
    <t>ShootingBankNameA</t>
  </si>
  <si>
    <t>0xD012</t>
  </si>
  <si>
    <t>ShootingBankNameB</t>
  </si>
  <si>
    <t>0xD013</t>
  </si>
  <si>
    <t>ShootingBankNameC</t>
  </si>
  <si>
    <t>0xD014</t>
  </si>
  <si>
    <t>ShootingBankNameD</t>
  </si>
  <si>
    <t>0xD016</t>
  </si>
  <si>
    <t>RawCompressionType</t>
  </si>
  <si>
    <t>0xD017</t>
  </si>
  <si>
    <t>WbTuneAuto</t>
  </si>
  <si>
    <t>0xD018</t>
  </si>
  <si>
    <t>WbTuneIncandescent</t>
  </si>
  <si>
    <t>0xD019</t>
  </si>
  <si>
    <t>WbTuneFluorescent</t>
  </si>
  <si>
    <t>0xD01A</t>
  </si>
  <si>
    <t>WbTuneSunny</t>
  </si>
  <si>
    <t>0xD01B</t>
  </si>
  <si>
    <t>WbTuneFlash</t>
  </si>
  <si>
    <t>0xD01C</t>
  </si>
  <si>
    <t>WbTuneCloudy</t>
  </si>
  <si>
    <t>0xD01D</t>
  </si>
  <si>
    <t>WbTuneShade</t>
  </si>
  <si>
    <t>0xD01E</t>
  </si>
  <si>
    <t>WbColorTemp</t>
  </si>
  <si>
    <t>0xD01F</t>
  </si>
  <si>
    <t>WbPresetDataNo</t>
  </si>
  <si>
    <t>0xD030</t>
  </si>
  <si>
    <t>CaptureAreaCrop</t>
  </si>
  <si>
    <t>0xD032</t>
  </si>
  <si>
    <t>ColorSpace</t>
  </si>
  <si>
    <t>0xD034</t>
  </si>
  <si>
    <t>DecreaseFlicker</t>
  </si>
  <si>
    <t>0xD040</t>
  </si>
  <si>
    <t>CustomSettingBank</t>
  </si>
  <si>
    <t>0xD041</t>
  </si>
  <si>
    <t>CustomBankNameA</t>
  </si>
  <si>
    <t>0xD042</t>
  </si>
  <si>
    <t>CustomBankNameB</t>
  </si>
  <si>
    <t>0xD043</t>
  </si>
  <si>
    <t>CustomBankNameC</t>
  </si>
  <si>
    <t>0xD044</t>
  </si>
  <si>
    <t>CustomBankNameD</t>
  </si>
  <si>
    <t>0xD046</t>
  </si>
  <si>
    <t>AFStillLockOnAcross</t>
  </si>
  <si>
    <t>0xD047</t>
  </si>
  <si>
    <t>AFStillLockOnMove</t>
  </si>
  <si>
    <t>0xD048</t>
  </si>
  <si>
    <t>DynamicAFonAFC</t>
  </si>
  <si>
    <t>0xD049</t>
  </si>
  <si>
    <t>DynamicAFonAFS</t>
  </si>
  <si>
    <t>0xD04F</t>
  </si>
  <si>
    <t>FocusAreaSelect</t>
  </si>
  <si>
    <t>0xD053</t>
  </si>
  <si>
    <t>EnableCopyright</t>
  </si>
  <si>
    <t>0xD054</t>
  </si>
  <si>
    <t>ISOAutoControl</t>
  </si>
  <si>
    <t>0xD055</t>
  </si>
  <si>
    <t>IsoStep</t>
  </si>
  <si>
    <t>0xD056</t>
  </si>
  <si>
    <t>ExposureEVStep</t>
  </si>
  <si>
    <t>0xD059</t>
  </si>
  <si>
    <t>CenterWeightedExRange</t>
  </si>
  <si>
    <t>0xD05A</t>
  </si>
  <si>
    <t>ExposureBaseCompMatrix</t>
  </si>
  <si>
    <t>0xD05B</t>
  </si>
  <si>
    <t>ExposureBaseCompCenter</t>
  </si>
  <si>
    <t>0xD05C</t>
  </si>
  <si>
    <t>ExposureBaseCompSpot</t>
  </si>
  <si>
    <t>0xD05D</t>
  </si>
  <si>
    <t>StillFocusMeteringMode</t>
  </si>
  <si>
    <t>0xD060</t>
  </si>
  <si>
    <t>IPTCPresetSelect</t>
  </si>
  <si>
    <t>0xD061</t>
  </si>
  <si>
    <t>StillFocusMode</t>
  </si>
  <si>
    <t>0xD067</t>
  </si>
  <si>
    <t>AngleLevel</t>
  </si>
  <si>
    <t>0xD068</t>
  </si>
  <si>
    <t>CspeedLow</t>
  </si>
  <si>
    <t>0xD069</t>
  </si>
  <si>
    <t>BurstMaxNumber</t>
  </si>
  <si>
    <t>0xD06A</t>
  </si>
  <si>
    <t>ExposureDelay</t>
  </si>
  <si>
    <t>0xD06B</t>
  </si>
  <si>
    <t>NoiseReduction</t>
  </si>
  <si>
    <t>0xD06C</t>
  </si>
  <si>
    <t>NumberingMode</t>
  </si>
  <si>
    <t>0xD070</t>
  </si>
  <si>
    <t>NoiseReductionHiIso</t>
  </si>
  <si>
    <t>0xD072</t>
  </si>
  <si>
    <t>ArtistV</t>
  </si>
  <si>
    <t>0xD073</t>
  </si>
  <si>
    <t>CopyrightV</t>
  </si>
  <si>
    <t>0xD074</t>
  </si>
  <si>
    <t>FlashSyncSpeed</t>
  </si>
  <si>
    <t>0xD075</t>
  </si>
  <si>
    <t>FlashSlowSpeedLimit</t>
  </si>
  <si>
    <t>0xD078</t>
  </si>
  <si>
    <t>BracketingType</t>
  </si>
  <si>
    <t>0xD079</t>
  </si>
  <si>
    <t>SelectBracketChangeFactor</t>
  </si>
  <si>
    <t>0xD07A</t>
  </si>
  <si>
    <t>BracketingOrder</t>
  </si>
  <si>
    <t>0xD07D</t>
  </si>
  <si>
    <t>AngleLevelPitching</t>
  </si>
  <si>
    <t>0xD07E</t>
  </si>
  <si>
    <t>AngleLevelYawing</t>
  </si>
  <si>
    <t>0xD07F</t>
  </si>
  <si>
    <t>ExtendShootingMenu</t>
  </si>
  <si>
    <t>0xD08A</t>
  </si>
  <si>
    <t>EnableShutter</t>
  </si>
  <si>
    <t>0xD08D</t>
  </si>
  <si>
    <t>EnableAFAreaPoint</t>
  </si>
  <si>
    <t>0xD08F</t>
  </si>
  <si>
    <t>ImageSensorCleaning</t>
  </si>
  <si>
    <t>0xD090</t>
  </si>
  <si>
    <t>CommentString</t>
  </si>
  <si>
    <t>0xD091</t>
  </si>
  <si>
    <t>EnableComment</t>
  </si>
  <si>
    <t>0xD092</t>
  </si>
  <si>
    <t>OrientationSensorMode</t>
  </si>
  <si>
    <t>0xD093</t>
  </si>
  <si>
    <t>ManualSettingLensNo</t>
  </si>
  <si>
    <t>0xD09C</t>
  </si>
  <si>
    <t>RetractableLensWarning</t>
  </si>
  <si>
    <t>0xD09F</t>
  </si>
  <si>
    <t>MatrixMetering</t>
  </si>
  <si>
    <t>0xD0A0</t>
  </si>
  <si>
    <t>MovieRecordScreenSize</t>
  </si>
  <si>
    <t>0xD0A2</t>
  </si>
  <si>
    <t>MovieRecordMicrophoneLevel</t>
  </si>
  <si>
    <t>0xD0A3</t>
  </si>
  <si>
    <t>MovieRecordDestination</t>
  </si>
  <si>
    <t>0xD0A4</t>
  </si>
  <si>
    <t>MovieRecProhibitionCondition</t>
  </si>
  <si>
    <t>0xD0A8</t>
  </si>
  <si>
    <t>MovieRecordMicrophoneLevelValue</t>
  </si>
  <si>
    <t>0xD0AA</t>
  </si>
  <si>
    <t>MovieWindNoiseReduction</t>
  </si>
  <si>
    <t>0xD0AC</t>
  </si>
  <si>
    <t>MovieRecordingZone</t>
  </si>
  <si>
    <t>0xD0AD</t>
  </si>
  <si>
    <t>MovieISOAutoControl</t>
  </si>
  <si>
    <t>0xD0AE</t>
  </si>
  <si>
    <t>MovieISOAutoHighLimit</t>
  </si>
  <si>
    <t>0xD0AF</t>
  </si>
  <si>
    <t>MovieFileType</t>
  </si>
  <si>
    <t>0xD0B4</t>
  </si>
  <si>
    <t>ExposureIndexEx</t>
  </si>
  <si>
    <t>0xD0B5</t>
  </si>
  <si>
    <t>ISOControlSensitivity</t>
  </si>
  <si>
    <t>0xD0B7</t>
  </si>
  <si>
    <t>FlickerReductionSetting</t>
  </si>
  <si>
    <t>0xD0BA</t>
  </si>
  <si>
    <t>DiffractionCompensation</t>
  </si>
  <si>
    <t>0xD0BB</t>
  </si>
  <si>
    <t>MovieLogOutput</t>
  </si>
  <si>
    <t>0xD0BC</t>
  </si>
  <si>
    <t>MovieAutoDistortion</t>
  </si>
  <si>
    <t>0xD0BE</t>
  </si>
  <si>
    <t>RemainingExposureTime</t>
  </si>
  <si>
    <t>0xD0C0</t>
  </si>
  <si>
    <t>EnableBracketing</t>
  </si>
  <si>
    <t>0xD0C1</t>
  </si>
  <si>
    <t>AEBracketingStep</t>
  </si>
  <si>
    <t>0xD0C2</t>
  </si>
  <si>
    <t>AEBracketingPattern</t>
  </si>
  <si>
    <t>0xD0C3</t>
  </si>
  <si>
    <t>AEBracketingCount</t>
  </si>
  <si>
    <t>0xD0C4</t>
  </si>
  <si>
    <t>WBBracketingStep</t>
  </si>
  <si>
    <t>0xD0C5</t>
  </si>
  <si>
    <t>WBBracketingPattern</t>
  </si>
  <si>
    <t>0xD0C6</t>
  </si>
  <si>
    <t>ADLBracketingPattern</t>
  </si>
  <si>
    <t>0xD0C7</t>
  </si>
  <si>
    <t>ADLBracketingStep</t>
  </si>
  <si>
    <t>0xD0CD</t>
  </si>
  <si>
    <t>SaveFocusPosition</t>
  </si>
  <si>
    <t>0xD0E0</t>
  </si>
  <si>
    <t>LensID</t>
  </si>
  <si>
    <t>0xD0E1</t>
  </si>
  <si>
    <t>LensSort</t>
  </si>
  <si>
    <t>0xD0E2</t>
  </si>
  <si>
    <t>LensTypeF</t>
  </si>
  <si>
    <t>0xD0E3</t>
  </si>
  <si>
    <t>LensFocalMin</t>
  </si>
  <si>
    <t>0xD0E4</t>
  </si>
  <si>
    <t>LensFocalMax</t>
  </si>
  <si>
    <t>0xD0E5</t>
  </si>
  <si>
    <t>LensApatureMin</t>
  </si>
  <si>
    <t>0xD0E6</t>
  </si>
  <si>
    <t>LensApatureMax</t>
  </si>
  <si>
    <t>0xD0E7</t>
  </si>
  <si>
    <t>LensTypeML</t>
  </si>
  <si>
    <t>0xD0F7</t>
  </si>
  <si>
    <t>VignetteControl</t>
  </si>
  <si>
    <t>0xD0F8</t>
  </si>
  <si>
    <t>AutoDistortion</t>
  </si>
  <si>
    <t>0xD100</t>
  </si>
  <si>
    <t>ShutterSpeed</t>
  </si>
  <si>
    <t>0xD102</t>
  </si>
  <si>
    <t>WarningStatus</t>
  </si>
  <si>
    <t>0xD104</t>
  </si>
  <si>
    <t>AFLockStatus</t>
  </si>
  <si>
    <t>0xD105</t>
  </si>
  <si>
    <t>AELockStatus</t>
  </si>
  <si>
    <t>0xD106</t>
  </si>
  <si>
    <t>FVLockStatus</t>
  </si>
  <si>
    <t>0xD109</t>
  </si>
  <si>
    <t>FlexibleProgram</t>
  </si>
  <si>
    <t>0xD10B</t>
  </si>
  <si>
    <t>RecordingMedia</t>
  </si>
  <si>
    <t>0xD10C</t>
  </si>
  <si>
    <t>USBSpeed</t>
  </si>
  <si>
    <t>0xD10E</t>
  </si>
  <si>
    <t>Orientation</t>
  </si>
  <si>
    <t>0xD112</t>
  </si>
  <si>
    <t>TVLockSetting</t>
  </si>
  <si>
    <t>0xD113</t>
  </si>
  <si>
    <t>AVLockSetting</t>
  </si>
  <si>
    <t>0xD118</t>
  </si>
  <si>
    <t>ExposureCompFlashUsed</t>
  </si>
  <si>
    <t>0xD120</t>
  </si>
  <si>
    <t>ExternalSpeedLightExist</t>
  </si>
  <si>
    <t>0xD121</t>
  </si>
  <si>
    <t>ExternalSpeedLightStatus</t>
  </si>
  <si>
    <t>0xD122</t>
  </si>
  <si>
    <t>ExternalSpeedLightSort</t>
  </si>
  <si>
    <t>0xD124</t>
  </si>
  <si>
    <t>FlashCompensation</t>
  </si>
  <si>
    <t>0xD125</t>
  </si>
  <si>
    <t>NewExternalSpeedLightMode</t>
  </si>
  <si>
    <t>0xD126</t>
  </si>
  <si>
    <t>InternalFlashCompensation</t>
  </si>
  <si>
    <t>0xD12D</t>
  </si>
  <si>
    <t>ExternalSpeedLightMultiFlashMode</t>
  </si>
  <si>
    <t>0xD12E</t>
  </si>
  <si>
    <t>ConnectionPath</t>
  </si>
  <si>
    <t>0xD12F</t>
  </si>
  <si>
    <t>AWBLockStatus</t>
  </si>
  <si>
    <t>0xD130</t>
  </si>
  <si>
    <t>HDRMode</t>
  </si>
  <si>
    <t>0xD132</t>
  </si>
  <si>
    <t>HDRStrength</t>
  </si>
  <si>
    <t>0xD133</t>
  </si>
  <si>
    <t>HDRSaveIndividualImages</t>
  </si>
  <si>
    <t>0xD138</t>
  </si>
  <si>
    <t>VibrationReduction</t>
  </si>
  <si>
    <t>0xD141</t>
  </si>
  <si>
    <t>WbAutoType</t>
  </si>
  <si>
    <t>0xD14F</t>
  </si>
  <si>
    <t>WbFluorescentType</t>
  </si>
  <si>
    <t>0xD150</t>
  </si>
  <si>
    <t>WbTuneColorTemp</t>
  </si>
  <si>
    <t>0xD156</t>
  </si>
  <si>
    <t>PrimarySlot</t>
  </si>
  <si>
    <t>0xD15B</t>
  </si>
  <si>
    <t>ActiveFolder</t>
  </si>
  <si>
    <t>0xD15E</t>
  </si>
  <si>
    <t>WbTuneNatural</t>
  </si>
  <si>
    <t>0xD164</t>
  </si>
  <si>
    <t>ISOAutoShutterTime</t>
  </si>
  <si>
    <t>0xD16E</t>
  </si>
  <si>
    <t>ExtendedShutterSpeedsManual</t>
  </si>
  <si>
    <t>0xD177</t>
  </si>
  <si>
    <t>FocusModeRestrictions</t>
  </si>
  <si>
    <t>0xD17B</t>
  </si>
  <si>
    <t>ViewMode</t>
  </si>
  <si>
    <t>0xD17C</t>
  </si>
  <si>
    <t>MovieAfSpeed</t>
  </si>
  <si>
    <t>0xD17D</t>
  </si>
  <si>
    <t>MovieAfSpeedWhenToApply</t>
  </si>
  <si>
    <t>0xD17E</t>
  </si>
  <si>
    <t>MovieAfTrackingSensitivity</t>
  </si>
  <si>
    <t>0xD180</t>
  </si>
  <si>
    <t>FlushBurstPrioritize</t>
  </si>
  <si>
    <t>0xD183</t>
  </si>
  <si>
    <t>ISOAutoHighLimit</t>
  </si>
  <si>
    <t>0xD186</t>
  </si>
  <si>
    <t>CSpeedHigh</t>
  </si>
  <si>
    <t>0xD199</t>
  </si>
  <si>
    <t>FlashISOAutoHighLimit</t>
  </si>
  <si>
    <t>0xD1A2</t>
  </si>
  <si>
    <t>RemoteLiveViewStatus</t>
  </si>
  <si>
    <t>0xD1A4</t>
  </si>
  <si>
    <t>LiveViewProhibitionCondition</t>
  </si>
  <si>
    <t>0xD1A6</t>
  </si>
  <si>
    <t>LiveViewSelector</t>
  </si>
  <si>
    <t>0xD1A8</t>
  </si>
  <si>
    <t>MovieShutterSpeed</t>
  </si>
  <si>
    <t>0xD1A9</t>
  </si>
  <si>
    <t>MovieFnumber</t>
  </si>
  <si>
    <t>0xD1AA</t>
  </si>
  <si>
    <t>MovieExposureIndex</t>
  </si>
  <si>
    <t>0xD1AB</t>
  </si>
  <si>
    <t>MovieExposureBiasCompensation</t>
  </si>
  <si>
    <t>0xD1AC</t>
  </si>
  <si>
    <t>LiveViewImageSize</t>
  </si>
  <si>
    <t>0xD1AF</t>
  </si>
  <si>
    <t>MovieExposureMeteringMode</t>
  </si>
  <si>
    <t>0xD1B0</t>
  </si>
  <si>
    <t>ExposureDisplayStatus</t>
  </si>
  <si>
    <t>0xD1B1</t>
  </si>
  <si>
    <t>ExposureIndicateStatus</t>
  </si>
  <si>
    <t>0xD1B2</t>
  </si>
  <si>
    <t>InfoDisplayErrorStatus</t>
  </si>
  <si>
    <t>0xD1B3</t>
  </si>
  <si>
    <t>ExposureIndicateLightup</t>
  </si>
  <si>
    <t>0xD1B4</t>
  </si>
  <si>
    <t>ContinuousShootingCount</t>
  </si>
  <si>
    <t>0xD1B8</t>
  </si>
  <si>
    <t>CameraLiveViewStatus</t>
  </si>
  <si>
    <t>0xD1BA</t>
  </si>
  <si>
    <t>MonitorOffStatus</t>
  </si>
  <si>
    <t>0xD1BB</t>
  </si>
  <si>
    <t>LiveViewImageStatus</t>
  </si>
  <si>
    <t>0xD1BC</t>
  </si>
  <si>
    <t>LiveViewImageCompression</t>
  </si>
  <si>
    <t>0xD1BD</t>
  </si>
  <si>
    <t>LiveViewZoomArea</t>
  </si>
  <si>
    <t>0xD1C5</t>
  </si>
  <si>
    <t>AutoFlashIsoSensitivityControl</t>
  </si>
  <si>
    <t>0xD1C6</t>
  </si>
  <si>
    <t>KeepExposureWhenFNumberChanges</t>
  </si>
  <si>
    <t>0xD1DE</t>
  </si>
  <si>
    <t>ExternalRecordingControl</t>
  </si>
  <si>
    <t>0xD1DF</t>
  </si>
  <si>
    <t>HighlightBrightness</t>
  </si>
  <si>
    <t>0xD1E2</t>
  </si>
  <si>
    <t>SBWirelessMode</t>
  </si>
  <si>
    <t>0xD1E3</t>
  </si>
  <si>
    <t>SBWirelessMultipleFlashMode</t>
  </si>
  <si>
    <t>0xD1E4</t>
  </si>
  <si>
    <t>SBUsableGroup</t>
  </si>
  <si>
    <t>0xD1E5</t>
  </si>
  <si>
    <t>WirelessCLSEntryMode</t>
  </si>
  <si>
    <t>0xD1E6</t>
  </si>
  <si>
    <t>SBPINCode</t>
  </si>
  <si>
    <t>0xD1E7</t>
  </si>
  <si>
    <t>RadioMultipleFlashChannel</t>
  </si>
  <si>
    <t>0xD1E8</t>
  </si>
  <si>
    <t>OpticalMultipleFlashChannel</t>
  </si>
  <si>
    <t>0xD1E9</t>
  </si>
  <si>
    <t>FlashRangeDisplay</t>
  </si>
  <si>
    <t>0xD1EA</t>
  </si>
  <si>
    <t>AllTestFiringDisable</t>
  </si>
  <si>
    <t>0xD1EC</t>
  </si>
  <si>
    <t>SBSettingMemberLock</t>
  </si>
  <si>
    <t>0xD1ED</t>
  </si>
  <si>
    <t>SBIntegrationFlashReady</t>
  </si>
  <si>
    <t>0xD1F1</t>
  </si>
  <si>
    <t>ExposureRemaining</t>
  </si>
  <si>
    <t>0xD1F2</t>
  </si>
  <si>
    <t>ActiveSlot</t>
  </si>
  <si>
    <t>0xD1F4</t>
  </si>
  <si>
    <t>ISOAutoShutterTimeCorrectionValue</t>
  </si>
  <si>
    <t>0xD1F8</t>
  </si>
  <si>
    <t>MovieFocusMeteringMode</t>
  </si>
  <si>
    <t>0xD1F9</t>
  </si>
  <si>
    <t>MovieVibrationReduction</t>
  </si>
  <si>
    <t>0xD1FA</t>
  </si>
  <si>
    <t>MovieFocusMode</t>
  </si>
  <si>
    <t>0xD1FB</t>
  </si>
  <si>
    <t>RecordTimeCodes</t>
  </si>
  <si>
    <t>0xD1FC</t>
  </si>
  <si>
    <t>CountUpMethod</t>
  </si>
  <si>
    <t>0xD1FD</t>
  </si>
  <si>
    <t>TimeCodeOrigin</t>
  </si>
  <si>
    <t>0xD1FE</t>
  </si>
  <si>
    <t>DropFrame</t>
  </si>
  <si>
    <t>0xD200</t>
  </si>
  <si>
    <t>ActivePicCtrlItem</t>
  </si>
  <si>
    <t>0xD20F</t>
  </si>
  <si>
    <t>MovieCaptureAreaCrop</t>
  </si>
  <si>
    <t>0xD211</t>
  </si>
  <si>
    <t>MovieWbAutoType</t>
  </si>
  <si>
    <t>0xD212</t>
  </si>
  <si>
    <t>MovieWbTuneAuto</t>
  </si>
  <si>
    <t>0xD213</t>
  </si>
  <si>
    <t>MovieWbTuneIncandescent</t>
  </si>
  <si>
    <t>0xD214</t>
  </si>
  <si>
    <t>MovieWbFluorescentType</t>
  </si>
  <si>
    <t>0xD215</t>
  </si>
  <si>
    <t>MovieWbTuneFluorescent</t>
  </si>
  <si>
    <t>0xD216</t>
  </si>
  <si>
    <t>MovieWbTuneSunny</t>
  </si>
  <si>
    <t>0xD218</t>
  </si>
  <si>
    <t>MovieWbTuneCloudy</t>
  </si>
  <si>
    <t>0xD219</t>
  </si>
  <si>
    <t>MovieWbTuneShade</t>
  </si>
  <si>
    <t>0xD21A</t>
  </si>
  <si>
    <t>MovieWbColorTemp</t>
  </si>
  <si>
    <t>0xD21B</t>
  </si>
  <si>
    <t>MovieWbTuneColorTemp</t>
  </si>
  <si>
    <t>0xD21C</t>
  </si>
  <si>
    <t>MovieWbPresetDataNo</t>
  </si>
  <si>
    <t>0xD236</t>
  </si>
  <si>
    <t>MovieNoiseReductionHiIso</t>
  </si>
  <si>
    <t>0xD237</t>
  </si>
  <si>
    <t>MovieActivePicCtrlItem</t>
  </si>
  <si>
    <t>0xD239</t>
  </si>
  <si>
    <t>ExposureBaseCompHighlight</t>
  </si>
  <si>
    <t>0xD23A</t>
  </si>
  <si>
    <t>MovieWhiteBalance</t>
  </si>
  <si>
    <t>0xD23C</t>
  </si>
  <si>
    <t>MovieWbTuneNatural</t>
  </si>
  <si>
    <t>0xD23D</t>
  </si>
  <si>
    <t>MovieAttenuator</t>
  </si>
  <si>
    <t>0xD23E</t>
  </si>
  <si>
    <t>MovieVignetteControl</t>
  </si>
  <si>
    <t>0xD23F</t>
  </si>
  <si>
    <t>MovieDiffractionCompensation</t>
  </si>
  <si>
    <t>0xD303</t>
  </si>
  <si>
    <t>UseDeviceStageFlag</t>
  </si>
  <si>
    <t>0xD314</t>
  </si>
  <si>
    <t>ElectronicVR</t>
  </si>
  <si>
    <t>0xD406</t>
  </si>
  <si>
    <t>SessionInitiatorVersionInfo</t>
  </si>
  <si>
    <t>0xD407</t>
  </si>
  <si>
    <t>PerceivedDeviceType</t>
  </si>
  <si>
    <t>0xDC01</t>
  </si>
  <si>
    <t>0xDC02</t>
  </si>
  <si>
    <t>0xDC03</t>
  </si>
  <si>
    <t>0xDC04</t>
  </si>
  <si>
    <t>0xDC07</t>
  </si>
  <si>
    <t>0xDC08</t>
  </si>
  <si>
    <t>0xDC09</t>
  </si>
  <si>
    <t>0xDC0B</t>
  </si>
  <si>
    <t>0xDC0D</t>
  </si>
  <si>
    <t>0xDC41</t>
  </si>
  <si>
    <t>0xDC44</t>
  </si>
  <si>
    <t>0xDC81</t>
  </si>
  <si>
    <t>0xDC82</t>
  </si>
  <si>
    <t>0xDC83</t>
  </si>
  <si>
    <t>0xDC84</t>
  </si>
  <si>
    <t>0xDC86</t>
  </si>
  <si>
    <t>0xDC87</t>
  </si>
  <si>
    <t>0xDC88</t>
  </si>
  <si>
    <t>0xDC8A</t>
  </si>
  <si>
    <t>0xDCD3</t>
  </si>
  <si>
    <t>0xDC89</t>
  </si>
  <si>
    <t>0xDE93</t>
  </si>
  <si>
    <t>0xDE94</t>
  </si>
  <si>
    <t>0xDE97</t>
  </si>
  <si>
    <t>0xDE9A</t>
  </si>
  <si>
    <t>0xDE9B</t>
  </si>
  <si>
    <t>0xDE9C</t>
  </si>
  <si>
    <t>0xDE9D</t>
  </si>
  <si>
    <t>StorageID</t>
  </si>
  <si>
    <t>ObjectFormat</t>
  </si>
  <si>
    <t>ProtectionStatus</t>
  </si>
  <si>
    <t>ObjectSize</t>
  </si>
  <si>
    <t>ObjectFilename</t>
  </si>
  <si>
    <t>DateCreated</t>
  </si>
  <si>
    <t>DateModified</t>
  </si>
  <si>
    <t>ParentObject</t>
  </si>
  <si>
    <t>Hidden</t>
  </si>
  <si>
    <t>PersistentUniqueObjectIdentifier</t>
  </si>
  <si>
    <t>Name</t>
  </si>
  <si>
    <t>RepresentativeSampleFormat</t>
  </si>
  <si>
    <t>RepresentativeSampleSize</t>
  </si>
  <si>
    <t>RepresentativeSampleHeight</t>
  </si>
  <si>
    <t>RepresentativeSampleWidth</t>
  </si>
  <si>
    <t>RepresentativeSampleData</t>
  </si>
  <si>
    <t>Width</t>
  </si>
  <si>
    <t>Height</t>
  </si>
  <si>
    <t>Rating</t>
  </si>
  <si>
    <t>ImageBitDepth</t>
  </si>
  <si>
    <t>Duration</t>
  </si>
  <si>
    <t>SampleRate</t>
  </si>
  <si>
    <t>NumberOfChannels</t>
  </si>
  <si>
    <t>ScanType</t>
  </si>
  <si>
    <t>AudioBitRate</t>
  </si>
  <si>
    <t>VideoFourCCCode</t>
  </si>
  <si>
    <t>VideoBitRate</t>
  </si>
  <si>
    <t>FramesPerThousandSeconds</t>
  </si>
  <si>
    <t>ObjectPropCode</t>
  </si>
  <si>
    <t>DeviceInfo DataSet</t>
  </si>
  <si>
    <t>StandardVersion</t>
  </si>
  <si>
    <t>VendorExtensionID</t>
  </si>
  <si>
    <t>VendorExtensionVersion</t>
  </si>
  <si>
    <t>VendorExtensionDesc</t>
  </si>
  <si>
    <t>FunctionalMode</t>
  </si>
  <si>
    <t>OperationsSupported</t>
  </si>
  <si>
    <t>EventsSupported</t>
  </si>
  <si>
    <t>DevicePropertiesSupported</t>
  </si>
  <si>
    <t>CaptureFormats</t>
  </si>
  <si>
    <t>ImageFormats</t>
  </si>
  <si>
    <t>Manufacture</t>
  </si>
  <si>
    <t>Model</t>
  </si>
  <si>
    <t>DeviceVersion</t>
  </si>
  <si>
    <t>SerialNumber</t>
  </si>
  <si>
    <t>The highest version of the standard that can support the device.</t>
  </si>
  <si>
    <t>The vendor extension ID used by the device.</t>
  </si>
  <si>
    <t>The vendor-specific version number of extensions that are supported.</t>
  </si>
  <si>
    <t>An optional string used to hold a human-readable description of the VendorExtensionID.</t>
  </si>
  <si>
    <t>An optional field used to hold the functional mode.</t>
  </si>
  <si>
    <t>An array of OperationCodes supported by the camera.</t>
  </si>
  <si>
    <t>An array of EventCodes supported by the camera.</t>
  </si>
  <si>
    <t>An array of DevicePropCodes supported by the camera.</t>
  </si>
  <si>
    <t>An array of ObjectFormatCodes that can be created by the camera with InitiateCapture.</t>
  </si>
  <si>
    <t>An array of ObjectFormatCodes supported by the camera.</t>
  </si>
  <si>
    <t>An optional human-readable string used to indicate the device manufacturer.</t>
  </si>
  <si>
    <t>An optional human-readable string used to indicate the device name.</t>
  </si>
  <si>
    <t>An optional human-readable string used to indicate the version of the device.</t>
  </si>
  <si>
    <t>An optional human-readable string used to indicate the serial number of the camera.</t>
  </si>
  <si>
    <t>Field:</t>
  </si>
  <si>
    <t>Size (Byte):</t>
  </si>
  <si>
    <t>DataType</t>
  </si>
  <si>
    <t>2*Length</t>
  </si>
  <si>
    <t>Length</t>
  </si>
  <si>
    <t>String</t>
  </si>
  <si>
    <t>GetSet</t>
  </si>
  <si>
    <t>Factory Default Value</t>
  </si>
  <si>
    <t>Current Value</t>
  </si>
  <si>
    <t>FormFlag</t>
  </si>
  <si>
    <t>Indicates the data type of the property.</t>
  </si>
  <si>
    <t>Indicates the access attribute of the property.</t>
  </si>
  <si>
    <t>Indicates the default value of the property.</t>
  </si>
  <si>
    <t>Indicates the current value of the property.</t>
  </si>
  <si>
    <t>Indicates the property description data set.</t>
  </si>
  <si>
    <t>DTS</t>
  </si>
  <si>
    <t>Form</t>
  </si>
  <si>
    <t xml:space="preserve">The contents of the field depend on the FormFlag field. </t>
  </si>
  <si>
    <t>2 or 4</t>
  </si>
  <si>
    <t xml:space="preserve">Indicates DevicePropCode of the property.
When acquiring with the  GetDevicePropDescEx command and GetDevicePropDescList command, the Field Size of DevicePropCode is 4Byte. </t>
  </si>
  <si>
    <t>DevicePropDesc DataSet</t>
  </si>
  <si>
    <t>ObjectPropDesc DataSet</t>
  </si>
  <si>
    <t>ObjectPropertyCode</t>
  </si>
  <si>
    <t>DefaultValue</t>
  </si>
  <si>
    <t>Group Code</t>
  </si>
  <si>
    <t>Indicates ObjectPropCode of the property.</t>
  </si>
  <si>
    <t>Indicates the search group of the property.</t>
  </si>
  <si>
    <t>Image Size</t>
  </si>
  <si>
    <t>H</t>
  </si>
  <si>
    <t>V</t>
  </si>
  <si>
    <t>Whole Size</t>
  </si>
  <si>
    <t>Display area size</t>
  </si>
  <si>
    <t>AF frame size</t>
  </si>
  <si>
    <t>Display center coord</t>
  </si>
  <si>
    <t>AF frame center coord</t>
  </si>
  <si>
    <t>D3</t>
  </si>
  <si>
    <t>X</t>
  </si>
  <si>
    <t>Reserved</t>
  </si>
  <si>
    <t>Selected focus areas</t>
  </si>
  <si>
    <t>Rotation direction</t>
  </si>
  <si>
    <t>Focus driving status</t>
  </si>
  <si>
    <t>Exposure deviation</t>
  </si>
  <si>
    <t>Shutter speed</t>
  </si>
  <si>
    <t>Aperture Value</t>
  </si>
  <si>
    <t>Countdown time</t>
  </si>
  <si>
    <t>Focusing judgement result</t>
  </si>
  <si>
    <t>AF driving enabled status</t>
  </si>
  <si>
    <t>D90</t>
  </si>
  <si>
    <t>X (*1)</t>
  </si>
  <si>
    <t>AF evaluation value</t>
  </si>
  <si>
    <t>Level Angle information</t>
  </si>
  <si>
    <t>AF mode status of the face detection system</t>
  </si>
  <si>
    <t>The number of persons whose faces can be detected by the system</t>
  </si>
  <si>
    <t>AF area index</t>
  </si>
  <si>
    <t>AF area 0</t>
  </si>
  <si>
    <t>AF area 1</t>
  </si>
  <si>
    <t>AF area 2</t>
  </si>
  <si>
    <t>AF area 3</t>
  </si>
  <si>
    <t>AF area 4</t>
  </si>
  <si>
    <t>Nikon Z8</t>
  </si>
  <si>
    <t>Rev. 2.00</t>
  </si>
  <si>
    <t>ExternalDC</t>
  </si>
  <si>
    <t>Active</t>
  </si>
  <si>
    <t>MovieActive</t>
  </si>
  <si>
    <t>MovieProResToneMode</t>
  </si>
  <si>
    <t>SpecialShootingMode</t>
  </si>
  <si>
    <t>AFSubjectDetection</t>
  </si>
  <si>
    <t>MovieAFSubjectDetection</t>
  </si>
  <si>
    <t>ViewModeEaseOfViewing</t>
  </si>
  <si>
    <t>ViewModeWhiteBalance</t>
  </si>
  <si>
    <t>ViewModeWbColorTemp</t>
  </si>
  <si>
    <t>ViewModeWbTuneColorTemp</t>
  </si>
  <si>
    <t>ViewModePictureControl</t>
  </si>
  <si>
    <t>ViewModeBrightenShadow</t>
  </si>
  <si>
    <t>StarlightView</t>
  </si>
  <si>
    <t>MovieTVLockSetting</t>
  </si>
  <si>
    <t>MovieAVLockSetting</t>
  </si>
  <si>
    <t>SilentMode</t>
  </si>
  <si>
    <t>ShutterSoundEffect</t>
  </si>
  <si>
    <t>AFWhenSubjectNotDetected</t>
  </si>
  <si>
    <t>FocusPointLock</t>
  </si>
  <si>
    <t>MovieFocusPointLock</t>
  </si>
  <si>
    <t>SkinSoftening</t>
  </si>
  <si>
    <t>MovieSkinSoftening</t>
  </si>
  <si>
    <t>PortraitImpressionBalance</t>
  </si>
  <si>
    <t>MoviePortraitImpressionBalance</t>
  </si>
  <si>
    <t>MovieExtendedShutterSpeedsManual</t>
  </si>
  <si>
    <t>ToneMode</t>
  </si>
  <si>
    <t>ActivePicCtrlHlgItem</t>
  </si>
  <si>
    <t>ExtendedOverSampling</t>
  </si>
  <si>
    <t>MovieExtendedIsoStepManual</t>
  </si>
  <si>
    <t>PreCapturePreReleaseBurst</t>
  </si>
  <si>
    <t>PreCapturePostReleaseBurst</t>
  </si>
  <si>
    <t>MovieQualityNRaw</t>
  </si>
  <si>
    <t>HighFrequencyFlickerReduction</t>
  </si>
  <si>
    <t>MovieHighFrequencyFlickerReduction</t>
  </si>
  <si>
    <t>HiResZoom</t>
  </si>
  <si>
    <t>ViewModeShowEffectsOfSettings</t>
  </si>
  <si>
    <t>FlickerReductionShutterSpeed</t>
  </si>
  <si>
    <t>EnableDXImageSize</t>
  </si>
  <si>
    <t>ImageSizeDX</t>
  </si>
  <si>
    <t>PixelShiftShootingMode</t>
  </si>
  <si>
    <t>ManualSettingLensName</t>
  </si>
  <si>
    <t>PixelShiftShootingInterval</t>
  </si>
  <si>
    <t>0xD021</t>
  </si>
  <si>
    <t>0xD022</t>
  </si>
  <si>
    <t>0xD023</t>
  </si>
  <si>
    <t>0xD024</t>
  </si>
  <si>
    <t>0xD026</t>
  </si>
  <si>
    <t>0xD027</t>
  </si>
  <si>
    <t>0xD028</t>
  </si>
  <si>
    <t>0xD029</t>
  </si>
  <si>
    <t>0xD038</t>
  </si>
  <si>
    <t>0xD039</t>
  </si>
  <si>
    <t>0xD03A</t>
  </si>
  <si>
    <t>0xD03B</t>
  </si>
  <si>
    <t>0xD03C</t>
  </si>
  <si>
    <t>0xD03D</t>
  </si>
  <si>
    <t>0xD03E</t>
  </si>
  <si>
    <t>0xD03F</t>
  </si>
  <si>
    <t>0xD101</t>
  </si>
  <si>
    <t>0xD119</t>
  </si>
  <si>
    <t>0xD148</t>
  </si>
  <si>
    <t>0xD14E</t>
  </si>
  <si>
    <t>0xD152</t>
  </si>
  <si>
    <t>0xD153</t>
  </si>
  <si>
    <t>0xD154</t>
  </si>
  <si>
    <t>0xD155</t>
  </si>
  <si>
    <t>0xD158</t>
  </si>
  <si>
    <t>0xD159</t>
  </si>
  <si>
    <t>0xD15A</t>
  </si>
  <si>
    <t>0xD15C</t>
  </si>
  <si>
    <t>0xD21D</t>
  </si>
  <si>
    <t>0xD21E</t>
  </si>
  <si>
    <t>0xD21F</t>
  </si>
  <si>
    <t>0xD220</t>
  </si>
  <si>
    <t>0xD221</t>
  </si>
  <si>
    <t>0xD222</t>
  </si>
  <si>
    <t>0xD223</t>
  </si>
  <si>
    <t>0xD224</t>
  </si>
  <si>
    <t>0xD225</t>
  </si>
  <si>
    <t>0xD226</t>
  </si>
  <si>
    <t>0xD227</t>
  </si>
  <si>
    <t>0xD228</t>
  </si>
  <si>
    <t>0xD229</t>
  </si>
  <si>
    <t>0xD22A</t>
  </si>
  <si>
    <t>0xD22B</t>
  </si>
  <si>
    <t>0xD22C</t>
  </si>
  <si>
    <t>0xD22D</t>
  </si>
  <si>
    <t>0xD22E</t>
  </si>
  <si>
    <t>0xD22F</t>
  </si>
  <si>
    <t>0xD230</t>
  </si>
  <si>
    <t>0xD231</t>
  </si>
  <si>
    <t>0xD232</t>
  </si>
  <si>
    <t>0xD233</t>
  </si>
  <si>
    <t>0xD234</t>
  </si>
  <si>
    <t>0xD23B</t>
  </si>
  <si>
    <t>0x0001D000</t>
  </si>
  <si>
    <t>0x0001D001</t>
  </si>
  <si>
    <t>0x0001D002</t>
  </si>
  <si>
    <t>0x0001D005</t>
  </si>
  <si>
    <t>0x0001D006</t>
  </si>
  <si>
    <t>0x0001D007</t>
  </si>
  <si>
    <t>0x0001D008</t>
  </si>
  <si>
    <t>0x0001D009</t>
  </si>
  <si>
    <t>0x0001D00A</t>
  </si>
  <si>
    <t>0x0001D00B</t>
  </si>
  <si>
    <t>0x0001D00C</t>
  </si>
  <si>
    <t>0x0001D00E</t>
  </si>
  <si>
    <t>0x0001D00F</t>
  </si>
  <si>
    <t>0x0001D010</t>
  </si>
  <si>
    <t>0x0001D011</t>
  </si>
  <si>
    <t>0x0001D012</t>
  </si>
  <si>
    <t>0x0001D014</t>
  </si>
  <si>
    <t>0x0001D015</t>
  </si>
  <si>
    <t>0x0001D016</t>
  </si>
  <si>
    <t>0x0001D017</t>
  </si>
  <si>
    <t>0x0001D018</t>
  </si>
  <si>
    <t>0x0001D019</t>
  </si>
  <si>
    <t>0x0001D01A</t>
  </si>
  <si>
    <t>0x0001D01B</t>
  </si>
  <si>
    <t>0x0001D01C</t>
  </si>
  <si>
    <t>0x0001D01D</t>
  </si>
  <si>
    <t>0x0001D01E</t>
  </si>
  <si>
    <t>0x0001D01F</t>
  </si>
  <si>
    <t>0x0001D025</t>
  </si>
  <si>
    <t>0x0001D026</t>
  </si>
  <si>
    <t>0x0001D028</t>
  </si>
  <si>
    <t>0x0001D029</t>
  </si>
  <si>
    <t>0x0001D02A</t>
  </si>
  <si>
    <t>0x0001D031</t>
  </si>
  <si>
    <t>0x0001D032</t>
  </si>
  <si>
    <t>0x0001D033</t>
  </si>
  <si>
    <t>0x0001D036</t>
  </si>
  <si>
    <t>0x0001D03D</t>
  </si>
  <si>
    <t>0x0001D041</t>
  </si>
  <si>
    <t>0x0001D042</t>
  </si>
  <si>
    <t>0x0001D046</t>
  </si>
  <si>
    <t>0x0001D045</t>
  </si>
  <si>
    <t>0x0001D047</t>
  </si>
  <si>
    <t>0x0001D048</t>
  </si>
  <si>
    <t>0x0001D049</t>
  </si>
  <si>
    <t>0x0001D04A</t>
  </si>
  <si>
    <t>0x0001D04B</t>
  </si>
  <si>
    <t>0x0001D04C</t>
  </si>
  <si>
    <t>0x0001D050</t>
  </si>
  <si>
    <t>WbPresetDataComment1</t>
  </si>
  <si>
    <t>WbPresetDataComment2</t>
  </si>
  <si>
    <t>WbPresetDataComment3</t>
  </si>
  <si>
    <t>WbPresetDataComment4</t>
  </si>
  <si>
    <t>WbPresetDataValue1</t>
  </si>
  <si>
    <t>WbPresetDataValue2</t>
  </si>
  <si>
    <t>WbPresetDataValue3</t>
  </si>
  <si>
    <t>WbPresetDataValue4</t>
  </si>
  <si>
    <t>WbPresetDataComment5</t>
  </si>
  <si>
    <t>WbPresetDataComment6</t>
  </si>
  <si>
    <t>WbTunePreset5</t>
  </si>
  <si>
    <t>WbTunePreset6</t>
  </si>
  <si>
    <t>WbPresetProtect5</t>
  </si>
  <si>
    <t>WbPresetProtect6</t>
  </si>
  <si>
    <t>WbPresetDataValue5</t>
  </si>
  <si>
    <t>WbPresetDataValue6</t>
  </si>
  <si>
    <t>Slot2JpegImageSize</t>
  </si>
  <si>
    <t>Slot2ImageSaveMode</t>
  </si>
  <si>
    <t>WbTunePreset1</t>
  </si>
  <si>
    <t>WbTunePreset2</t>
  </si>
  <si>
    <t>WbTunePreset3</t>
  </si>
  <si>
    <t>WbTunePreset4</t>
  </si>
  <si>
    <t>WbPresetProtect1</t>
  </si>
  <si>
    <t>WbPresetProtect2</t>
  </si>
  <si>
    <t>WbPresetProtect3</t>
  </si>
  <si>
    <t>WbPresetProtect4</t>
  </si>
  <si>
    <t>MovieWbPresetDataComment1</t>
  </si>
  <si>
    <t>MovieWbPresetDataComment2</t>
  </si>
  <si>
    <t>MovieWbPresetDataComment3</t>
  </si>
  <si>
    <t>MovieWbPresetDataComment4</t>
  </si>
  <si>
    <t>MovieWbPresetDataComment5</t>
  </si>
  <si>
    <t>MovieWbPresetDataComment6</t>
  </si>
  <si>
    <t>MovieWbPresetDataValue1</t>
  </si>
  <si>
    <t>MovieWbPresetDataValue2</t>
  </si>
  <si>
    <t>MovieWbPresetDataValue3</t>
  </si>
  <si>
    <t>MovieWbPresetDataValue4</t>
  </si>
  <si>
    <t>MovieWbPresetDataValue5</t>
  </si>
  <si>
    <t>MovieWbPresetDataValue6</t>
  </si>
  <si>
    <t>MovieWbTunePreset1</t>
  </si>
  <si>
    <t>MovieWbTunePreset2</t>
  </si>
  <si>
    <t>MovieWbTunePreset3</t>
  </si>
  <si>
    <t>MovieWbTunePreset4</t>
  </si>
  <si>
    <t>MovieWbTunePreset5</t>
  </si>
  <si>
    <t>MovieWbTunePreset6</t>
  </si>
  <si>
    <t>MovieWbPresetProtect1</t>
  </si>
  <si>
    <t>MovieWbPresetProtect2</t>
  </si>
  <si>
    <t>MovieWbPresetProtect3</t>
  </si>
  <si>
    <t>MovieWbPresetProtect4</t>
  </si>
  <si>
    <t>MovieWbPresetProtect5</t>
  </si>
  <si>
    <t>MovieWbPresetProtect6</t>
  </si>
  <si>
    <t>MovieH265ToneMode</t>
  </si>
  <si>
    <t>MovieNRaw12bitToneMode</t>
  </si>
  <si>
    <t>MovieProResRawHq12bitToneMode</t>
  </si>
  <si>
    <t>WideAreaAFC1</t>
  </si>
  <si>
    <t>WideAreaAFC2</t>
  </si>
  <si>
    <t>MovieWideAreaAFC1</t>
  </si>
  <si>
    <t>MovieWideAreaAFC2</t>
  </si>
  <si>
    <t>FmmManualSetting2</t>
  </si>
  <si>
    <t>F0ManualSetting2</t>
  </si>
  <si>
    <t>Camera</t>
  </si>
  <si>
    <t>D3X</t>
  </si>
  <si>
    <t>D4</t>
  </si>
  <si>
    <t>D4S</t>
  </si>
  <si>
    <t>D5</t>
  </si>
  <si>
    <t>D6</t>
  </si>
  <si>
    <t>D40</t>
  </si>
  <si>
    <t>D60</t>
  </si>
  <si>
    <t>D80</t>
  </si>
  <si>
    <t>D200</t>
  </si>
  <si>
    <t>D300</t>
  </si>
  <si>
    <t>D300S</t>
  </si>
  <si>
    <t>D500</t>
  </si>
  <si>
    <t>D600</t>
  </si>
  <si>
    <t>D610</t>
  </si>
  <si>
    <t>D700</t>
  </si>
  <si>
    <t>D750</t>
  </si>
  <si>
    <t>D780</t>
  </si>
  <si>
    <t>D800</t>
  </si>
  <si>
    <t>D810</t>
  </si>
  <si>
    <t>D810A</t>
  </si>
  <si>
    <t>D850</t>
  </si>
  <si>
    <t>D5000</t>
  </si>
  <si>
    <t>D5100</t>
  </si>
  <si>
    <t>D5200</t>
  </si>
  <si>
    <t>D5300</t>
  </si>
  <si>
    <t>D5500</t>
  </si>
  <si>
    <t>D5600</t>
  </si>
  <si>
    <t>D7000</t>
  </si>
  <si>
    <t>D7100</t>
  </si>
  <si>
    <t>D7200</t>
  </si>
  <si>
    <t>D7500</t>
  </si>
  <si>
    <t>DF</t>
  </si>
  <si>
    <t>1V3</t>
  </si>
  <si>
    <t>Z5</t>
  </si>
  <si>
    <t>Z6II</t>
  </si>
  <si>
    <t>Z6</t>
  </si>
  <si>
    <t>Z7</t>
  </si>
  <si>
    <t>Z7II</t>
  </si>
  <si>
    <t>Z6III</t>
  </si>
  <si>
    <t>Z5II</t>
  </si>
  <si>
    <t>Z8</t>
  </si>
  <si>
    <t>Z9</t>
  </si>
  <si>
    <t>Z50</t>
  </si>
  <si>
    <t>Z50II</t>
  </si>
  <si>
    <t>Year</t>
  </si>
  <si>
    <t>Sensor</t>
  </si>
  <si>
    <t>ResX</t>
  </si>
  <si>
    <t>ResY</t>
  </si>
  <si>
    <t>SizeX</t>
  </si>
  <si>
    <t>SizeY</t>
  </si>
  <si>
    <t>PixelSizeX</t>
  </si>
  <si>
    <t>PixelSizeY</t>
  </si>
  <si>
    <t>Sony ?</t>
  </si>
  <si>
    <t>Processor</t>
  </si>
  <si>
    <t>BitDepth</t>
  </si>
  <si>
    <t>Type</t>
  </si>
  <si>
    <t>BSI-CMOS</t>
  </si>
  <si>
    <t>Partially Stacked BSI-CMOS</t>
  </si>
  <si>
    <t>BSI-CMOS (without AA filter)</t>
  </si>
  <si>
    <t>Stacked BSI-CMOS (Without AA filter)</t>
  </si>
  <si>
    <t>Id</t>
  </si>
  <si>
    <t>Z 6_2</t>
  </si>
  <si>
    <t>Z 6</t>
  </si>
  <si>
    <t>Z 7</t>
  </si>
  <si>
    <t>Z 8</t>
  </si>
  <si>
    <t>Z 9</t>
  </si>
  <si>
    <t>Z 50</t>
  </si>
  <si>
    <t>Z 6_3</t>
  </si>
  <si>
    <t>Z 7_2</t>
  </si>
  <si>
    <t>Z 5</t>
  </si>
  <si>
    <t>EXPEED 6</t>
  </si>
  <si>
    <t>EXPEED 7</t>
  </si>
  <si>
    <t>CMOS</t>
  </si>
  <si>
    <t>Z f</t>
  </si>
  <si>
    <t>Zf</t>
  </si>
  <si>
    <t>Zfc</t>
  </si>
  <si>
    <t>Z fc</t>
  </si>
  <si>
    <t>CMOS (Without AA filter)</t>
  </si>
  <si>
    <t>Z 5_2</t>
  </si>
  <si>
    <t>EXPEED 4A</t>
  </si>
  <si>
    <t>EXPEED 3</t>
  </si>
  <si>
    <t>EXPEED 5</t>
  </si>
  <si>
    <t>EXPEED 4</t>
  </si>
  <si>
    <t>Sony IMX071</t>
  </si>
  <si>
    <t>EXPEED 2</t>
  </si>
  <si>
    <t>EXPEED 6 Dual</t>
  </si>
  <si>
    <t>EXPEED</t>
  </si>
  <si>
    <t>D800E</t>
  </si>
  <si>
    <t>CCD</t>
  </si>
  <si>
    <t>D40X</t>
  </si>
  <si>
    <t>D3S</t>
  </si>
  <si>
    <t>Bayer</t>
  </si>
  <si>
    <t>RGGB</t>
  </si>
  <si>
    <t>FX</t>
  </si>
  <si>
    <t>Size L</t>
  </si>
  <si>
    <t>Size M</t>
  </si>
  <si>
    <t>6048x4024</t>
  </si>
  <si>
    <t>4528x3016</t>
  </si>
  <si>
    <t>Size S</t>
  </si>
  <si>
    <t>3024x2016</t>
  </si>
  <si>
    <t>DX</t>
  </si>
  <si>
    <t>1:1</t>
  </si>
  <si>
    <t>3936x2624</t>
  </si>
  <si>
    <t>2944x1968</t>
  </si>
  <si>
    <t>1968x1312</t>
  </si>
  <si>
    <t>4016x4016</t>
  </si>
  <si>
    <t>3008x3008</t>
  </si>
  <si>
    <t>2000x2000</t>
  </si>
  <si>
    <t>6048x3400</t>
  </si>
  <si>
    <t>4528x2544</t>
  </si>
  <si>
    <t>3024x1696</t>
  </si>
  <si>
    <t>16:9</t>
  </si>
  <si>
    <t>8256x5504</t>
  </si>
  <si>
    <t>6192x4128</t>
  </si>
  <si>
    <t>4128x2752</t>
  </si>
  <si>
    <t>5392x3592</t>
  </si>
  <si>
    <t>4032x2688</t>
  </si>
  <si>
    <t>2688x1792</t>
  </si>
  <si>
    <t>5504x5504</t>
  </si>
  <si>
    <t>4128x4128</t>
  </si>
  <si>
    <t>2752x2752</t>
  </si>
  <si>
    <t>8256x4640</t>
  </si>
  <si>
    <t>6192x3480</t>
  </si>
  <si>
    <t>4128x2320</t>
  </si>
  <si>
    <t>5568x3712</t>
  </si>
  <si>
    <t>4176x2784</t>
  </si>
  <si>
    <t>2784x1856</t>
  </si>
  <si>
    <t>3712x3712</t>
  </si>
  <si>
    <t>2784x2784</t>
  </si>
  <si>
    <t>1856x1856</t>
  </si>
  <si>
    <t>5568x3128</t>
  </si>
  <si>
    <t>4176x2344</t>
  </si>
  <si>
    <t>2784x1560</t>
  </si>
  <si>
    <t>FX 0, DX 2, 1:1 4, 16:9 5</t>
  </si>
  <si>
    <t>FX 0, DX 1, 5:4 2, 1:1 3, 16:9 4</t>
  </si>
  <si>
    <t>5:4</t>
  </si>
  <si>
    <t>FX 0, DX 2, 5:4 3, 1:1 4, 16:9 5</t>
  </si>
  <si>
    <t>5408x3600</t>
  </si>
  <si>
    <t>4048x2696</t>
  </si>
  <si>
    <t>2704x1800</t>
  </si>
  <si>
    <t>6880x5504</t>
  </si>
  <si>
    <t>5152x4120</t>
  </si>
  <si>
    <t>3440x2752</t>
  </si>
  <si>
    <t>FX 0, DX 1, 1:1 2, 16:9 3</t>
  </si>
  <si>
    <t>6016x4016</t>
  </si>
  <si>
    <t>4512x3008</t>
  </si>
  <si>
    <t>3008x2008</t>
  </si>
  <si>
    <t>6016x3384</t>
  </si>
  <si>
    <t>4512x2536</t>
  </si>
  <si>
    <t>3008x1688</t>
  </si>
  <si>
    <t>1inch</t>
  </si>
  <si>
    <t>5232x3488</t>
  </si>
  <si>
    <t>3920x2616</t>
  </si>
  <si>
    <t>2608x1744</t>
  </si>
  <si>
    <t>FX 0, DX 1</t>
  </si>
  <si>
    <t>4928x3280</t>
  </si>
  <si>
    <t>3696x2456</t>
  </si>
  <si>
    <t>2464x1640</t>
  </si>
  <si>
    <t>3200x2128</t>
  </si>
  <si>
    <t>2400x1592</t>
  </si>
  <si>
    <t>1600x1064</t>
  </si>
  <si>
    <t>1.3x</t>
  </si>
  <si>
    <t>DX 0, 1.3x 1</t>
  </si>
  <si>
    <t>4272x2848</t>
  </si>
  <si>
    <t>3200x2136</t>
  </si>
  <si>
    <t>2128x1424</t>
  </si>
  <si>
    <t>6000x4000</t>
  </si>
  <si>
    <t>4496x3000</t>
  </si>
  <si>
    <t>2992x2000</t>
  </si>
  <si>
    <t>4800x3200</t>
  </si>
  <si>
    <t>3600x2400</t>
  </si>
  <si>
    <t>2400x1600</t>
  </si>
  <si>
    <t>4928x3264</t>
  </si>
  <si>
    <t>3696x2448</t>
  </si>
  <si>
    <t>2464x1632</t>
  </si>
  <si>
    <t>4288x2848</t>
  </si>
  <si>
    <t>3216x2136</t>
  </si>
  <si>
    <t>2144x1424</t>
  </si>
  <si>
    <t>1.2x</t>
  </si>
  <si>
    <t>FX 0, DX 1, 5:4 2, 1.2x 3, 1:1 4</t>
  </si>
  <si>
    <t>6880x4584</t>
  </si>
  <si>
    <t>5152x3432</t>
  </si>
  <si>
    <t>3440x2288</t>
  </si>
  <si>
    <t>FX 0, DX 1, 5:4 2, 1.2x 3</t>
  </si>
  <si>
    <t>7360x4912</t>
  </si>
  <si>
    <t>5520x3680</t>
  </si>
  <si>
    <t>3680x2456</t>
  </si>
  <si>
    <t>6144x4912</t>
  </si>
  <si>
    <t>4608x3680</t>
  </si>
  <si>
    <t>3072x2456</t>
  </si>
  <si>
    <t>6144x4080</t>
  </si>
  <si>
    <t>4608x3056</t>
  </si>
  <si>
    <t>3072x2040</t>
  </si>
  <si>
    <t>FX 0, DX 1, 1.2x 3</t>
  </si>
  <si>
    <t>5008x3336</t>
  </si>
  <si>
    <t>3752x2504</t>
  </si>
  <si>
    <t>2504x1664</t>
  </si>
  <si>
    <t>4256x2832</t>
  </si>
  <si>
    <t>3184x2120</t>
  </si>
  <si>
    <t>2128x1416</t>
  </si>
  <si>
    <t>2784x1848</t>
  </si>
  <si>
    <t>2080x1384</t>
  </si>
  <si>
    <t>1392x920</t>
  </si>
  <si>
    <t>FX 0, 1.2x 1, DX 2, 5:4 3, 1:1 4, 16:9 5</t>
  </si>
  <si>
    <t>3648x2432</t>
  </si>
  <si>
    <t>2736x1824</t>
  </si>
  <si>
    <t>1824x1216</t>
  </si>
  <si>
    <t>4640x3712</t>
  </si>
  <si>
    <t>3472x2784</t>
  </si>
  <si>
    <t>2320x1856</t>
  </si>
  <si>
    <t>4640x3088</t>
  </si>
  <si>
    <t>3472x2312</t>
  </si>
  <si>
    <t>2320x1544</t>
  </si>
  <si>
    <t>4096x3280</t>
  </si>
  <si>
    <t>2048x1640</t>
  </si>
  <si>
    <t>4096x2720</t>
  </si>
  <si>
    <t>2048x1360</t>
  </si>
  <si>
    <t>FX 0, DX 1, 5:4 2</t>
  </si>
  <si>
    <t>6048x4032</t>
  </si>
  <si>
    <t>4544x3024</t>
  </si>
  <si>
    <t>3968x2640</t>
  </si>
  <si>
    <t>2976x1976</t>
  </si>
  <si>
    <t>1984x1320</t>
  </si>
  <si>
    <t>5056x4032</t>
  </si>
  <si>
    <t>3792x3024</t>
  </si>
  <si>
    <t>2528x2016</t>
  </si>
  <si>
    <t>DX 0, 1:1 1, 16:9 2</t>
  </si>
  <si>
    <t>CropSubSampling</t>
  </si>
  <si>
    <t>3552x2832</t>
  </si>
  <si>
    <t>2656x2120</t>
  </si>
  <si>
    <t>1776x1416</t>
  </si>
  <si>
    <t>3008x2000</t>
  </si>
  <si>
    <t>2256x1496</t>
  </si>
  <si>
    <t>1504x1000</t>
  </si>
  <si>
    <t>3872x2592</t>
  </si>
  <si>
    <t>2896x1944</t>
  </si>
  <si>
    <t>1936x1296</t>
  </si>
  <si>
    <t>4528x3024</t>
  </si>
  <si>
    <t>3984x2656</t>
  </si>
  <si>
    <t>2976x1992</t>
  </si>
  <si>
    <t>1984x1328</t>
  </si>
  <si>
    <t>4032x4032</t>
  </si>
  <si>
    <t>3024x3024</t>
  </si>
  <si>
    <t>2016x2016</t>
  </si>
  <si>
    <t>Nikon NC81338L</t>
  </si>
  <si>
    <t>Nikon NC81361A</t>
  </si>
  <si>
    <t>Nikon NC81366W</t>
  </si>
  <si>
    <t>Sony IMX-094-AQP</t>
  </si>
  <si>
    <t>Sony IMX-021-BQR</t>
  </si>
  <si>
    <t>Sony IMX-038-BQL</t>
  </si>
  <si>
    <t>Sony IMX-128- (L) -AQP</t>
  </si>
  <si>
    <t>Sony IMX-028</t>
  </si>
  <si>
    <t>Sony ICX-453-AQ</t>
  </si>
  <si>
    <t>Sony ICX-493-AQA</t>
  </si>
  <si>
    <t>Sony ICX-483-AQA</t>
  </si>
  <si>
    <t>Sony IMX-193-AQK</t>
  </si>
  <si>
    <t>Toshiba HEZ1 TOS-5105</t>
  </si>
  <si>
    <t>Toshiba (Sony) T4K54</t>
  </si>
  <si>
    <t>Sony IMX-321</t>
  </si>
  <si>
    <t>Sony IMX-309-AQJ</t>
  </si>
  <si>
    <t>Sony IMX-309-BQJ</t>
  </si>
  <si>
    <t>GBRG</t>
  </si>
  <si>
    <t>Z50_2</t>
  </si>
  <si>
    <t>D3500</t>
  </si>
  <si>
    <t>D3400</t>
  </si>
  <si>
    <t>D3300</t>
  </si>
  <si>
    <t>D3200</t>
  </si>
  <si>
    <t>D3100</t>
  </si>
  <si>
    <t>D3000</t>
  </si>
  <si>
    <t>Nikon NC81369R</t>
  </si>
  <si>
    <t>Nikon NC81362A</t>
  </si>
  <si>
    <t>6016x4000</t>
  </si>
  <si>
    <t>4512x3000</t>
  </si>
  <si>
    <t>4608x3072</t>
  </si>
  <si>
    <t>3456x2304</t>
  </si>
  <si>
    <t>2304x1536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</si>
</sst>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0" fillId="0" borderId="4" xfId="0" applyBorder="1"/>
    <xf numFmtId="0" fontId="0" fillId="0" borderId="1" xfId="0" applyBorder="1"/>
    <xf numFmtId="0" fontId="0" fillId="0" borderId="2" xfId="0" applyBorder="1"/>
    <xf numFmtId="0" fontId="0" fillId="0" borderId="5" xfId="0" applyBorder="1"/>
    <xf numFmtId="0" fontId="0" fillId="0" borderId="6" xfId="0" applyBorder="1"/>
    <xf numFmtId="0" fontId="1" fillId="0" borderId="5" xfId="0" applyFont="1" applyBorder="1"/>
    <xf numFmtId="0" fontId="1" fillId="0" borderId="6" xfId="0" applyFont="1" applyBorder="1"/>
    <xf numFmtId="0" fontId="0" fillId="0" borderId="6" xfId="0" applyBorder="1" applyAlignment="1">
      <alignment wrapText="1"/>
    </xf>
    <xf numFmtId="0" fontId="0" fillId="0" borderId="2" xfId="0" applyBorder="1" applyAlignment="1">
      <alignment wrapText="1"/>
    </xf>
    <xf numFmtId="0" fontId="3" fillId="0" borderId="0" xfId="0" applyFont="1"/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7" xfId="0" applyBorder="1"/>
    <xf numFmtId="0" fontId="0" fillId="0" borderId="8" xfId="0" applyBorder="1" applyAlignment="1">
      <alignment horizontal="center" vertical="center" wrapText="1"/>
    </xf>
    <xf numFmtId="0" fontId="0" fillId="0" borderId="8" xfId="0" applyBorder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0" borderId="9" xfId="0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0" borderId="11" xfId="0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0" fontId="0" fillId="0" borderId="0" xfId="0" quotePrefix="1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20" fontId="5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4" fillId="0" borderId="10" xfId="0" applyFont="1" applyBorder="1" applyAlignment="1">
      <alignment horizontal="center" vertical="center"/>
    </xf>
    <xf numFmtId="0" fontId="0" fillId="0" borderId="4" xfId="0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3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3" xfId="0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097" name="AutoShape 1">
          <a:extLst>
            <a:ext uri="{FF2B5EF4-FFF2-40B4-BE49-F238E27FC236}">
              <a16:creationId xmlns:a16="http://schemas.microsoft.com/office/drawing/2014/main" id="{77945DE2-F644-E9F3-FFBF-849C9E8CB3A2}"/>
            </a:ext>
          </a:extLst>
        </xdr:cNvPr>
        <xdr:cNvSpPr>
          <a:spLocks noChangeAspect="1" noChangeArrowheads="1"/>
        </xdr:cNvSpPr>
      </xdr:nvSpPr>
      <xdr:spPr bwMode="auto">
        <a:xfrm>
          <a:off x="0" y="42081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098" name="AutoShape 2">
          <a:extLst>
            <a:ext uri="{FF2B5EF4-FFF2-40B4-BE49-F238E27FC236}">
              <a16:creationId xmlns:a16="http://schemas.microsoft.com/office/drawing/2014/main" id="{7B3670DC-7D1E-D605-1E52-A063B44620AE}"/>
            </a:ext>
          </a:extLst>
        </xdr:cNvPr>
        <xdr:cNvSpPr>
          <a:spLocks noChangeAspect="1" noChangeArrowheads="1"/>
        </xdr:cNvSpPr>
      </xdr:nvSpPr>
      <xdr:spPr bwMode="auto">
        <a:xfrm>
          <a:off x="0" y="42462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099" name="AutoShape 3">
          <a:extLst>
            <a:ext uri="{FF2B5EF4-FFF2-40B4-BE49-F238E27FC236}">
              <a16:creationId xmlns:a16="http://schemas.microsoft.com/office/drawing/2014/main" id="{4A1B9985-A39E-5235-043D-CEA959367C99}"/>
            </a:ext>
          </a:extLst>
        </xdr:cNvPr>
        <xdr:cNvSpPr>
          <a:spLocks noChangeAspect="1" noChangeArrowheads="1"/>
        </xdr:cNvSpPr>
      </xdr:nvSpPr>
      <xdr:spPr bwMode="auto">
        <a:xfrm>
          <a:off x="0" y="4284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00" name="AutoShape 4">
          <a:extLst>
            <a:ext uri="{FF2B5EF4-FFF2-40B4-BE49-F238E27FC236}">
              <a16:creationId xmlns:a16="http://schemas.microsoft.com/office/drawing/2014/main" id="{4A39FAEE-538C-53DC-92E6-3F62BEE8D459}"/>
            </a:ext>
          </a:extLst>
        </xdr:cNvPr>
        <xdr:cNvSpPr>
          <a:spLocks noChangeAspect="1" noChangeArrowheads="1"/>
        </xdr:cNvSpPr>
      </xdr:nvSpPr>
      <xdr:spPr bwMode="auto">
        <a:xfrm>
          <a:off x="0" y="43224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01" name="AutoShape 5">
          <a:extLst>
            <a:ext uri="{FF2B5EF4-FFF2-40B4-BE49-F238E27FC236}">
              <a16:creationId xmlns:a16="http://schemas.microsoft.com/office/drawing/2014/main" id="{ADA239CC-0D9A-6B12-80A0-2924FD1C7117}"/>
            </a:ext>
          </a:extLst>
        </xdr:cNvPr>
        <xdr:cNvSpPr>
          <a:spLocks noChangeAspect="1" noChangeArrowheads="1"/>
        </xdr:cNvSpPr>
      </xdr:nvSpPr>
      <xdr:spPr bwMode="auto">
        <a:xfrm>
          <a:off x="0" y="43605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02" name="AutoShape 6">
          <a:extLst>
            <a:ext uri="{FF2B5EF4-FFF2-40B4-BE49-F238E27FC236}">
              <a16:creationId xmlns:a16="http://schemas.microsoft.com/office/drawing/2014/main" id="{4207DDD2-2467-AF7B-6B9A-4CBDE8832B53}"/>
            </a:ext>
          </a:extLst>
        </xdr:cNvPr>
        <xdr:cNvSpPr>
          <a:spLocks noChangeAspect="1" noChangeArrowheads="1"/>
        </xdr:cNvSpPr>
      </xdr:nvSpPr>
      <xdr:spPr bwMode="auto">
        <a:xfrm>
          <a:off x="0" y="439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03" name="AutoShape 7">
          <a:extLst>
            <a:ext uri="{FF2B5EF4-FFF2-40B4-BE49-F238E27FC236}">
              <a16:creationId xmlns:a16="http://schemas.microsoft.com/office/drawing/2014/main" id="{BA539A62-3791-E792-D4E6-717AB5D2E41F}"/>
            </a:ext>
          </a:extLst>
        </xdr:cNvPr>
        <xdr:cNvSpPr>
          <a:spLocks noChangeAspect="1" noChangeArrowheads="1"/>
        </xdr:cNvSpPr>
      </xdr:nvSpPr>
      <xdr:spPr bwMode="auto">
        <a:xfrm>
          <a:off x="0" y="44367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04" name="AutoShape 8">
          <a:extLst>
            <a:ext uri="{FF2B5EF4-FFF2-40B4-BE49-F238E27FC236}">
              <a16:creationId xmlns:a16="http://schemas.microsoft.com/office/drawing/2014/main" id="{86CC6F86-51CF-F0CB-ACC9-69434491AEEC}"/>
            </a:ext>
          </a:extLst>
        </xdr:cNvPr>
        <xdr:cNvSpPr>
          <a:spLocks noChangeAspect="1" noChangeArrowheads="1"/>
        </xdr:cNvSpPr>
      </xdr:nvSpPr>
      <xdr:spPr bwMode="auto">
        <a:xfrm>
          <a:off x="0" y="44748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05" name="AutoShape 9">
          <a:extLst>
            <a:ext uri="{FF2B5EF4-FFF2-40B4-BE49-F238E27FC236}">
              <a16:creationId xmlns:a16="http://schemas.microsoft.com/office/drawing/2014/main" id="{819659F8-D749-9BCD-2795-F3818DAA5B24}"/>
            </a:ext>
          </a:extLst>
        </xdr:cNvPr>
        <xdr:cNvSpPr>
          <a:spLocks noChangeAspect="1" noChangeArrowheads="1"/>
        </xdr:cNvSpPr>
      </xdr:nvSpPr>
      <xdr:spPr bwMode="auto">
        <a:xfrm>
          <a:off x="0" y="45129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06" name="AutoShape 10">
          <a:extLst>
            <a:ext uri="{FF2B5EF4-FFF2-40B4-BE49-F238E27FC236}">
              <a16:creationId xmlns:a16="http://schemas.microsoft.com/office/drawing/2014/main" id="{3498B299-D113-85CB-4F13-83594C58B1BB}"/>
            </a:ext>
          </a:extLst>
        </xdr:cNvPr>
        <xdr:cNvSpPr>
          <a:spLocks noChangeAspect="1" noChangeArrowheads="1"/>
        </xdr:cNvSpPr>
      </xdr:nvSpPr>
      <xdr:spPr bwMode="auto">
        <a:xfrm>
          <a:off x="0" y="45510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07" name="AutoShape 11">
          <a:extLst>
            <a:ext uri="{FF2B5EF4-FFF2-40B4-BE49-F238E27FC236}">
              <a16:creationId xmlns:a16="http://schemas.microsoft.com/office/drawing/2014/main" id="{4FE6FD94-C318-7344-82D6-C6DFDCFB9C82}"/>
            </a:ext>
          </a:extLst>
        </xdr:cNvPr>
        <xdr:cNvSpPr>
          <a:spLocks noChangeAspect="1" noChangeArrowheads="1"/>
        </xdr:cNvSpPr>
      </xdr:nvSpPr>
      <xdr:spPr bwMode="auto">
        <a:xfrm>
          <a:off x="0" y="45891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08" name="AutoShape 12">
          <a:extLst>
            <a:ext uri="{FF2B5EF4-FFF2-40B4-BE49-F238E27FC236}">
              <a16:creationId xmlns:a16="http://schemas.microsoft.com/office/drawing/2014/main" id="{4FB9A52C-E6E9-45E6-723C-8B17E1BD838F}"/>
            </a:ext>
          </a:extLst>
        </xdr:cNvPr>
        <xdr:cNvSpPr>
          <a:spLocks noChangeAspect="1" noChangeArrowheads="1"/>
        </xdr:cNvSpPr>
      </xdr:nvSpPr>
      <xdr:spPr bwMode="auto">
        <a:xfrm>
          <a:off x="0" y="46272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09" name="AutoShape 13">
          <a:extLst>
            <a:ext uri="{FF2B5EF4-FFF2-40B4-BE49-F238E27FC236}">
              <a16:creationId xmlns:a16="http://schemas.microsoft.com/office/drawing/2014/main" id="{B229536F-9686-A997-E8AB-9CA8D7616A62}"/>
            </a:ext>
          </a:extLst>
        </xdr:cNvPr>
        <xdr:cNvSpPr>
          <a:spLocks noChangeAspect="1" noChangeArrowheads="1"/>
        </xdr:cNvSpPr>
      </xdr:nvSpPr>
      <xdr:spPr bwMode="auto">
        <a:xfrm>
          <a:off x="0" y="4665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10" name="AutoShape 14">
          <a:extLst>
            <a:ext uri="{FF2B5EF4-FFF2-40B4-BE49-F238E27FC236}">
              <a16:creationId xmlns:a16="http://schemas.microsoft.com/office/drawing/2014/main" id="{8C976138-4DB3-CA7C-940A-08F99CD51699}"/>
            </a:ext>
          </a:extLst>
        </xdr:cNvPr>
        <xdr:cNvSpPr>
          <a:spLocks noChangeAspect="1" noChangeArrowheads="1"/>
        </xdr:cNvSpPr>
      </xdr:nvSpPr>
      <xdr:spPr bwMode="auto">
        <a:xfrm>
          <a:off x="0" y="47034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11" name="AutoShape 15">
          <a:extLst>
            <a:ext uri="{FF2B5EF4-FFF2-40B4-BE49-F238E27FC236}">
              <a16:creationId xmlns:a16="http://schemas.microsoft.com/office/drawing/2014/main" id="{9432A8E6-D0D0-1394-CA60-F742B4378A9B}"/>
            </a:ext>
          </a:extLst>
        </xdr:cNvPr>
        <xdr:cNvSpPr>
          <a:spLocks noChangeAspect="1" noChangeArrowheads="1"/>
        </xdr:cNvSpPr>
      </xdr:nvSpPr>
      <xdr:spPr bwMode="auto">
        <a:xfrm>
          <a:off x="0" y="47415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12" name="AutoShape 16">
          <a:extLst>
            <a:ext uri="{FF2B5EF4-FFF2-40B4-BE49-F238E27FC236}">
              <a16:creationId xmlns:a16="http://schemas.microsoft.com/office/drawing/2014/main" id="{1DADCF92-1B93-FFFA-D235-65F04621FF4D}"/>
            </a:ext>
          </a:extLst>
        </xdr:cNvPr>
        <xdr:cNvSpPr>
          <a:spLocks noChangeAspect="1" noChangeArrowheads="1"/>
        </xdr:cNvSpPr>
      </xdr:nvSpPr>
      <xdr:spPr bwMode="auto">
        <a:xfrm>
          <a:off x="0" y="4779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13" name="AutoShape 17">
          <a:extLst>
            <a:ext uri="{FF2B5EF4-FFF2-40B4-BE49-F238E27FC236}">
              <a16:creationId xmlns:a16="http://schemas.microsoft.com/office/drawing/2014/main" id="{35CBF4FD-47AB-0002-CEE1-756F996118E3}"/>
            </a:ext>
          </a:extLst>
        </xdr:cNvPr>
        <xdr:cNvSpPr>
          <a:spLocks noChangeAspect="1" noChangeArrowheads="1"/>
        </xdr:cNvSpPr>
      </xdr:nvSpPr>
      <xdr:spPr bwMode="auto">
        <a:xfrm>
          <a:off x="0" y="48177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14" name="AutoShape 18">
          <a:extLst>
            <a:ext uri="{FF2B5EF4-FFF2-40B4-BE49-F238E27FC236}">
              <a16:creationId xmlns:a16="http://schemas.microsoft.com/office/drawing/2014/main" id="{85E5AA66-333E-E025-2BA9-5B52654E3BAF}"/>
            </a:ext>
          </a:extLst>
        </xdr:cNvPr>
        <xdr:cNvSpPr>
          <a:spLocks noChangeAspect="1" noChangeArrowheads="1"/>
        </xdr:cNvSpPr>
      </xdr:nvSpPr>
      <xdr:spPr bwMode="auto">
        <a:xfrm>
          <a:off x="0" y="48558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15" name="AutoShape 19">
          <a:extLst>
            <a:ext uri="{FF2B5EF4-FFF2-40B4-BE49-F238E27FC236}">
              <a16:creationId xmlns:a16="http://schemas.microsoft.com/office/drawing/2014/main" id="{22745C13-EC6C-C7BD-70F0-9EB5A4A44296}"/>
            </a:ext>
          </a:extLst>
        </xdr:cNvPr>
        <xdr:cNvSpPr>
          <a:spLocks noChangeAspect="1" noChangeArrowheads="1"/>
        </xdr:cNvSpPr>
      </xdr:nvSpPr>
      <xdr:spPr bwMode="auto">
        <a:xfrm>
          <a:off x="0" y="48939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16" name="AutoShape 20">
          <a:extLst>
            <a:ext uri="{FF2B5EF4-FFF2-40B4-BE49-F238E27FC236}">
              <a16:creationId xmlns:a16="http://schemas.microsoft.com/office/drawing/2014/main" id="{67C7E800-B98E-0FCC-C05B-76AA02FC2EDC}"/>
            </a:ext>
          </a:extLst>
        </xdr:cNvPr>
        <xdr:cNvSpPr>
          <a:spLocks noChangeAspect="1" noChangeArrowheads="1"/>
        </xdr:cNvSpPr>
      </xdr:nvSpPr>
      <xdr:spPr bwMode="auto">
        <a:xfrm>
          <a:off x="0" y="49320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17" name="AutoShape 21">
          <a:extLst>
            <a:ext uri="{FF2B5EF4-FFF2-40B4-BE49-F238E27FC236}">
              <a16:creationId xmlns:a16="http://schemas.microsoft.com/office/drawing/2014/main" id="{3066C698-1F3A-2565-AC7E-27336624107B}"/>
            </a:ext>
          </a:extLst>
        </xdr:cNvPr>
        <xdr:cNvSpPr>
          <a:spLocks noChangeAspect="1" noChangeArrowheads="1"/>
        </xdr:cNvSpPr>
      </xdr:nvSpPr>
      <xdr:spPr bwMode="auto">
        <a:xfrm>
          <a:off x="0" y="49701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18" name="AutoShape 22">
          <a:extLst>
            <a:ext uri="{FF2B5EF4-FFF2-40B4-BE49-F238E27FC236}">
              <a16:creationId xmlns:a16="http://schemas.microsoft.com/office/drawing/2014/main" id="{0B01784B-1177-5B50-582C-F3602A6E60B6}"/>
            </a:ext>
          </a:extLst>
        </xdr:cNvPr>
        <xdr:cNvSpPr>
          <a:spLocks noChangeAspect="1" noChangeArrowheads="1"/>
        </xdr:cNvSpPr>
      </xdr:nvSpPr>
      <xdr:spPr bwMode="auto">
        <a:xfrm>
          <a:off x="0" y="50082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19" name="AutoShape 23">
          <a:extLst>
            <a:ext uri="{FF2B5EF4-FFF2-40B4-BE49-F238E27FC236}">
              <a16:creationId xmlns:a16="http://schemas.microsoft.com/office/drawing/2014/main" id="{D8D6C909-B326-177F-09E8-09DED4EBC7F4}"/>
            </a:ext>
          </a:extLst>
        </xdr:cNvPr>
        <xdr:cNvSpPr>
          <a:spLocks noChangeAspect="1" noChangeArrowheads="1"/>
        </xdr:cNvSpPr>
      </xdr:nvSpPr>
      <xdr:spPr bwMode="auto">
        <a:xfrm>
          <a:off x="0" y="5046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20" name="AutoShape 24">
          <a:extLst>
            <a:ext uri="{FF2B5EF4-FFF2-40B4-BE49-F238E27FC236}">
              <a16:creationId xmlns:a16="http://schemas.microsoft.com/office/drawing/2014/main" id="{13E28B2E-D597-B278-C051-E9D86F4EA08F}"/>
            </a:ext>
          </a:extLst>
        </xdr:cNvPr>
        <xdr:cNvSpPr>
          <a:spLocks noChangeAspect="1" noChangeArrowheads="1"/>
        </xdr:cNvSpPr>
      </xdr:nvSpPr>
      <xdr:spPr bwMode="auto">
        <a:xfrm>
          <a:off x="0" y="50844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21" name="AutoShape 25">
          <a:extLst>
            <a:ext uri="{FF2B5EF4-FFF2-40B4-BE49-F238E27FC236}">
              <a16:creationId xmlns:a16="http://schemas.microsoft.com/office/drawing/2014/main" id="{8F9A522D-164C-9619-E023-645CEE79ACBA}"/>
            </a:ext>
          </a:extLst>
        </xdr:cNvPr>
        <xdr:cNvSpPr>
          <a:spLocks noChangeAspect="1" noChangeArrowheads="1"/>
        </xdr:cNvSpPr>
      </xdr:nvSpPr>
      <xdr:spPr bwMode="auto">
        <a:xfrm>
          <a:off x="0" y="51225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22" name="AutoShape 26">
          <a:extLst>
            <a:ext uri="{FF2B5EF4-FFF2-40B4-BE49-F238E27FC236}">
              <a16:creationId xmlns:a16="http://schemas.microsoft.com/office/drawing/2014/main" id="{F59F2F2E-774A-FA5C-D1B4-3BBB60FD36CC}"/>
            </a:ext>
          </a:extLst>
        </xdr:cNvPr>
        <xdr:cNvSpPr>
          <a:spLocks noChangeAspect="1" noChangeArrowheads="1"/>
        </xdr:cNvSpPr>
      </xdr:nvSpPr>
      <xdr:spPr bwMode="auto">
        <a:xfrm>
          <a:off x="0" y="5160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23" name="AutoShape 27">
          <a:extLst>
            <a:ext uri="{FF2B5EF4-FFF2-40B4-BE49-F238E27FC236}">
              <a16:creationId xmlns:a16="http://schemas.microsoft.com/office/drawing/2014/main" id="{364E703D-D0AC-2043-6AB8-39B669C0A8DE}"/>
            </a:ext>
          </a:extLst>
        </xdr:cNvPr>
        <xdr:cNvSpPr>
          <a:spLocks noChangeAspect="1" noChangeArrowheads="1"/>
        </xdr:cNvSpPr>
      </xdr:nvSpPr>
      <xdr:spPr bwMode="auto">
        <a:xfrm>
          <a:off x="0" y="51987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24" name="AutoShape 28">
          <a:extLst>
            <a:ext uri="{FF2B5EF4-FFF2-40B4-BE49-F238E27FC236}">
              <a16:creationId xmlns:a16="http://schemas.microsoft.com/office/drawing/2014/main" id="{BF07D106-6C96-4B4C-5FFE-2EECD6127121}"/>
            </a:ext>
          </a:extLst>
        </xdr:cNvPr>
        <xdr:cNvSpPr>
          <a:spLocks noChangeAspect="1" noChangeArrowheads="1"/>
        </xdr:cNvSpPr>
      </xdr:nvSpPr>
      <xdr:spPr bwMode="auto">
        <a:xfrm>
          <a:off x="0" y="52368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25" name="AutoShape 29">
          <a:extLst>
            <a:ext uri="{FF2B5EF4-FFF2-40B4-BE49-F238E27FC236}">
              <a16:creationId xmlns:a16="http://schemas.microsoft.com/office/drawing/2014/main" id="{01A7F80E-5CC6-959E-29A6-9C4837E3A124}"/>
            </a:ext>
          </a:extLst>
        </xdr:cNvPr>
        <xdr:cNvSpPr>
          <a:spLocks noChangeAspect="1" noChangeArrowheads="1"/>
        </xdr:cNvSpPr>
      </xdr:nvSpPr>
      <xdr:spPr bwMode="auto">
        <a:xfrm>
          <a:off x="0" y="52749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26" name="AutoShape 30">
          <a:extLst>
            <a:ext uri="{FF2B5EF4-FFF2-40B4-BE49-F238E27FC236}">
              <a16:creationId xmlns:a16="http://schemas.microsoft.com/office/drawing/2014/main" id="{7264991A-981E-6E44-0AE2-D04A78D5618C}"/>
            </a:ext>
          </a:extLst>
        </xdr:cNvPr>
        <xdr:cNvSpPr>
          <a:spLocks noChangeAspect="1" noChangeArrowheads="1"/>
        </xdr:cNvSpPr>
      </xdr:nvSpPr>
      <xdr:spPr bwMode="auto">
        <a:xfrm>
          <a:off x="0" y="53130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27" name="AutoShape 31">
          <a:extLst>
            <a:ext uri="{FF2B5EF4-FFF2-40B4-BE49-F238E27FC236}">
              <a16:creationId xmlns:a16="http://schemas.microsoft.com/office/drawing/2014/main" id="{818C4003-ACD9-754E-2F98-FBA925DA330E}"/>
            </a:ext>
          </a:extLst>
        </xdr:cNvPr>
        <xdr:cNvSpPr>
          <a:spLocks noChangeAspect="1" noChangeArrowheads="1"/>
        </xdr:cNvSpPr>
      </xdr:nvSpPr>
      <xdr:spPr bwMode="auto">
        <a:xfrm>
          <a:off x="0" y="53511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28" name="AutoShape 32">
          <a:extLst>
            <a:ext uri="{FF2B5EF4-FFF2-40B4-BE49-F238E27FC236}">
              <a16:creationId xmlns:a16="http://schemas.microsoft.com/office/drawing/2014/main" id="{91A9FB15-125E-9CF6-02A8-1010CB3DC25F}"/>
            </a:ext>
          </a:extLst>
        </xdr:cNvPr>
        <xdr:cNvSpPr>
          <a:spLocks noChangeAspect="1" noChangeArrowheads="1"/>
        </xdr:cNvSpPr>
      </xdr:nvSpPr>
      <xdr:spPr bwMode="auto">
        <a:xfrm>
          <a:off x="0" y="53892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29" name="AutoShape 33">
          <a:extLst>
            <a:ext uri="{FF2B5EF4-FFF2-40B4-BE49-F238E27FC236}">
              <a16:creationId xmlns:a16="http://schemas.microsoft.com/office/drawing/2014/main" id="{6EDF94A0-9C0A-0AD8-974C-E94C5E8D3EB8}"/>
            </a:ext>
          </a:extLst>
        </xdr:cNvPr>
        <xdr:cNvSpPr>
          <a:spLocks noChangeAspect="1" noChangeArrowheads="1"/>
        </xdr:cNvSpPr>
      </xdr:nvSpPr>
      <xdr:spPr bwMode="auto">
        <a:xfrm>
          <a:off x="0" y="542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30" name="AutoShape 34">
          <a:extLst>
            <a:ext uri="{FF2B5EF4-FFF2-40B4-BE49-F238E27FC236}">
              <a16:creationId xmlns:a16="http://schemas.microsoft.com/office/drawing/2014/main" id="{E6BEAE28-69EC-EC4D-C72B-EDE74909BF2F}"/>
            </a:ext>
          </a:extLst>
        </xdr:cNvPr>
        <xdr:cNvSpPr>
          <a:spLocks noChangeAspect="1" noChangeArrowheads="1"/>
        </xdr:cNvSpPr>
      </xdr:nvSpPr>
      <xdr:spPr bwMode="auto">
        <a:xfrm>
          <a:off x="0" y="54654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31" name="AutoShape 35">
          <a:extLst>
            <a:ext uri="{FF2B5EF4-FFF2-40B4-BE49-F238E27FC236}">
              <a16:creationId xmlns:a16="http://schemas.microsoft.com/office/drawing/2014/main" id="{52D3A2B2-851A-E351-3160-4E0147B74B69}"/>
            </a:ext>
          </a:extLst>
        </xdr:cNvPr>
        <xdr:cNvSpPr>
          <a:spLocks noChangeAspect="1" noChangeArrowheads="1"/>
        </xdr:cNvSpPr>
      </xdr:nvSpPr>
      <xdr:spPr bwMode="auto">
        <a:xfrm>
          <a:off x="0" y="55035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32" name="AutoShape 36">
          <a:extLst>
            <a:ext uri="{FF2B5EF4-FFF2-40B4-BE49-F238E27FC236}">
              <a16:creationId xmlns:a16="http://schemas.microsoft.com/office/drawing/2014/main" id="{F01978C2-8C47-8249-8AAA-7D4EAEDBF66F}"/>
            </a:ext>
          </a:extLst>
        </xdr:cNvPr>
        <xdr:cNvSpPr>
          <a:spLocks noChangeAspect="1" noChangeArrowheads="1"/>
        </xdr:cNvSpPr>
      </xdr:nvSpPr>
      <xdr:spPr bwMode="auto">
        <a:xfrm>
          <a:off x="0" y="5541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33" name="AutoShape 37">
          <a:extLst>
            <a:ext uri="{FF2B5EF4-FFF2-40B4-BE49-F238E27FC236}">
              <a16:creationId xmlns:a16="http://schemas.microsoft.com/office/drawing/2014/main" id="{ED233373-5D15-8D92-8AAD-AF6CABED30F6}"/>
            </a:ext>
          </a:extLst>
        </xdr:cNvPr>
        <xdr:cNvSpPr>
          <a:spLocks noChangeAspect="1" noChangeArrowheads="1"/>
        </xdr:cNvSpPr>
      </xdr:nvSpPr>
      <xdr:spPr bwMode="auto">
        <a:xfrm>
          <a:off x="0" y="55797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34" name="AutoShape 38">
          <a:extLst>
            <a:ext uri="{FF2B5EF4-FFF2-40B4-BE49-F238E27FC236}">
              <a16:creationId xmlns:a16="http://schemas.microsoft.com/office/drawing/2014/main" id="{FE61E89B-4ECA-75B2-29B0-DE5CD34C4C88}"/>
            </a:ext>
          </a:extLst>
        </xdr:cNvPr>
        <xdr:cNvSpPr>
          <a:spLocks noChangeAspect="1" noChangeArrowheads="1"/>
        </xdr:cNvSpPr>
      </xdr:nvSpPr>
      <xdr:spPr bwMode="auto">
        <a:xfrm>
          <a:off x="0" y="56178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35" name="AutoShape 39">
          <a:extLst>
            <a:ext uri="{FF2B5EF4-FFF2-40B4-BE49-F238E27FC236}">
              <a16:creationId xmlns:a16="http://schemas.microsoft.com/office/drawing/2014/main" id="{C6D5E03D-A124-A80E-19BB-CD583178BFF2}"/>
            </a:ext>
          </a:extLst>
        </xdr:cNvPr>
        <xdr:cNvSpPr>
          <a:spLocks noChangeAspect="1" noChangeArrowheads="1"/>
        </xdr:cNvSpPr>
      </xdr:nvSpPr>
      <xdr:spPr bwMode="auto">
        <a:xfrm>
          <a:off x="0" y="56559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36" name="AutoShape 40">
          <a:extLst>
            <a:ext uri="{FF2B5EF4-FFF2-40B4-BE49-F238E27FC236}">
              <a16:creationId xmlns:a16="http://schemas.microsoft.com/office/drawing/2014/main" id="{AFC7F1A7-B84D-7375-5132-879B68CF7256}"/>
            </a:ext>
          </a:extLst>
        </xdr:cNvPr>
        <xdr:cNvSpPr>
          <a:spLocks noChangeAspect="1" noChangeArrowheads="1"/>
        </xdr:cNvSpPr>
      </xdr:nvSpPr>
      <xdr:spPr bwMode="auto">
        <a:xfrm>
          <a:off x="0" y="56940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37" name="AutoShape 41">
          <a:extLst>
            <a:ext uri="{FF2B5EF4-FFF2-40B4-BE49-F238E27FC236}">
              <a16:creationId xmlns:a16="http://schemas.microsoft.com/office/drawing/2014/main" id="{E8577547-173A-E886-62D1-1148DDA1A882}"/>
            </a:ext>
          </a:extLst>
        </xdr:cNvPr>
        <xdr:cNvSpPr>
          <a:spLocks noChangeAspect="1" noChangeArrowheads="1"/>
        </xdr:cNvSpPr>
      </xdr:nvSpPr>
      <xdr:spPr bwMode="auto">
        <a:xfrm>
          <a:off x="0" y="57321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38" name="AutoShape 42">
          <a:extLst>
            <a:ext uri="{FF2B5EF4-FFF2-40B4-BE49-F238E27FC236}">
              <a16:creationId xmlns:a16="http://schemas.microsoft.com/office/drawing/2014/main" id="{473E8BCF-C532-0968-428A-7E5A8CF7F4C3}"/>
            </a:ext>
          </a:extLst>
        </xdr:cNvPr>
        <xdr:cNvSpPr>
          <a:spLocks noChangeAspect="1" noChangeArrowheads="1"/>
        </xdr:cNvSpPr>
      </xdr:nvSpPr>
      <xdr:spPr bwMode="auto">
        <a:xfrm>
          <a:off x="0" y="57702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39" name="AutoShape 43">
          <a:extLst>
            <a:ext uri="{FF2B5EF4-FFF2-40B4-BE49-F238E27FC236}">
              <a16:creationId xmlns:a16="http://schemas.microsoft.com/office/drawing/2014/main" id="{83176B3F-436B-8FB4-4E9E-AAE1D94BFEF5}"/>
            </a:ext>
          </a:extLst>
        </xdr:cNvPr>
        <xdr:cNvSpPr>
          <a:spLocks noChangeAspect="1" noChangeArrowheads="1"/>
        </xdr:cNvSpPr>
      </xdr:nvSpPr>
      <xdr:spPr bwMode="auto">
        <a:xfrm>
          <a:off x="0" y="5808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40" name="AutoShape 44">
          <a:extLst>
            <a:ext uri="{FF2B5EF4-FFF2-40B4-BE49-F238E27FC236}">
              <a16:creationId xmlns:a16="http://schemas.microsoft.com/office/drawing/2014/main" id="{061767F4-81AE-2326-15B9-1CBCA14831F3}"/>
            </a:ext>
          </a:extLst>
        </xdr:cNvPr>
        <xdr:cNvSpPr>
          <a:spLocks noChangeAspect="1" noChangeArrowheads="1"/>
        </xdr:cNvSpPr>
      </xdr:nvSpPr>
      <xdr:spPr bwMode="auto">
        <a:xfrm>
          <a:off x="0" y="58464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41" name="AutoShape 45">
          <a:extLst>
            <a:ext uri="{FF2B5EF4-FFF2-40B4-BE49-F238E27FC236}">
              <a16:creationId xmlns:a16="http://schemas.microsoft.com/office/drawing/2014/main" id="{907801E2-0554-24C5-B580-B35B056D5E7F}"/>
            </a:ext>
          </a:extLst>
        </xdr:cNvPr>
        <xdr:cNvSpPr>
          <a:spLocks noChangeAspect="1" noChangeArrowheads="1"/>
        </xdr:cNvSpPr>
      </xdr:nvSpPr>
      <xdr:spPr bwMode="auto">
        <a:xfrm>
          <a:off x="0" y="58845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42" name="AutoShape 46">
          <a:extLst>
            <a:ext uri="{FF2B5EF4-FFF2-40B4-BE49-F238E27FC236}">
              <a16:creationId xmlns:a16="http://schemas.microsoft.com/office/drawing/2014/main" id="{766230D9-D436-E17E-70DB-B0CF3AE9D69C}"/>
            </a:ext>
          </a:extLst>
        </xdr:cNvPr>
        <xdr:cNvSpPr>
          <a:spLocks noChangeAspect="1" noChangeArrowheads="1"/>
        </xdr:cNvSpPr>
      </xdr:nvSpPr>
      <xdr:spPr bwMode="auto">
        <a:xfrm>
          <a:off x="0" y="5922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43" name="AutoShape 47">
          <a:extLst>
            <a:ext uri="{FF2B5EF4-FFF2-40B4-BE49-F238E27FC236}">
              <a16:creationId xmlns:a16="http://schemas.microsoft.com/office/drawing/2014/main" id="{8D4013FA-1DEF-0085-4AEB-5C745504776A}"/>
            </a:ext>
          </a:extLst>
        </xdr:cNvPr>
        <xdr:cNvSpPr>
          <a:spLocks noChangeAspect="1" noChangeArrowheads="1"/>
        </xdr:cNvSpPr>
      </xdr:nvSpPr>
      <xdr:spPr bwMode="auto">
        <a:xfrm>
          <a:off x="0" y="59607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44" name="AutoShape 48">
          <a:extLst>
            <a:ext uri="{FF2B5EF4-FFF2-40B4-BE49-F238E27FC236}">
              <a16:creationId xmlns:a16="http://schemas.microsoft.com/office/drawing/2014/main" id="{2B238FAB-A47E-8C5F-3315-693266381B41}"/>
            </a:ext>
          </a:extLst>
        </xdr:cNvPr>
        <xdr:cNvSpPr>
          <a:spLocks noChangeAspect="1" noChangeArrowheads="1"/>
        </xdr:cNvSpPr>
      </xdr:nvSpPr>
      <xdr:spPr bwMode="auto">
        <a:xfrm>
          <a:off x="0" y="59988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45" name="AutoShape 49">
          <a:extLst>
            <a:ext uri="{FF2B5EF4-FFF2-40B4-BE49-F238E27FC236}">
              <a16:creationId xmlns:a16="http://schemas.microsoft.com/office/drawing/2014/main" id="{F2267144-2B28-E6CD-03BC-1D4465EEEDF1}"/>
            </a:ext>
          </a:extLst>
        </xdr:cNvPr>
        <xdr:cNvSpPr>
          <a:spLocks noChangeAspect="1" noChangeArrowheads="1"/>
        </xdr:cNvSpPr>
      </xdr:nvSpPr>
      <xdr:spPr bwMode="auto">
        <a:xfrm>
          <a:off x="0" y="60369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46" name="AutoShape 50">
          <a:extLst>
            <a:ext uri="{FF2B5EF4-FFF2-40B4-BE49-F238E27FC236}">
              <a16:creationId xmlns:a16="http://schemas.microsoft.com/office/drawing/2014/main" id="{F551C432-2783-9F50-952B-947CBB7AF552}"/>
            </a:ext>
          </a:extLst>
        </xdr:cNvPr>
        <xdr:cNvSpPr>
          <a:spLocks noChangeAspect="1" noChangeArrowheads="1"/>
        </xdr:cNvSpPr>
      </xdr:nvSpPr>
      <xdr:spPr bwMode="auto">
        <a:xfrm>
          <a:off x="0" y="60750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47" name="AutoShape 51">
          <a:extLst>
            <a:ext uri="{FF2B5EF4-FFF2-40B4-BE49-F238E27FC236}">
              <a16:creationId xmlns:a16="http://schemas.microsoft.com/office/drawing/2014/main" id="{68F7E6E4-60E8-7FEA-2E92-8BDC33C9DE57}"/>
            </a:ext>
          </a:extLst>
        </xdr:cNvPr>
        <xdr:cNvSpPr>
          <a:spLocks noChangeAspect="1" noChangeArrowheads="1"/>
        </xdr:cNvSpPr>
      </xdr:nvSpPr>
      <xdr:spPr bwMode="auto">
        <a:xfrm>
          <a:off x="0" y="61131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48" name="AutoShape 52">
          <a:extLst>
            <a:ext uri="{FF2B5EF4-FFF2-40B4-BE49-F238E27FC236}">
              <a16:creationId xmlns:a16="http://schemas.microsoft.com/office/drawing/2014/main" id="{AED466C5-A990-0A40-E6B6-BC903245465F}"/>
            </a:ext>
          </a:extLst>
        </xdr:cNvPr>
        <xdr:cNvSpPr>
          <a:spLocks noChangeAspect="1" noChangeArrowheads="1"/>
        </xdr:cNvSpPr>
      </xdr:nvSpPr>
      <xdr:spPr bwMode="auto">
        <a:xfrm>
          <a:off x="0" y="61512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49" name="AutoShape 53">
          <a:extLst>
            <a:ext uri="{FF2B5EF4-FFF2-40B4-BE49-F238E27FC236}">
              <a16:creationId xmlns:a16="http://schemas.microsoft.com/office/drawing/2014/main" id="{3DEA76AD-0B3F-9524-EE65-810DC5709C29}"/>
            </a:ext>
          </a:extLst>
        </xdr:cNvPr>
        <xdr:cNvSpPr>
          <a:spLocks noChangeAspect="1" noChangeArrowheads="1"/>
        </xdr:cNvSpPr>
      </xdr:nvSpPr>
      <xdr:spPr bwMode="auto">
        <a:xfrm>
          <a:off x="0" y="6189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50" name="AutoShape 54">
          <a:extLst>
            <a:ext uri="{FF2B5EF4-FFF2-40B4-BE49-F238E27FC236}">
              <a16:creationId xmlns:a16="http://schemas.microsoft.com/office/drawing/2014/main" id="{2795CFA0-0CA8-D8AE-434B-8497A9386FD7}"/>
            </a:ext>
          </a:extLst>
        </xdr:cNvPr>
        <xdr:cNvSpPr>
          <a:spLocks noChangeAspect="1" noChangeArrowheads="1"/>
        </xdr:cNvSpPr>
      </xdr:nvSpPr>
      <xdr:spPr bwMode="auto">
        <a:xfrm>
          <a:off x="0" y="62274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51" name="AutoShape 55">
          <a:extLst>
            <a:ext uri="{FF2B5EF4-FFF2-40B4-BE49-F238E27FC236}">
              <a16:creationId xmlns:a16="http://schemas.microsoft.com/office/drawing/2014/main" id="{BBA7F464-28B6-AE90-C702-6AB377EA9003}"/>
            </a:ext>
          </a:extLst>
        </xdr:cNvPr>
        <xdr:cNvSpPr>
          <a:spLocks noChangeAspect="1" noChangeArrowheads="1"/>
        </xdr:cNvSpPr>
      </xdr:nvSpPr>
      <xdr:spPr bwMode="auto">
        <a:xfrm>
          <a:off x="0" y="62655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52" name="AutoShape 56">
          <a:extLst>
            <a:ext uri="{FF2B5EF4-FFF2-40B4-BE49-F238E27FC236}">
              <a16:creationId xmlns:a16="http://schemas.microsoft.com/office/drawing/2014/main" id="{EE3D1877-86D0-8D10-8FB2-D9BE8C42A205}"/>
            </a:ext>
          </a:extLst>
        </xdr:cNvPr>
        <xdr:cNvSpPr>
          <a:spLocks noChangeAspect="1" noChangeArrowheads="1"/>
        </xdr:cNvSpPr>
      </xdr:nvSpPr>
      <xdr:spPr bwMode="auto">
        <a:xfrm>
          <a:off x="0" y="6303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53" name="AutoShape 57">
          <a:extLst>
            <a:ext uri="{FF2B5EF4-FFF2-40B4-BE49-F238E27FC236}">
              <a16:creationId xmlns:a16="http://schemas.microsoft.com/office/drawing/2014/main" id="{C4B0ACC7-E886-1D48-C080-2F5CAE7175F1}"/>
            </a:ext>
          </a:extLst>
        </xdr:cNvPr>
        <xdr:cNvSpPr>
          <a:spLocks noChangeAspect="1" noChangeArrowheads="1"/>
        </xdr:cNvSpPr>
      </xdr:nvSpPr>
      <xdr:spPr bwMode="auto">
        <a:xfrm>
          <a:off x="0" y="63417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54" name="AutoShape 58">
          <a:extLst>
            <a:ext uri="{FF2B5EF4-FFF2-40B4-BE49-F238E27FC236}">
              <a16:creationId xmlns:a16="http://schemas.microsoft.com/office/drawing/2014/main" id="{04AF1541-B46A-0537-2C1F-DEF06EED599B}"/>
            </a:ext>
          </a:extLst>
        </xdr:cNvPr>
        <xdr:cNvSpPr>
          <a:spLocks noChangeAspect="1" noChangeArrowheads="1"/>
        </xdr:cNvSpPr>
      </xdr:nvSpPr>
      <xdr:spPr bwMode="auto">
        <a:xfrm>
          <a:off x="0" y="63798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55" name="AutoShape 59">
          <a:extLst>
            <a:ext uri="{FF2B5EF4-FFF2-40B4-BE49-F238E27FC236}">
              <a16:creationId xmlns:a16="http://schemas.microsoft.com/office/drawing/2014/main" id="{DE7890BE-89FE-1A91-53EC-FDE649D69A79}"/>
            </a:ext>
          </a:extLst>
        </xdr:cNvPr>
        <xdr:cNvSpPr>
          <a:spLocks noChangeAspect="1" noChangeArrowheads="1"/>
        </xdr:cNvSpPr>
      </xdr:nvSpPr>
      <xdr:spPr bwMode="auto">
        <a:xfrm>
          <a:off x="0" y="64179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56" name="AutoShape 60">
          <a:extLst>
            <a:ext uri="{FF2B5EF4-FFF2-40B4-BE49-F238E27FC236}">
              <a16:creationId xmlns:a16="http://schemas.microsoft.com/office/drawing/2014/main" id="{E25D9AEA-52A2-7A07-1624-58ADBBE77FD0}"/>
            </a:ext>
          </a:extLst>
        </xdr:cNvPr>
        <xdr:cNvSpPr>
          <a:spLocks noChangeAspect="1" noChangeArrowheads="1"/>
        </xdr:cNvSpPr>
      </xdr:nvSpPr>
      <xdr:spPr bwMode="auto">
        <a:xfrm>
          <a:off x="0" y="64560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57" name="AutoShape 61">
          <a:extLst>
            <a:ext uri="{FF2B5EF4-FFF2-40B4-BE49-F238E27FC236}">
              <a16:creationId xmlns:a16="http://schemas.microsoft.com/office/drawing/2014/main" id="{8ED7988B-7506-03D6-E707-0C8767C888B9}"/>
            </a:ext>
          </a:extLst>
        </xdr:cNvPr>
        <xdr:cNvSpPr>
          <a:spLocks noChangeAspect="1" noChangeArrowheads="1"/>
        </xdr:cNvSpPr>
      </xdr:nvSpPr>
      <xdr:spPr bwMode="auto">
        <a:xfrm>
          <a:off x="0" y="64941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58" name="AutoShape 62">
          <a:extLst>
            <a:ext uri="{FF2B5EF4-FFF2-40B4-BE49-F238E27FC236}">
              <a16:creationId xmlns:a16="http://schemas.microsoft.com/office/drawing/2014/main" id="{B9171EC0-22A7-F44C-95C3-BF15672F5DB4}"/>
            </a:ext>
          </a:extLst>
        </xdr:cNvPr>
        <xdr:cNvSpPr>
          <a:spLocks noChangeAspect="1" noChangeArrowheads="1"/>
        </xdr:cNvSpPr>
      </xdr:nvSpPr>
      <xdr:spPr bwMode="auto">
        <a:xfrm>
          <a:off x="0" y="65322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59" name="AutoShape 63">
          <a:extLst>
            <a:ext uri="{FF2B5EF4-FFF2-40B4-BE49-F238E27FC236}">
              <a16:creationId xmlns:a16="http://schemas.microsoft.com/office/drawing/2014/main" id="{994306C8-F8F3-CFDF-ECBD-6CDA16DD3472}"/>
            </a:ext>
          </a:extLst>
        </xdr:cNvPr>
        <xdr:cNvSpPr>
          <a:spLocks noChangeAspect="1" noChangeArrowheads="1"/>
        </xdr:cNvSpPr>
      </xdr:nvSpPr>
      <xdr:spPr bwMode="auto">
        <a:xfrm>
          <a:off x="0" y="6570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60" name="AutoShape 64">
          <a:extLst>
            <a:ext uri="{FF2B5EF4-FFF2-40B4-BE49-F238E27FC236}">
              <a16:creationId xmlns:a16="http://schemas.microsoft.com/office/drawing/2014/main" id="{047F8060-D829-DCD9-3C66-6D5BD2EC29C3}"/>
            </a:ext>
          </a:extLst>
        </xdr:cNvPr>
        <xdr:cNvSpPr>
          <a:spLocks noChangeAspect="1" noChangeArrowheads="1"/>
        </xdr:cNvSpPr>
      </xdr:nvSpPr>
      <xdr:spPr bwMode="auto">
        <a:xfrm>
          <a:off x="0" y="66084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D4F5F9E-6B14-48AB-B2EF-D4C4A7F78529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30BACD42-7C39-421B-B711-6F1AD8856A99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AE382BBB-ED90-4173-9575-66A0E1E2A68E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5" name="AutoShape 4">
          <a:extLst>
            <a:ext uri="{FF2B5EF4-FFF2-40B4-BE49-F238E27FC236}">
              <a16:creationId xmlns:a16="http://schemas.microsoft.com/office/drawing/2014/main" id="{97C30A65-C7D8-400E-A3DD-A2F210B1066F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6" name="AutoShape 5">
          <a:extLst>
            <a:ext uri="{FF2B5EF4-FFF2-40B4-BE49-F238E27FC236}">
              <a16:creationId xmlns:a16="http://schemas.microsoft.com/office/drawing/2014/main" id="{1FE388EE-B26C-4B20-8F71-5061627D3EF2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7" name="AutoShape 6">
          <a:extLst>
            <a:ext uri="{FF2B5EF4-FFF2-40B4-BE49-F238E27FC236}">
              <a16:creationId xmlns:a16="http://schemas.microsoft.com/office/drawing/2014/main" id="{A5BC9DAC-AB12-4226-82F4-B20C2871DFD2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8" name="AutoShape 7">
          <a:extLst>
            <a:ext uri="{FF2B5EF4-FFF2-40B4-BE49-F238E27FC236}">
              <a16:creationId xmlns:a16="http://schemas.microsoft.com/office/drawing/2014/main" id="{4A487B81-65A1-4257-AFD1-E3CDB2B2B1AF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9" name="AutoShape 8">
          <a:extLst>
            <a:ext uri="{FF2B5EF4-FFF2-40B4-BE49-F238E27FC236}">
              <a16:creationId xmlns:a16="http://schemas.microsoft.com/office/drawing/2014/main" id="{7958B814-E53C-4973-B493-01A83465951B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10" name="AutoShape 9">
          <a:extLst>
            <a:ext uri="{FF2B5EF4-FFF2-40B4-BE49-F238E27FC236}">
              <a16:creationId xmlns:a16="http://schemas.microsoft.com/office/drawing/2014/main" id="{3A4E4BC0-E7D0-4954-916A-1642C1BAC4FB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11" name="AutoShape 10">
          <a:extLst>
            <a:ext uri="{FF2B5EF4-FFF2-40B4-BE49-F238E27FC236}">
              <a16:creationId xmlns:a16="http://schemas.microsoft.com/office/drawing/2014/main" id="{AAF61CB4-1B72-4283-AA25-31A799561A7A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12" name="AutoShape 11">
          <a:extLst>
            <a:ext uri="{FF2B5EF4-FFF2-40B4-BE49-F238E27FC236}">
              <a16:creationId xmlns:a16="http://schemas.microsoft.com/office/drawing/2014/main" id="{AE12D190-00AC-4D2F-8546-6D1D9CA92463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13" name="AutoShape 12">
          <a:extLst>
            <a:ext uri="{FF2B5EF4-FFF2-40B4-BE49-F238E27FC236}">
              <a16:creationId xmlns:a16="http://schemas.microsoft.com/office/drawing/2014/main" id="{FE6A2DE6-E113-41F4-802B-5186B1DBCFB9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14" name="AutoShape 13">
          <a:extLst>
            <a:ext uri="{FF2B5EF4-FFF2-40B4-BE49-F238E27FC236}">
              <a16:creationId xmlns:a16="http://schemas.microsoft.com/office/drawing/2014/main" id="{AF1DBDC0-34BA-49B0-BCFE-8CDB06B03475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15" name="AutoShape 14">
          <a:extLst>
            <a:ext uri="{FF2B5EF4-FFF2-40B4-BE49-F238E27FC236}">
              <a16:creationId xmlns:a16="http://schemas.microsoft.com/office/drawing/2014/main" id="{96E9D0CF-12CD-4A51-8E32-CDAB2957F7ED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16" name="AutoShape 15">
          <a:extLst>
            <a:ext uri="{FF2B5EF4-FFF2-40B4-BE49-F238E27FC236}">
              <a16:creationId xmlns:a16="http://schemas.microsoft.com/office/drawing/2014/main" id="{DE743629-4A25-477F-9211-A4CA2090E019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17" name="AutoShape 16">
          <a:extLst>
            <a:ext uri="{FF2B5EF4-FFF2-40B4-BE49-F238E27FC236}">
              <a16:creationId xmlns:a16="http://schemas.microsoft.com/office/drawing/2014/main" id="{12F2079F-6A43-4339-A00B-87A79A8F540A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18" name="AutoShape 17">
          <a:extLst>
            <a:ext uri="{FF2B5EF4-FFF2-40B4-BE49-F238E27FC236}">
              <a16:creationId xmlns:a16="http://schemas.microsoft.com/office/drawing/2014/main" id="{3E569F0E-8C2A-4D6B-A57C-15699CA76DBC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19" name="AutoShape 18">
          <a:extLst>
            <a:ext uri="{FF2B5EF4-FFF2-40B4-BE49-F238E27FC236}">
              <a16:creationId xmlns:a16="http://schemas.microsoft.com/office/drawing/2014/main" id="{1BDB3C9E-B7AF-4755-87C6-BFC35D89F061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20" name="AutoShape 19">
          <a:extLst>
            <a:ext uri="{FF2B5EF4-FFF2-40B4-BE49-F238E27FC236}">
              <a16:creationId xmlns:a16="http://schemas.microsoft.com/office/drawing/2014/main" id="{F40333E6-E4E8-40BD-B1D5-506701183BE3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21" name="AutoShape 20">
          <a:extLst>
            <a:ext uri="{FF2B5EF4-FFF2-40B4-BE49-F238E27FC236}">
              <a16:creationId xmlns:a16="http://schemas.microsoft.com/office/drawing/2014/main" id="{A4A22788-EDA2-4DF7-A54D-5DBC884B9B6D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22" name="AutoShape 21">
          <a:extLst>
            <a:ext uri="{FF2B5EF4-FFF2-40B4-BE49-F238E27FC236}">
              <a16:creationId xmlns:a16="http://schemas.microsoft.com/office/drawing/2014/main" id="{AB103C06-E30D-41EB-BD8D-7391CD018E21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23" name="AutoShape 22">
          <a:extLst>
            <a:ext uri="{FF2B5EF4-FFF2-40B4-BE49-F238E27FC236}">
              <a16:creationId xmlns:a16="http://schemas.microsoft.com/office/drawing/2014/main" id="{CC6D2CB9-10ED-428A-9C99-23E3903662EC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24" name="AutoShape 23">
          <a:extLst>
            <a:ext uri="{FF2B5EF4-FFF2-40B4-BE49-F238E27FC236}">
              <a16:creationId xmlns:a16="http://schemas.microsoft.com/office/drawing/2014/main" id="{68099F84-A412-49EF-8B38-517548431F71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25" name="AutoShape 24">
          <a:extLst>
            <a:ext uri="{FF2B5EF4-FFF2-40B4-BE49-F238E27FC236}">
              <a16:creationId xmlns:a16="http://schemas.microsoft.com/office/drawing/2014/main" id="{F592F12F-21E5-4C0F-8C95-219F2DFC6BBF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26" name="AutoShape 25">
          <a:extLst>
            <a:ext uri="{FF2B5EF4-FFF2-40B4-BE49-F238E27FC236}">
              <a16:creationId xmlns:a16="http://schemas.microsoft.com/office/drawing/2014/main" id="{9A624050-440F-48C6-846C-E98A486CA82E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27" name="AutoShape 26">
          <a:extLst>
            <a:ext uri="{FF2B5EF4-FFF2-40B4-BE49-F238E27FC236}">
              <a16:creationId xmlns:a16="http://schemas.microsoft.com/office/drawing/2014/main" id="{9A3ECCCB-7599-4D77-A1D0-6EF61E52A56E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28" name="AutoShape 27">
          <a:extLst>
            <a:ext uri="{FF2B5EF4-FFF2-40B4-BE49-F238E27FC236}">
              <a16:creationId xmlns:a16="http://schemas.microsoft.com/office/drawing/2014/main" id="{719845DB-C653-43E3-BBAF-EEDB22DCB7DB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29" name="AutoShape 28">
          <a:extLst>
            <a:ext uri="{FF2B5EF4-FFF2-40B4-BE49-F238E27FC236}">
              <a16:creationId xmlns:a16="http://schemas.microsoft.com/office/drawing/2014/main" id="{5F96220F-B5C8-460B-9679-8F695FA2D12B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30" name="AutoShape 29">
          <a:extLst>
            <a:ext uri="{FF2B5EF4-FFF2-40B4-BE49-F238E27FC236}">
              <a16:creationId xmlns:a16="http://schemas.microsoft.com/office/drawing/2014/main" id="{F438D624-C0A8-44CF-84D8-B63399B0EBBE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31" name="AutoShape 30">
          <a:extLst>
            <a:ext uri="{FF2B5EF4-FFF2-40B4-BE49-F238E27FC236}">
              <a16:creationId xmlns:a16="http://schemas.microsoft.com/office/drawing/2014/main" id="{EF3D487C-C607-4DAE-871B-C2A8D44732D3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32" name="AutoShape 31">
          <a:extLst>
            <a:ext uri="{FF2B5EF4-FFF2-40B4-BE49-F238E27FC236}">
              <a16:creationId xmlns:a16="http://schemas.microsoft.com/office/drawing/2014/main" id="{6E6C530D-BE41-445F-BBC1-E5036F159F30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33" name="AutoShape 32">
          <a:extLst>
            <a:ext uri="{FF2B5EF4-FFF2-40B4-BE49-F238E27FC236}">
              <a16:creationId xmlns:a16="http://schemas.microsoft.com/office/drawing/2014/main" id="{AF24D8E0-C5F8-4DE6-8C86-527AE8EE1A58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34" name="AutoShape 33">
          <a:extLst>
            <a:ext uri="{FF2B5EF4-FFF2-40B4-BE49-F238E27FC236}">
              <a16:creationId xmlns:a16="http://schemas.microsoft.com/office/drawing/2014/main" id="{BC8D02DC-4225-4643-857F-B8DAF60C10D5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35" name="AutoShape 34">
          <a:extLst>
            <a:ext uri="{FF2B5EF4-FFF2-40B4-BE49-F238E27FC236}">
              <a16:creationId xmlns:a16="http://schemas.microsoft.com/office/drawing/2014/main" id="{F1C82DB6-A59C-4719-80C1-5A4AFCE553EA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36" name="AutoShape 35">
          <a:extLst>
            <a:ext uri="{FF2B5EF4-FFF2-40B4-BE49-F238E27FC236}">
              <a16:creationId xmlns:a16="http://schemas.microsoft.com/office/drawing/2014/main" id="{C048425A-8131-4837-8F4B-2C198190BD51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37" name="AutoShape 36">
          <a:extLst>
            <a:ext uri="{FF2B5EF4-FFF2-40B4-BE49-F238E27FC236}">
              <a16:creationId xmlns:a16="http://schemas.microsoft.com/office/drawing/2014/main" id="{27475775-00D3-4F71-983B-83ECE7CD8AE5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38" name="AutoShape 37">
          <a:extLst>
            <a:ext uri="{FF2B5EF4-FFF2-40B4-BE49-F238E27FC236}">
              <a16:creationId xmlns:a16="http://schemas.microsoft.com/office/drawing/2014/main" id="{49BF14A2-9E3F-48F9-857D-876AFFC59B68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39" name="AutoShape 38">
          <a:extLst>
            <a:ext uri="{FF2B5EF4-FFF2-40B4-BE49-F238E27FC236}">
              <a16:creationId xmlns:a16="http://schemas.microsoft.com/office/drawing/2014/main" id="{A03AB393-D1A7-429D-B21C-67B4E5498C60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40" name="AutoShape 39">
          <a:extLst>
            <a:ext uri="{FF2B5EF4-FFF2-40B4-BE49-F238E27FC236}">
              <a16:creationId xmlns:a16="http://schemas.microsoft.com/office/drawing/2014/main" id="{EE3A026D-938E-44A7-A26D-2A1EDDAFFCC3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41" name="AutoShape 40">
          <a:extLst>
            <a:ext uri="{FF2B5EF4-FFF2-40B4-BE49-F238E27FC236}">
              <a16:creationId xmlns:a16="http://schemas.microsoft.com/office/drawing/2014/main" id="{F1457A57-C97F-4149-89AB-0EB77902A176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42" name="AutoShape 41">
          <a:extLst>
            <a:ext uri="{FF2B5EF4-FFF2-40B4-BE49-F238E27FC236}">
              <a16:creationId xmlns:a16="http://schemas.microsoft.com/office/drawing/2014/main" id="{A7BED333-8704-42F1-B307-52CEB3613073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43" name="AutoShape 42">
          <a:extLst>
            <a:ext uri="{FF2B5EF4-FFF2-40B4-BE49-F238E27FC236}">
              <a16:creationId xmlns:a16="http://schemas.microsoft.com/office/drawing/2014/main" id="{6C7E58D6-60D7-46B1-9978-F4D1C5FFC205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44" name="AutoShape 43">
          <a:extLst>
            <a:ext uri="{FF2B5EF4-FFF2-40B4-BE49-F238E27FC236}">
              <a16:creationId xmlns:a16="http://schemas.microsoft.com/office/drawing/2014/main" id="{FD72437C-109F-4627-A0BE-38D0A60E6099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45" name="AutoShape 44">
          <a:extLst>
            <a:ext uri="{FF2B5EF4-FFF2-40B4-BE49-F238E27FC236}">
              <a16:creationId xmlns:a16="http://schemas.microsoft.com/office/drawing/2014/main" id="{F28DF5CE-9BEB-4854-ADE0-952624778326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46" name="AutoShape 45">
          <a:extLst>
            <a:ext uri="{FF2B5EF4-FFF2-40B4-BE49-F238E27FC236}">
              <a16:creationId xmlns:a16="http://schemas.microsoft.com/office/drawing/2014/main" id="{A5481F71-30A7-48A2-AC49-20F0142CD637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47" name="AutoShape 46">
          <a:extLst>
            <a:ext uri="{FF2B5EF4-FFF2-40B4-BE49-F238E27FC236}">
              <a16:creationId xmlns:a16="http://schemas.microsoft.com/office/drawing/2014/main" id="{49020BCD-804C-4755-85E7-60277EADFF6D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48" name="AutoShape 47">
          <a:extLst>
            <a:ext uri="{FF2B5EF4-FFF2-40B4-BE49-F238E27FC236}">
              <a16:creationId xmlns:a16="http://schemas.microsoft.com/office/drawing/2014/main" id="{013B3DB9-9649-4676-8D52-AE91339B0369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49" name="AutoShape 48">
          <a:extLst>
            <a:ext uri="{FF2B5EF4-FFF2-40B4-BE49-F238E27FC236}">
              <a16:creationId xmlns:a16="http://schemas.microsoft.com/office/drawing/2014/main" id="{24208728-EDF6-485C-AD74-67DFE0DEA0D1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50" name="AutoShape 49">
          <a:extLst>
            <a:ext uri="{FF2B5EF4-FFF2-40B4-BE49-F238E27FC236}">
              <a16:creationId xmlns:a16="http://schemas.microsoft.com/office/drawing/2014/main" id="{7D466C9C-D29E-4841-81EF-C4BCED36A2A5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51" name="AutoShape 50">
          <a:extLst>
            <a:ext uri="{FF2B5EF4-FFF2-40B4-BE49-F238E27FC236}">
              <a16:creationId xmlns:a16="http://schemas.microsoft.com/office/drawing/2014/main" id="{1B19AAEE-C752-4060-82DE-604FFCFECFA9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52" name="AutoShape 51">
          <a:extLst>
            <a:ext uri="{FF2B5EF4-FFF2-40B4-BE49-F238E27FC236}">
              <a16:creationId xmlns:a16="http://schemas.microsoft.com/office/drawing/2014/main" id="{5D7A5C57-CC2B-404B-AF61-1E41D2E665D5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53" name="AutoShape 52">
          <a:extLst>
            <a:ext uri="{FF2B5EF4-FFF2-40B4-BE49-F238E27FC236}">
              <a16:creationId xmlns:a16="http://schemas.microsoft.com/office/drawing/2014/main" id="{9A92E14B-3E98-4724-B6EB-C8EB196BA1F2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54" name="AutoShape 53">
          <a:extLst>
            <a:ext uri="{FF2B5EF4-FFF2-40B4-BE49-F238E27FC236}">
              <a16:creationId xmlns:a16="http://schemas.microsoft.com/office/drawing/2014/main" id="{86E67424-0C99-4FFE-98B4-C137DDCFFDA1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55" name="AutoShape 54">
          <a:extLst>
            <a:ext uri="{FF2B5EF4-FFF2-40B4-BE49-F238E27FC236}">
              <a16:creationId xmlns:a16="http://schemas.microsoft.com/office/drawing/2014/main" id="{B446ABAB-6860-44E0-BFA2-B54B939AF4DE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56" name="AutoShape 55">
          <a:extLst>
            <a:ext uri="{FF2B5EF4-FFF2-40B4-BE49-F238E27FC236}">
              <a16:creationId xmlns:a16="http://schemas.microsoft.com/office/drawing/2014/main" id="{C327F018-2C2C-44AB-B4B3-1F18D4974166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57" name="AutoShape 56">
          <a:extLst>
            <a:ext uri="{FF2B5EF4-FFF2-40B4-BE49-F238E27FC236}">
              <a16:creationId xmlns:a16="http://schemas.microsoft.com/office/drawing/2014/main" id="{31C767E9-E2A3-4AC4-A2AA-7C1C6D979C47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58" name="AutoShape 57">
          <a:extLst>
            <a:ext uri="{FF2B5EF4-FFF2-40B4-BE49-F238E27FC236}">
              <a16:creationId xmlns:a16="http://schemas.microsoft.com/office/drawing/2014/main" id="{E084EED6-28E9-4148-8070-790F9140FC95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59" name="AutoShape 58">
          <a:extLst>
            <a:ext uri="{FF2B5EF4-FFF2-40B4-BE49-F238E27FC236}">
              <a16:creationId xmlns:a16="http://schemas.microsoft.com/office/drawing/2014/main" id="{D8568F8E-CC85-4B2A-B1B8-683B6496EE4E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60" name="AutoShape 59">
          <a:extLst>
            <a:ext uri="{FF2B5EF4-FFF2-40B4-BE49-F238E27FC236}">
              <a16:creationId xmlns:a16="http://schemas.microsoft.com/office/drawing/2014/main" id="{D5447DDB-838C-407B-859F-C637656E813B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61" name="AutoShape 60">
          <a:extLst>
            <a:ext uri="{FF2B5EF4-FFF2-40B4-BE49-F238E27FC236}">
              <a16:creationId xmlns:a16="http://schemas.microsoft.com/office/drawing/2014/main" id="{B3B5412D-7547-4A11-B150-FDB34CC30799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62" name="AutoShape 61">
          <a:extLst>
            <a:ext uri="{FF2B5EF4-FFF2-40B4-BE49-F238E27FC236}">
              <a16:creationId xmlns:a16="http://schemas.microsoft.com/office/drawing/2014/main" id="{4D0EE920-D4F1-4C3A-B607-BC17F0CEC0C2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63" name="AutoShape 62">
          <a:extLst>
            <a:ext uri="{FF2B5EF4-FFF2-40B4-BE49-F238E27FC236}">
              <a16:creationId xmlns:a16="http://schemas.microsoft.com/office/drawing/2014/main" id="{36935A57-9AAF-45F1-8C70-E4755DA33BDF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4096" name="AutoShape 63">
          <a:extLst>
            <a:ext uri="{FF2B5EF4-FFF2-40B4-BE49-F238E27FC236}">
              <a16:creationId xmlns:a16="http://schemas.microsoft.com/office/drawing/2014/main" id="{B9EB133A-8018-4D4D-B58E-00DF0BF2F191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304800" cy="304800"/>
    <xdr:sp macro="" textlink="">
      <xdr:nvSpPr>
        <xdr:cNvPr id="4161" name="AutoShape 64">
          <a:extLst>
            <a:ext uri="{FF2B5EF4-FFF2-40B4-BE49-F238E27FC236}">
              <a16:creationId xmlns:a16="http://schemas.microsoft.com/office/drawing/2014/main" id="{C46A47B8-B012-417A-8106-4EC49EEA12BB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95</xdr:row>
      <xdr:rowOff>0</xdr:rowOff>
    </xdr:from>
    <xdr:to>
      <xdr:col>2</xdr:col>
      <xdr:colOff>304800</xdr:colOff>
      <xdr:row>96</xdr:row>
      <xdr:rowOff>114300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C80BF3E8-F0AB-EF72-D0B4-25BAB6305C08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0832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97</xdr:row>
      <xdr:rowOff>0</xdr:rowOff>
    </xdr:from>
    <xdr:to>
      <xdr:col>2</xdr:col>
      <xdr:colOff>304800</xdr:colOff>
      <xdr:row>98</xdr:row>
      <xdr:rowOff>114300</xdr:rowOff>
    </xdr:to>
    <xdr:sp macro="" textlink="">
      <xdr:nvSpPr>
        <xdr:cNvPr id="1026" name="AutoShape 2">
          <a:extLst>
            <a:ext uri="{FF2B5EF4-FFF2-40B4-BE49-F238E27FC236}">
              <a16:creationId xmlns:a16="http://schemas.microsoft.com/office/drawing/2014/main" id="{DFEF751D-66A7-A1E1-8D3A-20C750CAF1AB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121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99</xdr:row>
      <xdr:rowOff>0</xdr:rowOff>
    </xdr:from>
    <xdr:to>
      <xdr:col>2</xdr:col>
      <xdr:colOff>304800</xdr:colOff>
      <xdr:row>100</xdr:row>
      <xdr:rowOff>114300</xdr:rowOff>
    </xdr:to>
    <xdr:sp macro="" textlink="">
      <xdr:nvSpPr>
        <xdr:cNvPr id="1027" name="AutoShape 3">
          <a:extLst>
            <a:ext uri="{FF2B5EF4-FFF2-40B4-BE49-F238E27FC236}">
              <a16:creationId xmlns:a16="http://schemas.microsoft.com/office/drawing/2014/main" id="{D8D2ACD1-4A62-D443-2B25-0F5D9E193A82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1594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101</xdr:row>
      <xdr:rowOff>0</xdr:rowOff>
    </xdr:from>
    <xdr:to>
      <xdr:col>2</xdr:col>
      <xdr:colOff>304800</xdr:colOff>
      <xdr:row>102</xdr:row>
      <xdr:rowOff>114300</xdr:rowOff>
    </xdr:to>
    <xdr:sp macro="" textlink="">
      <xdr:nvSpPr>
        <xdr:cNvPr id="1028" name="AutoShape 4">
          <a:extLst>
            <a:ext uri="{FF2B5EF4-FFF2-40B4-BE49-F238E27FC236}">
              <a16:creationId xmlns:a16="http://schemas.microsoft.com/office/drawing/2014/main" id="{5820040D-ECAD-9077-A936-CEF8DE36CB00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1975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103</xdr:row>
      <xdr:rowOff>0</xdr:rowOff>
    </xdr:from>
    <xdr:to>
      <xdr:col>2</xdr:col>
      <xdr:colOff>304800</xdr:colOff>
      <xdr:row>104</xdr:row>
      <xdr:rowOff>114300</xdr:rowOff>
    </xdr:to>
    <xdr:sp macro="" textlink="">
      <xdr:nvSpPr>
        <xdr:cNvPr id="1029" name="AutoShape 5">
          <a:extLst>
            <a:ext uri="{FF2B5EF4-FFF2-40B4-BE49-F238E27FC236}">
              <a16:creationId xmlns:a16="http://schemas.microsoft.com/office/drawing/2014/main" id="{D3053863-C9E8-2194-0038-1EE5A927B167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2356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105</xdr:row>
      <xdr:rowOff>0</xdr:rowOff>
    </xdr:from>
    <xdr:to>
      <xdr:col>2</xdr:col>
      <xdr:colOff>304800</xdr:colOff>
      <xdr:row>106</xdr:row>
      <xdr:rowOff>114300</xdr:rowOff>
    </xdr:to>
    <xdr:sp macro="" textlink="">
      <xdr:nvSpPr>
        <xdr:cNvPr id="1030" name="AutoShape 6">
          <a:extLst>
            <a:ext uri="{FF2B5EF4-FFF2-40B4-BE49-F238E27FC236}">
              <a16:creationId xmlns:a16="http://schemas.microsoft.com/office/drawing/2014/main" id="{A98A445E-FE3B-EC74-2DFA-92AA596B1C05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2737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107</xdr:row>
      <xdr:rowOff>0</xdr:rowOff>
    </xdr:from>
    <xdr:to>
      <xdr:col>2</xdr:col>
      <xdr:colOff>304800</xdr:colOff>
      <xdr:row>108</xdr:row>
      <xdr:rowOff>114300</xdr:rowOff>
    </xdr:to>
    <xdr:sp macro="" textlink="">
      <xdr:nvSpPr>
        <xdr:cNvPr id="1031" name="AutoShape 7">
          <a:extLst>
            <a:ext uri="{FF2B5EF4-FFF2-40B4-BE49-F238E27FC236}">
              <a16:creationId xmlns:a16="http://schemas.microsoft.com/office/drawing/2014/main" id="{8144B1AD-41A9-E5C4-AC1E-6AFB6D640559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3118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109</xdr:row>
      <xdr:rowOff>0</xdr:rowOff>
    </xdr:from>
    <xdr:to>
      <xdr:col>2</xdr:col>
      <xdr:colOff>304800</xdr:colOff>
      <xdr:row>110</xdr:row>
      <xdr:rowOff>114300</xdr:rowOff>
    </xdr:to>
    <xdr:sp macro="" textlink="">
      <xdr:nvSpPr>
        <xdr:cNvPr id="1032" name="AutoShape 8">
          <a:extLst>
            <a:ext uri="{FF2B5EF4-FFF2-40B4-BE49-F238E27FC236}">
              <a16:creationId xmlns:a16="http://schemas.microsoft.com/office/drawing/2014/main" id="{2C5B1B52-4F61-5FC7-7242-58B7143632EB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3499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111</xdr:row>
      <xdr:rowOff>0</xdr:rowOff>
    </xdr:from>
    <xdr:to>
      <xdr:col>2</xdr:col>
      <xdr:colOff>304800</xdr:colOff>
      <xdr:row>112</xdr:row>
      <xdr:rowOff>114300</xdr:rowOff>
    </xdr:to>
    <xdr:sp macro="" textlink="">
      <xdr:nvSpPr>
        <xdr:cNvPr id="1033" name="AutoShape 9">
          <a:extLst>
            <a:ext uri="{FF2B5EF4-FFF2-40B4-BE49-F238E27FC236}">
              <a16:creationId xmlns:a16="http://schemas.microsoft.com/office/drawing/2014/main" id="{E5846F49-EBD4-8294-FA43-CC69E40C3C65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3880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113</xdr:row>
      <xdr:rowOff>0</xdr:rowOff>
    </xdr:from>
    <xdr:to>
      <xdr:col>2</xdr:col>
      <xdr:colOff>304800</xdr:colOff>
      <xdr:row>114</xdr:row>
      <xdr:rowOff>114300</xdr:rowOff>
    </xdr:to>
    <xdr:sp macro="" textlink="">
      <xdr:nvSpPr>
        <xdr:cNvPr id="1034" name="AutoShape 10">
          <a:extLst>
            <a:ext uri="{FF2B5EF4-FFF2-40B4-BE49-F238E27FC236}">
              <a16:creationId xmlns:a16="http://schemas.microsoft.com/office/drawing/2014/main" id="{17DD3447-D29F-F5D4-E377-1CBD90021AD3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4261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115</xdr:row>
      <xdr:rowOff>0</xdr:rowOff>
    </xdr:from>
    <xdr:to>
      <xdr:col>2</xdr:col>
      <xdr:colOff>304800</xdr:colOff>
      <xdr:row>116</xdr:row>
      <xdr:rowOff>114300</xdr:rowOff>
    </xdr:to>
    <xdr:sp macro="" textlink="">
      <xdr:nvSpPr>
        <xdr:cNvPr id="1035" name="AutoShape 11">
          <a:extLst>
            <a:ext uri="{FF2B5EF4-FFF2-40B4-BE49-F238E27FC236}">
              <a16:creationId xmlns:a16="http://schemas.microsoft.com/office/drawing/2014/main" id="{CEB846F0-17FB-081B-48C9-2159A8E5602C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4642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117</xdr:row>
      <xdr:rowOff>0</xdr:rowOff>
    </xdr:from>
    <xdr:to>
      <xdr:col>2</xdr:col>
      <xdr:colOff>304800</xdr:colOff>
      <xdr:row>118</xdr:row>
      <xdr:rowOff>114300</xdr:rowOff>
    </xdr:to>
    <xdr:sp macro="" textlink="">
      <xdr:nvSpPr>
        <xdr:cNvPr id="1036" name="AutoShape 12">
          <a:extLst>
            <a:ext uri="{FF2B5EF4-FFF2-40B4-BE49-F238E27FC236}">
              <a16:creationId xmlns:a16="http://schemas.microsoft.com/office/drawing/2014/main" id="{6DFE1158-E067-3EE3-CFDC-750CD465CBC5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502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119</xdr:row>
      <xdr:rowOff>0</xdr:rowOff>
    </xdr:from>
    <xdr:to>
      <xdr:col>2</xdr:col>
      <xdr:colOff>304800</xdr:colOff>
      <xdr:row>120</xdr:row>
      <xdr:rowOff>114300</xdr:rowOff>
    </xdr:to>
    <xdr:sp macro="" textlink="">
      <xdr:nvSpPr>
        <xdr:cNvPr id="1037" name="AutoShape 13">
          <a:extLst>
            <a:ext uri="{FF2B5EF4-FFF2-40B4-BE49-F238E27FC236}">
              <a16:creationId xmlns:a16="http://schemas.microsoft.com/office/drawing/2014/main" id="{A35507BF-D742-83C7-2843-DC739E71B4FF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5404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121</xdr:row>
      <xdr:rowOff>0</xdr:rowOff>
    </xdr:from>
    <xdr:to>
      <xdr:col>2</xdr:col>
      <xdr:colOff>304800</xdr:colOff>
      <xdr:row>122</xdr:row>
      <xdr:rowOff>114300</xdr:rowOff>
    </xdr:to>
    <xdr:sp macro="" textlink="">
      <xdr:nvSpPr>
        <xdr:cNvPr id="1038" name="AutoShape 14">
          <a:extLst>
            <a:ext uri="{FF2B5EF4-FFF2-40B4-BE49-F238E27FC236}">
              <a16:creationId xmlns:a16="http://schemas.microsoft.com/office/drawing/2014/main" id="{09861D39-C7DF-AC5A-ECE8-5551BCDC7DB5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5785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123</xdr:row>
      <xdr:rowOff>0</xdr:rowOff>
    </xdr:from>
    <xdr:to>
      <xdr:col>2</xdr:col>
      <xdr:colOff>304800</xdr:colOff>
      <xdr:row>124</xdr:row>
      <xdr:rowOff>114300</xdr:rowOff>
    </xdr:to>
    <xdr:sp macro="" textlink="">
      <xdr:nvSpPr>
        <xdr:cNvPr id="1039" name="AutoShape 15">
          <a:extLst>
            <a:ext uri="{FF2B5EF4-FFF2-40B4-BE49-F238E27FC236}">
              <a16:creationId xmlns:a16="http://schemas.microsoft.com/office/drawing/2014/main" id="{F9A611DD-F2C6-2053-C198-410C9BC97FBC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6166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125</xdr:row>
      <xdr:rowOff>0</xdr:rowOff>
    </xdr:from>
    <xdr:to>
      <xdr:col>2</xdr:col>
      <xdr:colOff>304800</xdr:colOff>
      <xdr:row>126</xdr:row>
      <xdr:rowOff>114300</xdr:rowOff>
    </xdr:to>
    <xdr:sp macro="" textlink="">
      <xdr:nvSpPr>
        <xdr:cNvPr id="1040" name="AutoShape 16">
          <a:extLst>
            <a:ext uri="{FF2B5EF4-FFF2-40B4-BE49-F238E27FC236}">
              <a16:creationId xmlns:a16="http://schemas.microsoft.com/office/drawing/2014/main" id="{3E91AAFB-C62B-CA26-8DCC-81001402F4C0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6547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127</xdr:row>
      <xdr:rowOff>0</xdr:rowOff>
    </xdr:from>
    <xdr:to>
      <xdr:col>2</xdr:col>
      <xdr:colOff>304800</xdr:colOff>
      <xdr:row>128</xdr:row>
      <xdr:rowOff>114300</xdr:rowOff>
    </xdr:to>
    <xdr:sp macro="" textlink="">
      <xdr:nvSpPr>
        <xdr:cNvPr id="1041" name="AutoShape 17">
          <a:extLst>
            <a:ext uri="{FF2B5EF4-FFF2-40B4-BE49-F238E27FC236}">
              <a16:creationId xmlns:a16="http://schemas.microsoft.com/office/drawing/2014/main" id="{DBE4E6DE-CD7A-B85A-D7AF-F16A3A32B175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6928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129</xdr:row>
      <xdr:rowOff>0</xdr:rowOff>
    </xdr:from>
    <xdr:to>
      <xdr:col>2</xdr:col>
      <xdr:colOff>304800</xdr:colOff>
      <xdr:row>130</xdr:row>
      <xdr:rowOff>114300</xdr:rowOff>
    </xdr:to>
    <xdr:sp macro="" textlink="">
      <xdr:nvSpPr>
        <xdr:cNvPr id="1042" name="AutoShape 18">
          <a:extLst>
            <a:ext uri="{FF2B5EF4-FFF2-40B4-BE49-F238E27FC236}">
              <a16:creationId xmlns:a16="http://schemas.microsoft.com/office/drawing/2014/main" id="{3105379A-1017-6293-6C44-629F15407E32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7309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131</xdr:row>
      <xdr:rowOff>0</xdr:rowOff>
    </xdr:from>
    <xdr:to>
      <xdr:col>2</xdr:col>
      <xdr:colOff>304800</xdr:colOff>
      <xdr:row>132</xdr:row>
      <xdr:rowOff>114300</xdr:rowOff>
    </xdr:to>
    <xdr:sp macro="" textlink="">
      <xdr:nvSpPr>
        <xdr:cNvPr id="1043" name="AutoShape 19">
          <a:extLst>
            <a:ext uri="{FF2B5EF4-FFF2-40B4-BE49-F238E27FC236}">
              <a16:creationId xmlns:a16="http://schemas.microsoft.com/office/drawing/2014/main" id="{E10CBF8D-F18B-957C-3654-BAEFF7ED9A25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7690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133</xdr:row>
      <xdr:rowOff>0</xdr:rowOff>
    </xdr:from>
    <xdr:to>
      <xdr:col>2</xdr:col>
      <xdr:colOff>304800</xdr:colOff>
      <xdr:row>134</xdr:row>
      <xdr:rowOff>114300</xdr:rowOff>
    </xdr:to>
    <xdr:sp macro="" textlink="">
      <xdr:nvSpPr>
        <xdr:cNvPr id="1044" name="AutoShape 20">
          <a:extLst>
            <a:ext uri="{FF2B5EF4-FFF2-40B4-BE49-F238E27FC236}">
              <a16:creationId xmlns:a16="http://schemas.microsoft.com/office/drawing/2014/main" id="{E27709BF-0B7B-4C35-C851-32147FE966DE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071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135</xdr:row>
      <xdr:rowOff>0</xdr:rowOff>
    </xdr:from>
    <xdr:to>
      <xdr:col>2</xdr:col>
      <xdr:colOff>304800</xdr:colOff>
      <xdr:row>136</xdr:row>
      <xdr:rowOff>114300</xdr:rowOff>
    </xdr:to>
    <xdr:sp macro="" textlink="">
      <xdr:nvSpPr>
        <xdr:cNvPr id="1045" name="AutoShape 21">
          <a:extLst>
            <a:ext uri="{FF2B5EF4-FFF2-40B4-BE49-F238E27FC236}">
              <a16:creationId xmlns:a16="http://schemas.microsoft.com/office/drawing/2014/main" id="{8D62084A-915C-AE90-34E3-0A36E00030CC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452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137</xdr:row>
      <xdr:rowOff>0</xdr:rowOff>
    </xdr:from>
    <xdr:to>
      <xdr:col>2</xdr:col>
      <xdr:colOff>304800</xdr:colOff>
      <xdr:row>138</xdr:row>
      <xdr:rowOff>114300</xdr:rowOff>
    </xdr:to>
    <xdr:sp macro="" textlink="">
      <xdr:nvSpPr>
        <xdr:cNvPr id="1046" name="AutoShape 22">
          <a:extLst>
            <a:ext uri="{FF2B5EF4-FFF2-40B4-BE49-F238E27FC236}">
              <a16:creationId xmlns:a16="http://schemas.microsoft.com/office/drawing/2014/main" id="{C56560AE-AE32-1D3C-8727-B2C3B6AE9DB2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8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139</xdr:row>
      <xdr:rowOff>0</xdr:rowOff>
    </xdr:from>
    <xdr:to>
      <xdr:col>2</xdr:col>
      <xdr:colOff>304800</xdr:colOff>
      <xdr:row>140</xdr:row>
      <xdr:rowOff>114300</xdr:rowOff>
    </xdr:to>
    <xdr:sp macro="" textlink="">
      <xdr:nvSpPr>
        <xdr:cNvPr id="1047" name="AutoShape 23">
          <a:extLst>
            <a:ext uri="{FF2B5EF4-FFF2-40B4-BE49-F238E27FC236}">
              <a16:creationId xmlns:a16="http://schemas.microsoft.com/office/drawing/2014/main" id="{2A026FAE-0DA1-CE1E-CF5A-66702B019B76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9214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141</xdr:row>
      <xdr:rowOff>0</xdr:rowOff>
    </xdr:from>
    <xdr:to>
      <xdr:col>2</xdr:col>
      <xdr:colOff>304800</xdr:colOff>
      <xdr:row>142</xdr:row>
      <xdr:rowOff>114300</xdr:rowOff>
    </xdr:to>
    <xdr:sp macro="" textlink="">
      <xdr:nvSpPr>
        <xdr:cNvPr id="1048" name="AutoShape 24">
          <a:extLst>
            <a:ext uri="{FF2B5EF4-FFF2-40B4-BE49-F238E27FC236}">
              <a16:creationId xmlns:a16="http://schemas.microsoft.com/office/drawing/2014/main" id="{D8FEAD29-FAB3-DCF0-12BB-2C07D09AE535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9595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143</xdr:row>
      <xdr:rowOff>0</xdr:rowOff>
    </xdr:from>
    <xdr:to>
      <xdr:col>2</xdr:col>
      <xdr:colOff>304800</xdr:colOff>
      <xdr:row>144</xdr:row>
      <xdr:rowOff>114300</xdr:rowOff>
    </xdr:to>
    <xdr:sp macro="" textlink="">
      <xdr:nvSpPr>
        <xdr:cNvPr id="1049" name="AutoShape 25">
          <a:extLst>
            <a:ext uri="{FF2B5EF4-FFF2-40B4-BE49-F238E27FC236}">
              <a16:creationId xmlns:a16="http://schemas.microsoft.com/office/drawing/2014/main" id="{8E09A11D-7C7A-4962-B591-C02144D7698F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9976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145</xdr:row>
      <xdr:rowOff>0</xdr:rowOff>
    </xdr:from>
    <xdr:to>
      <xdr:col>2</xdr:col>
      <xdr:colOff>304800</xdr:colOff>
      <xdr:row>146</xdr:row>
      <xdr:rowOff>114300</xdr:rowOff>
    </xdr:to>
    <xdr:sp macro="" textlink="">
      <xdr:nvSpPr>
        <xdr:cNvPr id="1050" name="AutoShape 26">
          <a:extLst>
            <a:ext uri="{FF2B5EF4-FFF2-40B4-BE49-F238E27FC236}">
              <a16:creationId xmlns:a16="http://schemas.microsoft.com/office/drawing/2014/main" id="{D846FF5B-F4BD-1BB3-9E76-FCAAFD306D5D}"/>
            </a:ext>
          </a:extLst>
        </xdr:cNvPr>
        <xdr:cNvSpPr>
          <a:spLocks noChangeAspect="1" noChangeArrowheads="1"/>
        </xdr:cNvSpPr>
      </xdr:nvSpPr>
      <xdr:spPr bwMode="auto">
        <a:xfrm>
          <a:off x="1057275" y="40357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147</xdr:row>
      <xdr:rowOff>0</xdr:rowOff>
    </xdr:from>
    <xdr:to>
      <xdr:col>2</xdr:col>
      <xdr:colOff>304800</xdr:colOff>
      <xdr:row>148</xdr:row>
      <xdr:rowOff>114300</xdr:rowOff>
    </xdr:to>
    <xdr:sp macro="" textlink="">
      <xdr:nvSpPr>
        <xdr:cNvPr id="1051" name="AutoShape 27">
          <a:extLst>
            <a:ext uri="{FF2B5EF4-FFF2-40B4-BE49-F238E27FC236}">
              <a16:creationId xmlns:a16="http://schemas.microsoft.com/office/drawing/2014/main" id="{FEF6A619-F79A-E0F8-8FF3-9E3330310B72}"/>
            </a:ext>
          </a:extLst>
        </xdr:cNvPr>
        <xdr:cNvSpPr>
          <a:spLocks noChangeAspect="1" noChangeArrowheads="1"/>
        </xdr:cNvSpPr>
      </xdr:nvSpPr>
      <xdr:spPr bwMode="auto">
        <a:xfrm>
          <a:off x="1057275" y="40738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149</xdr:row>
      <xdr:rowOff>0</xdr:rowOff>
    </xdr:from>
    <xdr:to>
      <xdr:col>2</xdr:col>
      <xdr:colOff>304800</xdr:colOff>
      <xdr:row>150</xdr:row>
      <xdr:rowOff>114300</xdr:rowOff>
    </xdr:to>
    <xdr:sp macro="" textlink="">
      <xdr:nvSpPr>
        <xdr:cNvPr id="1052" name="AutoShape 28">
          <a:extLst>
            <a:ext uri="{FF2B5EF4-FFF2-40B4-BE49-F238E27FC236}">
              <a16:creationId xmlns:a16="http://schemas.microsoft.com/office/drawing/2014/main" id="{D1065DB8-220B-0B5E-D08A-A65DD6575E56}"/>
            </a:ext>
          </a:extLst>
        </xdr:cNvPr>
        <xdr:cNvSpPr>
          <a:spLocks noChangeAspect="1" noChangeArrowheads="1"/>
        </xdr:cNvSpPr>
      </xdr:nvSpPr>
      <xdr:spPr bwMode="auto">
        <a:xfrm>
          <a:off x="1057275" y="41119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151</xdr:row>
      <xdr:rowOff>0</xdr:rowOff>
    </xdr:from>
    <xdr:to>
      <xdr:col>2</xdr:col>
      <xdr:colOff>304800</xdr:colOff>
      <xdr:row>152</xdr:row>
      <xdr:rowOff>114300</xdr:rowOff>
    </xdr:to>
    <xdr:sp macro="" textlink="">
      <xdr:nvSpPr>
        <xdr:cNvPr id="1053" name="AutoShape 29">
          <a:extLst>
            <a:ext uri="{FF2B5EF4-FFF2-40B4-BE49-F238E27FC236}">
              <a16:creationId xmlns:a16="http://schemas.microsoft.com/office/drawing/2014/main" id="{3B6FAD1C-C146-2515-100E-8E24252C73A8}"/>
            </a:ext>
          </a:extLst>
        </xdr:cNvPr>
        <xdr:cNvSpPr>
          <a:spLocks noChangeAspect="1" noChangeArrowheads="1"/>
        </xdr:cNvSpPr>
      </xdr:nvSpPr>
      <xdr:spPr bwMode="auto">
        <a:xfrm>
          <a:off x="1057275" y="41500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153</xdr:row>
      <xdr:rowOff>0</xdr:rowOff>
    </xdr:from>
    <xdr:to>
      <xdr:col>2</xdr:col>
      <xdr:colOff>304800</xdr:colOff>
      <xdr:row>154</xdr:row>
      <xdr:rowOff>114300</xdr:rowOff>
    </xdr:to>
    <xdr:sp macro="" textlink="">
      <xdr:nvSpPr>
        <xdr:cNvPr id="1054" name="AutoShape 30">
          <a:extLst>
            <a:ext uri="{FF2B5EF4-FFF2-40B4-BE49-F238E27FC236}">
              <a16:creationId xmlns:a16="http://schemas.microsoft.com/office/drawing/2014/main" id="{47E2348F-4896-6B7D-A03A-B62564D895F2}"/>
            </a:ext>
          </a:extLst>
        </xdr:cNvPr>
        <xdr:cNvSpPr>
          <a:spLocks noChangeAspect="1" noChangeArrowheads="1"/>
        </xdr:cNvSpPr>
      </xdr:nvSpPr>
      <xdr:spPr bwMode="auto">
        <a:xfrm>
          <a:off x="1057275" y="41881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155</xdr:row>
      <xdr:rowOff>0</xdr:rowOff>
    </xdr:from>
    <xdr:to>
      <xdr:col>2</xdr:col>
      <xdr:colOff>304800</xdr:colOff>
      <xdr:row>156</xdr:row>
      <xdr:rowOff>114300</xdr:rowOff>
    </xdr:to>
    <xdr:sp macro="" textlink="">
      <xdr:nvSpPr>
        <xdr:cNvPr id="1055" name="AutoShape 31">
          <a:extLst>
            <a:ext uri="{FF2B5EF4-FFF2-40B4-BE49-F238E27FC236}">
              <a16:creationId xmlns:a16="http://schemas.microsoft.com/office/drawing/2014/main" id="{5E37BD60-A9A8-AD41-41C0-F31610FDF83E}"/>
            </a:ext>
          </a:extLst>
        </xdr:cNvPr>
        <xdr:cNvSpPr>
          <a:spLocks noChangeAspect="1" noChangeArrowheads="1"/>
        </xdr:cNvSpPr>
      </xdr:nvSpPr>
      <xdr:spPr bwMode="auto">
        <a:xfrm>
          <a:off x="1057275" y="42262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157</xdr:row>
      <xdr:rowOff>0</xdr:rowOff>
    </xdr:from>
    <xdr:to>
      <xdr:col>2</xdr:col>
      <xdr:colOff>304800</xdr:colOff>
      <xdr:row>158</xdr:row>
      <xdr:rowOff>114300</xdr:rowOff>
    </xdr:to>
    <xdr:sp macro="" textlink="">
      <xdr:nvSpPr>
        <xdr:cNvPr id="1056" name="AutoShape 32">
          <a:extLst>
            <a:ext uri="{FF2B5EF4-FFF2-40B4-BE49-F238E27FC236}">
              <a16:creationId xmlns:a16="http://schemas.microsoft.com/office/drawing/2014/main" id="{9B08082B-10EE-A42B-306D-FC15AAD128D8}"/>
            </a:ext>
          </a:extLst>
        </xdr:cNvPr>
        <xdr:cNvSpPr>
          <a:spLocks noChangeAspect="1" noChangeArrowheads="1"/>
        </xdr:cNvSpPr>
      </xdr:nvSpPr>
      <xdr:spPr bwMode="auto">
        <a:xfrm>
          <a:off x="1057275" y="4264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159</xdr:row>
      <xdr:rowOff>0</xdr:rowOff>
    </xdr:from>
    <xdr:to>
      <xdr:col>2</xdr:col>
      <xdr:colOff>304800</xdr:colOff>
      <xdr:row>160</xdr:row>
      <xdr:rowOff>114300</xdr:rowOff>
    </xdr:to>
    <xdr:sp macro="" textlink="">
      <xdr:nvSpPr>
        <xdr:cNvPr id="1057" name="AutoShape 33">
          <a:extLst>
            <a:ext uri="{FF2B5EF4-FFF2-40B4-BE49-F238E27FC236}">
              <a16:creationId xmlns:a16="http://schemas.microsoft.com/office/drawing/2014/main" id="{CC3FDB38-C41D-A7DF-5911-25D6D4AD6521}"/>
            </a:ext>
          </a:extLst>
        </xdr:cNvPr>
        <xdr:cNvSpPr>
          <a:spLocks noChangeAspect="1" noChangeArrowheads="1"/>
        </xdr:cNvSpPr>
      </xdr:nvSpPr>
      <xdr:spPr bwMode="auto">
        <a:xfrm>
          <a:off x="1057275" y="43024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161</xdr:row>
      <xdr:rowOff>0</xdr:rowOff>
    </xdr:from>
    <xdr:to>
      <xdr:col>2</xdr:col>
      <xdr:colOff>304800</xdr:colOff>
      <xdr:row>162</xdr:row>
      <xdr:rowOff>114300</xdr:rowOff>
    </xdr:to>
    <xdr:sp macro="" textlink="">
      <xdr:nvSpPr>
        <xdr:cNvPr id="1058" name="AutoShape 34">
          <a:extLst>
            <a:ext uri="{FF2B5EF4-FFF2-40B4-BE49-F238E27FC236}">
              <a16:creationId xmlns:a16="http://schemas.microsoft.com/office/drawing/2014/main" id="{605CA558-A84E-97D0-6D5C-61AFD1D001FE}"/>
            </a:ext>
          </a:extLst>
        </xdr:cNvPr>
        <xdr:cNvSpPr>
          <a:spLocks noChangeAspect="1" noChangeArrowheads="1"/>
        </xdr:cNvSpPr>
      </xdr:nvSpPr>
      <xdr:spPr bwMode="auto">
        <a:xfrm>
          <a:off x="1057275" y="43405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163</xdr:row>
      <xdr:rowOff>0</xdr:rowOff>
    </xdr:from>
    <xdr:to>
      <xdr:col>2</xdr:col>
      <xdr:colOff>304800</xdr:colOff>
      <xdr:row>164</xdr:row>
      <xdr:rowOff>114300</xdr:rowOff>
    </xdr:to>
    <xdr:sp macro="" textlink="">
      <xdr:nvSpPr>
        <xdr:cNvPr id="1059" name="AutoShape 35">
          <a:extLst>
            <a:ext uri="{FF2B5EF4-FFF2-40B4-BE49-F238E27FC236}">
              <a16:creationId xmlns:a16="http://schemas.microsoft.com/office/drawing/2014/main" id="{46A26C2A-2F06-FAC7-A23E-5A870159DFAD}"/>
            </a:ext>
          </a:extLst>
        </xdr:cNvPr>
        <xdr:cNvSpPr>
          <a:spLocks noChangeAspect="1" noChangeArrowheads="1"/>
        </xdr:cNvSpPr>
      </xdr:nvSpPr>
      <xdr:spPr bwMode="auto">
        <a:xfrm>
          <a:off x="1057275" y="43786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165</xdr:row>
      <xdr:rowOff>0</xdr:rowOff>
    </xdr:from>
    <xdr:to>
      <xdr:col>2</xdr:col>
      <xdr:colOff>304800</xdr:colOff>
      <xdr:row>166</xdr:row>
      <xdr:rowOff>114300</xdr:rowOff>
    </xdr:to>
    <xdr:sp macro="" textlink="">
      <xdr:nvSpPr>
        <xdr:cNvPr id="1060" name="AutoShape 36">
          <a:extLst>
            <a:ext uri="{FF2B5EF4-FFF2-40B4-BE49-F238E27FC236}">
              <a16:creationId xmlns:a16="http://schemas.microsoft.com/office/drawing/2014/main" id="{267CBF71-2CB7-8B8B-A0DA-66E572456267}"/>
            </a:ext>
          </a:extLst>
        </xdr:cNvPr>
        <xdr:cNvSpPr>
          <a:spLocks noChangeAspect="1" noChangeArrowheads="1"/>
        </xdr:cNvSpPr>
      </xdr:nvSpPr>
      <xdr:spPr bwMode="auto">
        <a:xfrm>
          <a:off x="1057275" y="44167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167</xdr:row>
      <xdr:rowOff>0</xdr:rowOff>
    </xdr:from>
    <xdr:to>
      <xdr:col>2</xdr:col>
      <xdr:colOff>304800</xdr:colOff>
      <xdr:row>168</xdr:row>
      <xdr:rowOff>114300</xdr:rowOff>
    </xdr:to>
    <xdr:sp macro="" textlink="">
      <xdr:nvSpPr>
        <xdr:cNvPr id="1061" name="AutoShape 37">
          <a:extLst>
            <a:ext uri="{FF2B5EF4-FFF2-40B4-BE49-F238E27FC236}">
              <a16:creationId xmlns:a16="http://schemas.microsoft.com/office/drawing/2014/main" id="{5A054CE3-B768-0D23-A781-F0D07200C079}"/>
            </a:ext>
          </a:extLst>
        </xdr:cNvPr>
        <xdr:cNvSpPr>
          <a:spLocks noChangeAspect="1" noChangeArrowheads="1"/>
        </xdr:cNvSpPr>
      </xdr:nvSpPr>
      <xdr:spPr bwMode="auto">
        <a:xfrm>
          <a:off x="1057275" y="44548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169</xdr:row>
      <xdr:rowOff>0</xdr:rowOff>
    </xdr:from>
    <xdr:to>
      <xdr:col>2</xdr:col>
      <xdr:colOff>304800</xdr:colOff>
      <xdr:row>170</xdr:row>
      <xdr:rowOff>114300</xdr:rowOff>
    </xdr:to>
    <xdr:sp macro="" textlink="">
      <xdr:nvSpPr>
        <xdr:cNvPr id="1062" name="AutoShape 38">
          <a:extLst>
            <a:ext uri="{FF2B5EF4-FFF2-40B4-BE49-F238E27FC236}">
              <a16:creationId xmlns:a16="http://schemas.microsoft.com/office/drawing/2014/main" id="{56895A69-CD4D-EB5B-F7AE-8DEE773F38D6}"/>
            </a:ext>
          </a:extLst>
        </xdr:cNvPr>
        <xdr:cNvSpPr>
          <a:spLocks noChangeAspect="1" noChangeArrowheads="1"/>
        </xdr:cNvSpPr>
      </xdr:nvSpPr>
      <xdr:spPr bwMode="auto">
        <a:xfrm>
          <a:off x="1057275" y="44929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171</xdr:row>
      <xdr:rowOff>0</xdr:rowOff>
    </xdr:from>
    <xdr:to>
      <xdr:col>2</xdr:col>
      <xdr:colOff>304800</xdr:colOff>
      <xdr:row>172</xdr:row>
      <xdr:rowOff>114300</xdr:rowOff>
    </xdr:to>
    <xdr:sp macro="" textlink="">
      <xdr:nvSpPr>
        <xdr:cNvPr id="1063" name="AutoShape 39">
          <a:extLst>
            <a:ext uri="{FF2B5EF4-FFF2-40B4-BE49-F238E27FC236}">
              <a16:creationId xmlns:a16="http://schemas.microsoft.com/office/drawing/2014/main" id="{D8BFF091-F66E-491B-0BC1-8C6F2F2D67C6}"/>
            </a:ext>
          </a:extLst>
        </xdr:cNvPr>
        <xdr:cNvSpPr>
          <a:spLocks noChangeAspect="1" noChangeArrowheads="1"/>
        </xdr:cNvSpPr>
      </xdr:nvSpPr>
      <xdr:spPr bwMode="auto">
        <a:xfrm>
          <a:off x="1057275" y="45310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173</xdr:row>
      <xdr:rowOff>0</xdr:rowOff>
    </xdr:from>
    <xdr:to>
      <xdr:col>2</xdr:col>
      <xdr:colOff>304800</xdr:colOff>
      <xdr:row>174</xdr:row>
      <xdr:rowOff>114300</xdr:rowOff>
    </xdr:to>
    <xdr:sp macro="" textlink="">
      <xdr:nvSpPr>
        <xdr:cNvPr id="1064" name="AutoShape 40">
          <a:extLst>
            <a:ext uri="{FF2B5EF4-FFF2-40B4-BE49-F238E27FC236}">
              <a16:creationId xmlns:a16="http://schemas.microsoft.com/office/drawing/2014/main" id="{AB0A2024-47CF-28B4-5B50-7ED6555B1913}"/>
            </a:ext>
          </a:extLst>
        </xdr:cNvPr>
        <xdr:cNvSpPr>
          <a:spLocks noChangeAspect="1" noChangeArrowheads="1"/>
        </xdr:cNvSpPr>
      </xdr:nvSpPr>
      <xdr:spPr bwMode="auto">
        <a:xfrm>
          <a:off x="1057275" y="45691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175</xdr:row>
      <xdr:rowOff>0</xdr:rowOff>
    </xdr:from>
    <xdr:to>
      <xdr:col>2</xdr:col>
      <xdr:colOff>304800</xdr:colOff>
      <xdr:row>176</xdr:row>
      <xdr:rowOff>114300</xdr:rowOff>
    </xdr:to>
    <xdr:sp macro="" textlink="">
      <xdr:nvSpPr>
        <xdr:cNvPr id="1065" name="AutoShape 41">
          <a:extLst>
            <a:ext uri="{FF2B5EF4-FFF2-40B4-BE49-F238E27FC236}">
              <a16:creationId xmlns:a16="http://schemas.microsoft.com/office/drawing/2014/main" id="{FDED4961-14B5-EB72-3043-14DB2C93A1DD}"/>
            </a:ext>
          </a:extLst>
        </xdr:cNvPr>
        <xdr:cNvSpPr>
          <a:spLocks noChangeAspect="1" noChangeArrowheads="1"/>
        </xdr:cNvSpPr>
      </xdr:nvSpPr>
      <xdr:spPr bwMode="auto">
        <a:xfrm>
          <a:off x="1057275" y="46072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177</xdr:row>
      <xdr:rowOff>0</xdr:rowOff>
    </xdr:from>
    <xdr:to>
      <xdr:col>2</xdr:col>
      <xdr:colOff>304800</xdr:colOff>
      <xdr:row>178</xdr:row>
      <xdr:rowOff>114300</xdr:rowOff>
    </xdr:to>
    <xdr:sp macro="" textlink="">
      <xdr:nvSpPr>
        <xdr:cNvPr id="1066" name="AutoShape 42">
          <a:extLst>
            <a:ext uri="{FF2B5EF4-FFF2-40B4-BE49-F238E27FC236}">
              <a16:creationId xmlns:a16="http://schemas.microsoft.com/office/drawing/2014/main" id="{80F00237-6E5D-5C32-F914-58E4EE92EF97}"/>
            </a:ext>
          </a:extLst>
        </xdr:cNvPr>
        <xdr:cNvSpPr>
          <a:spLocks noChangeAspect="1" noChangeArrowheads="1"/>
        </xdr:cNvSpPr>
      </xdr:nvSpPr>
      <xdr:spPr bwMode="auto">
        <a:xfrm>
          <a:off x="1057275" y="4645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179</xdr:row>
      <xdr:rowOff>0</xdr:rowOff>
    </xdr:from>
    <xdr:to>
      <xdr:col>2</xdr:col>
      <xdr:colOff>304800</xdr:colOff>
      <xdr:row>180</xdr:row>
      <xdr:rowOff>114300</xdr:rowOff>
    </xdr:to>
    <xdr:sp macro="" textlink="">
      <xdr:nvSpPr>
        <xdr:cNvPr id="1067" name="AutoShape 43">
          <a:extLst>
            <a:ext uri="{FF2B5EF4-FFF2-40B4-BE49-F238E27FC236}">
              <a16:creationId xmlns:a16="http://schemas.microsoft.com/office/drawing/2014/main" id="{2514C8AF-F9B3-9069-03F4-0B7B90F0DB0E}"/>
            </a:ext>
          </a:extLst>
        </xdr:cNvPr>
        <xdr:cNvSpPr>
          <a:spLocks noChangeAspect="1" noChangeArrowheads="1"/>
        </xdr:cNvSpPr>
      </xdr:nvSpPr>
      <xdr:spPr bwMode="auto">
        <a:xfrm>
          <a:off x="1057275" y="46834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181</xdr:row>
      <xdr:rowOff>0</xdr:rowOff>
    </xdr:from>
    <xdr:to>
      <xdr:col>2</xdr:col>
      <xdr:colOff>304800</xdr:colOff>
      <xdr:row>182</xdr:row>
      <xdr:rowOff>114300</xdr:rowOff>
    </xdr:to>
    <xdr:sp macro="" textlink="">
      <xdr:nvSpPr>
        <xdr:cNvPr id="1068" name="AutoShape 44">
          <a:extLst>
            <a:ext uri="{FF2B5EF4-FFF2-40B4-BE49-F238E27FC236}">
              <a16:creationId xmlns:a16="http://schemas.microsoft.com/office/drawing/2014/main" id="{D74739C6-8AD1-2D33-329E-C3470161F411}"/>
            </a:ext>
          </a:extLst>
        </xdr:cNvPr>
        <xdr:cNvSpPr>
          <a:spLocks noChangeAspect="1" noChangeArrowheads="1"/>
        </xdr:cNvSpPr>
      </xdr:nvSpPr>
      <xdr:spPr bwMode="auto">
        <a:xfrm>
          <a:off x="1057275" y="47215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183</xdr:row>
      <xdr:rowOff>0</xdr:rowOff>
    </xdr:from>
    <xdr:to>
      <xdr:col>2</xdr:col>
      <xdr:colOff>304800</xdr:colOff>
      <xdr:row>184</xdr:row>
      <xdr:rowOff>114300</xdr:rowOff>
    </xdr:to>
    <xdr:sp macro="" textlink="">
      <xdr:nvSpPr>
        <xdr:cNvPr id="1069" name="AutoShape 45">
          <a:extLst>
            <a:ext uri="{FF2B5EF4-FFF2-40B4-BE49-F238E27FC236}">
              <a16:creationId xmlns:a16="http://schemas.microsoft.com/office/drawing/2014/main" id="{8A190EC7-718F-9369-6490-669C6E25D125}"/>
            </a:ext>
          </a:extLst>
        </xdr:cNvPr>
        <xdr:cNvSpPr>
          <a:spLocks noChangeAspect="1" noChangeArrowheads="1"/>
        </xdr:cNvSpPr>
      </xdr:nvSpPr>
      <xdr:spPr bwMode="auto">
        <a:xfrm>
          <a:off x="1057275" y="47596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185</xdr:row>
      <xdr:rowOff>0</xdr:rowOff>
    </xdr:from>
    <xdr:to>
      <xdr:col>2</xdr:col>
      <xdr:colOff>304800</xdr:colOff>
      <xdr:row>186</xdr:row>
      <xdr:rowOff>114300</xdr:rowOff>
    </xdr:to>
    <xdr:sp macro="" textlink="">
      <xdr:nvSpPr>
        <xdr:cNvPr id="1070" name="AutoShape 46">
          <a:extLst>
            <a:ext uri="{FF2B5EF4-FFF2-40B4-BE49-F238E27FC236}">
              <a16:creationId xmlns:a16="http://schemas.microsoft.com/office/drawing/2014/main" id="{9B400F5F-3742-8CCD-C879-2FE5840D2E76}"/>
            </a:ext>
          </a:extLst>
        </xdr:cNvPr>
        <xdr:cNvSpPr>
          <a:spLocks noChangeAspect="1" noChangeArrowheads="1"/>
        </xdr:cNvSpPr>
      </xdr:nvSpPr>
      <xdr:spPr bwMode="auto">
        <a:xfrm>
          <a:off x="1057275" y="47977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187</xdr:row>
      <xdr:rowOff>0</xdr:rowOff>
    </xdr:from>
    <xdr:to>
      <xdr:col>2</xdr:col>
      <xdr:colOff>304800</xdr:colOff>
      <xdr:row>188</xdr:row>
      <xdr:rowOff>114300</xdr:rowOff>
    </xdr:to>
    <xdr:sp macro="" textlink="">
      <xdr:nvSpPr>
        <xdr:cNvPr id="1071" name="AutoShape 47">
          <a:extLst>
            <a:ext uri="{FF2B5EF4-FFF2-40B4-BE49-F238E27FC236}">
              <a16:creationId xmlns:a16="http://schemas.microsoft.com/office/drawing/2014/main" id="{31D4ED3C-0897-3757-A5BE-7683391D3B12}"/>
            </a:ext>
          </a:extLst>
        </xdr:cNvPr>
        <xdr:cNvSpPr>
          <a:spLocks noChangeAspect="1" noChangeArrowheads="1"/>
        </xdr:cNvSpPr>
      </xdr:nvSpPr>
      <xdr:spPr bwMode="auto">
        <a:xfrm>
          <a:off x="1057275" y="48358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189</xdr:row>
      <xdr:rowOff>0</xdr:rowOff>
    </xdr:from>
    <xdr:to>
      <xdr:col>2</xdr:col>
      <xdr:colOff>304800</xdr:colOff>
      <xdr:row>190</xdr:row>
      <xdr:rowOff>114300</xdr:rowOff>
    </xdr:to>
    <xdr:sp macro="" textlink="">
      <xdr:nvSpPr>
        <xdr:cNvPr id="1072" name="AutoShape 48">
          <a:extLst>
            <a:ext uri="{FF2B5EF4-FFF2-40B4-BE49-F238E27FC236}">
              <a16:creationId xmlns:a16="http://schemas.microsoft.com/office/drawing/2014/main" id="{D893C9A0-E5EE-7B63-0FE6-9904238136D5}"/>
            </a:ext>
          </a:extLst>
        </xdr:cNvPr>
        <xdr:cNvSpPr>
          <a:spLocks noChangeAspect="1" noChangeArrowheads="1"/>
        </xdr:cNvSpPr>
      </xdr:nvSpPr>
      <xdr:spPr bwMode="auto">
        <a:xfrm>
          <a:off x="1057275" y="48739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191</xdr:row>
      <xdr:rowOff>0</xdr:rowOff>
    </xdr:from>
    <xdr:to>
      <xdr:col>2</xdr:col>
      <xdr:colOff>304800</xdr:colOff>
      <xdr:row>192</xdr:row>
      <xdr:rowOff>114300</xdr:rowOff>
    </xdr:to>
    <xdr:sp macro="" textlink="">
      <xdr:nvSpPr>
        <xdr:cNvPr id="1073" name="AutoShape 49">
          <a:extLst>
            <a:ext uri="{FF2B5EF4-FFF2-40B4-BE49-F238E27FC236}">
              <a16:creationId xmlns:a16="http://schemas.microsoft.com/office/drawing/2014/main" id="{31DD317F-D606-0E2C-EF91-EAD4BAB2B916}"/>
            </a:ext>
          </a:extLst>
        </xdr:cNvPr>
        <xdr:cNvSpPr>
          <a:spLocks noChangeAspect="1" noChangeArrowheads="1"/>
        </xdr:cNvSpPr>
      </xdr:nvSpPr>
      <xdr:spPr bwMode="auto">
        <a:xfrm>
          <a:off x="1057275" y="49120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193</xdr:row>
      <xdr:rowOff>0</xdr:rowOff>
    </xdr:from>
    <xdr:to>
      <xdr:col>2</xdr:col>
      <xdr:colOff>304800</xdr:colOff>
      <xdr:row>194</xdr:row>
      <xdr:rowOff>114300</xdr:rowOff>
    </xdr:to>
    <xdr:sp macro="" textlink="">
      <xdr:nvSpPr>
        <xdr:cNvPr id="1074" name="AutoShape 50">
          <a:extLst>
            <a:ext uri="{FF2B5EF4-FFF2-40B4-BE49-F238E27FC236}">
              <a16:creationId xmlns:a16="http://schemas.microsoft.com/office/drawing/2014/main" id="{121CA777-D8EB-B674-8067-DDFA6A093FCE}"/>
            </a:ext>
          </a:extLst>
        </xdr:cNvPr>
        <xdr:cNvSpPr>
          <a:spLocks noChangeAspect="1" noChangeArrowheads="1"/>
        </xdr:cNvSpPr>
      </xdr:nvSpPr>
      <xdr:spPr bwMode="auto">
        <a:xfrm>
          <a:off x="1057275" y="49501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195</xdr:row>
      <xdr:rowOff>0</xdr:rowOff>
    </xdr:from>
    <xdr:to>
      <xdr:col>2</xdr:col>
      <xdr:colOff>304800</xdr:colOff>
      <xdr:row>196</xdr:row>
      <xdr:rowOff>114300</xdr:rowOff>
    </xdr:to>
    <xdr:sp macro="" textlink="">
      <xdr:nvSpPr>
        <xdr:cNvPr id="1075" name="AutoShape 51">
          <a:extLst>
            <a:ext uri="{FF2B5EF4-FFF2-40B4-BE49-F238E27FC236}">
              <a16:creationId xmlns:a16="http://schemas.microsoft.com/office/drawing/2014/main" id="{B322D672-3D78-2D0E-A3E2-795A2FF20078}"/>
            </a:ext>
          </a:extLst>
        </xdr:cNvPr>
        <xdr:cNvSpPr>
          <a:spLocks noChangeAspect="1" noChangeArrowheads="1"/>
        </xdr:cNvSpPr>
      </xdr:nvSpPr>
      <xdr:spPr bwMode="auto">
        <a:xfrm>
          <a:off x="1057275" y="49882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197</xdr:row>
      <xdr:rowOff>0</xdr:rowOff>
    </xdr:from>
    <xdr:to>
      <xdr:col>2</xdr:col>
      <xdr:colOff>304800</xdr:colOff>
      <xdr:row>198</xdr:row>
      <xdr:rowOff>114300</xdr:rowOff>
    </xdr:to>
    <xdr:sp macro="" textlink="">
      <xdr:nvSpPr>
        <xdr:cNvPr id="1076" name="AutoShape 52">
          <a:extLst>
            <a:ext uri="{FF2B5EF4-FFF2-40B4-BE49-F238E27FC236}">
              <a16:creationId xmlns:a16="http://schemas.microsoft.com/office/drawing/2014/main" id="{05076833-450F-DDA7-3D48-221C5B7C5B4D}"/>
            </a:ext>
          </a:extLst>
        </xdr:cNvPr>
        <xdr:cNvSpPr>
          <a:spLocks noChangeAspect="1" noChangeArrowheads="1"/>
        </xdr:cNvSpPr>
      </xdr:nvSpPr>
      <xdr:spPr bwMode="auto">
        <a:xfrm>
          <a:off x="1057275" y="5026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199</xdr:row>
      <xdr:rowOff>0</xdr:rowOff>
    </xdr:from>
    <xdr:to>
      <xdr:col>2</xdr:col>
      <xdr:colOff>304800</xdr:colOff>
      <xdr:row>200</xdr:row>
      <xdr:rowOff>114300</xdr:rowOff>
    </xdr:to>
    <xdr:sp macro="" textlink="">
      <xdr:nvSpPr>
        <xdr:cNvPr id="1077" name="AutoShape 53">
          <a:extLst>
            <a:ext uri="{FF2B5EF4-FFF2-40B4-BE49-F238E27FC236}">
              <a16:creationId xmlns:a16="http://schemas.microsoft.com/office/drawing/2014/main" id="{0D860D59-50AC-19FC-9169-26DCF78348DD}"/>
            </a:ext>
          </a:extLst>
        </xdr:cNvPr>
        <xdr:cNvSpPr>
          <a:spLocks noChangeAspect="1" noChangeArrowheads="1"/>
        </xdr:cNvSpPr>
      </xdr:nvSpPr>
      <xdr:spPr bwMode="auto">
        <a:xfrm>
          <a:off x="1057275" y="50644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201</xdr:row>
      <xdr:rowOff>0</xdr:rowOff>
    </xdr:from>
    <xdr:to>
      <xdr:col>2</xdr:col>
      <xdr:colOff>304800</xdr:colOff>
      <xdr:row>202</xdr:row>
      <xdr:rowOff>114300</xdr:rowOff>
    </xdr:to>
    <xdr:sp macro="" textlink="">
      <xdr:nvSpPr>
        <xdr:cNvPr id="1078" name="AutoShape 54">
          <a:extLst>
            <a:ext uri="{FF2B5EF4-FFF2-40B4-BE49-F238E27FC236}">
              <a16:creationId xmlns:a16="http://schemas.microsoft.com/office/drawing/2014/main" id="{792BA2B0-9C0D-8B55-A2AC-A3008507C194}"/>
            </a:ext>
          </a:extLst>
        </xdr:cNvPr>
        <xdr:cNvSpPr>
          <a:spLocks noChangeAspect="1" noChangeArrowheads="1"/>
        </xdr:cNvSpPr>
      </xdr:nvSpPr>
      <xdr:spPr bwMode="auto">
        <a:xfrm>
          <a:off x="1057275" y="51025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B6114CCC-81D0-4DCD-9336-A4A0B6EDDB07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AD0ABBC8-B2B0-4F1A-8CBA-450B08B6DB0C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6631106C-24D1-4FEA-AC65-D833853A1635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5" name="AutoShape 4">
          <a:extLst>
            <a:ext uri="{FF2B5EF4-FFF2-40B4-BE49-F238E27FC236}">
              <a16:creationId xmlns:a16="http://schemas.microsoft.com/office/drawing/2014/main" id="{FCD0770E-ACD1-48D1-9589-CE2774FE1343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6" name="AutoShape 5">
          <a:extLst>
            <a:ext uri="{FF2B5EF4-FFF2-40B4-BE49-F238E27FC236}">
              <a16:creationId xmlns:a16="http://schemas.microsoft.com/office/drawing/2014/main" id="{719A5E02-44B0-49FB-AC40-FEE343271F62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7" name="AutoShape 6">
          <a:extLst>
            <a:ext uri="{FF2B5EF4-FFF2-40B4-BE49-F238E27FC236}">
              <a16:creationId xmlns:a16="http://schemas.microsoft.com/office/drawing/2014/main" id="{12929BEC-9A3D-4FDF-BE23-89BCBD20B745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8" name="AutoShape 7">
          <a:extLst>
            <a:ext uri="{FF2B5EF4-FFF2-40B4-BE49-F238E27FC236}">
              <a16:creationId xmlns:a16="http://schemas.microsoft.com/office/drawing/2014/main" id="{05D7FBA7-486F-42A8-A782-2A7636C49BCE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9" name="AutoShape 8">
          <a:extLst>
            <a:ext uri="{FF2B5EF4-FFF2-40B4-BE49-F238E27FC236}">
              <a16:creationId xmlns:a16="http://schemas.microsoft.com/office/drawing/2014/main" id="{E5A70350-B429-495E-BFE3-76F91F740636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10" name="AutoShape 9">
          <a:extLst>
            <a:ext uri="{FF2B5EF4-FFF2-40B4-BE49-F238E27FC236}">
              <a16:creationId xmlns:a16="http://schemas.microsoft.com/office/drawing/2014/main" id="{3ADDA4E6-925E-4815-ACE6-30E02F19EBDF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11" name="AutoShape 10">
          <a:extLst>
            <a:ext uri="{FF2B5EF4-FFF2-40B4-BE49-F238E27FC236}">
              <a16:creationId xmlns:a16="http://schemas.microsoft.com/office/drawing/2014/main" id="{A400EC9E-63E9-4845-814B-3137C3B6F674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12" name="AutoShape 11">
          <a:extLst>
            <a:ext uri="{FF2B5EF4-FFF2-40B4-BE49-F238E27FC236}">
              <a16:creationId xmlns:a16="http://schemas.microsoft.com/office/drawing/2014/main" id="{7EB0DF91-0DAF-42EC-A49A-745480040FF8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13" name="AutoShape 12">
          <a:extLst>
            <a:ext uri="{FF2B5EF4-FFF2-40B4-BE49-F238E27FC236}">
              <a16:creationId xmlns:a16="http://schemas.microsoft.com/office/drawing/2014/main" id="{22DD1EC3-31DE-4024-A4FD-8D8B20A48DF6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14" name="AutoShape 13">
          <a:extLst>
            <a:ext uri="{FF2B5EF4-FFF2-40B4-BE49-F238E27FC236}">
              <a16:creationId xmlns:a16="http://schemas.microsoft.com/office/drawing/2014/main" id="{66E8963B-6C35-4BAF-BB3F-975149A63CD5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15" name="AutoShape 14">
          <a:extLst>
            <a:ext uri="{FF2B5EF4-FFF2-40B4-BE49-F238E27FC236}">
              <a16:creationId xmlns:a16="http://schemas.microsoft.com/office/drawing/2014/main" id="{0B2E26F2-D645-4CE7-B8F2-79B634867027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16" name="AutoShape 15">
          <a:extLst>
            <a:ext uri="{FF2B5EF4-FFF2-40B4-BE49-F238E27FC236}">
              <a16:creationId xmlns:a16="http://schemas.microsoft.com/office/drawing/2014/main" id="{AA2D47BF-786C-4F2F-8F87-170E00C6980C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17" name="AutoShape 16">
          <a:extLst>
            <a:ext uri="{FF2B5EF4-FFF2-40B4-BE49-F238E27FC236}">
              <a16:creationId xmlns:a16="http://schemas.microsoft.com/office/drawing/2014/main" id="{5D935632-0423-4406-88CB-8FF4A75F1AF6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18" name="AutoShape 17">
          <a:extLst>
            <a:ext uri="{FF2B5EF4-FFF2-40B4-BE49-F238E27FC236}">
              <a16:creationId xmlns:a16="http://schemas.microsoft.com/office/drawing/2014/main" id="{7192C820-8D94-4933-BF70-08D5015C5A71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19" name="AutoShape 18">
          <a:extLst>
            <a:ext uri="{FF2B5EF4-FFF2-40B4-BE49-F238E27FC236}">
              <a16:creationId xmlns:a16="http://schemas.microsoft.com/office/drawing/2014/main" id="{BFD13691-DAF1-4CBE-860D-640EC64985D0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20" name="AutoShape 19">
          <a:extLst>
            <a:ext uri="{FF2B5EF4-FFF2-40B4-BE49-F238E27FC236}">
              <a16:creationId xmlns:a16="http://schemas.microsoft.com/office/drawing/2014/main" id="{4997389A-6CF0-4750-9F16-83F36279C819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21" name="AutoShape 20">
          <a:extLst>
            <a:ext uri="{FF2B5EF4-FFF2-40B4-BE49-F238E27FC236}">
              <a16:creationId xmlns:a16="http://schemas.microsoft.com/office/drawing/2014/main" id="{3FC3742C-7CBC-4588-A84E-7E075E31ABDD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22" name="AutoShape 21">
          <a:extLst>
            <a:ext uri="{FF2B5EF4-FFF2-40B4-BE49-F238E27FC236}">
              <a16:creationId xmlns:a16="http://schemas.microsoft.com/office/drawing/2014/main" id="{000BA819-B8C1-48F2-8A43-6A719F4C0631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23" name="AutoShape 22">
          <a:extLst>
            <a:ext uri="{FF2B5EF4-FFF2-40B4-BE49-F238E27FC236}">
              <a16:creationId xmlns:a16="http://schemas.microsoft.com/office/drawing/2014/main" id="{0E36CDDF-909D-43EC-BCCD-25B2ED33E458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24" name="AutoShape 23">
          <a:extLst>
            <a:ext uri="{FF2B5EF4-FFF2-40B4-BE49-F238E27FC236}">
              <a16:creationId xmlns:a16="http://schemas.microsoft.com/office/drawing/2014/main" id="{98F3FA74-2CBD-44ED-A966-27E8A12D300A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25" name="AutoShape 24">
          <a:extLst>
            <a:ext uri="{FF2B5EF4-FFF2-40B4-BE49-F238E27FC236}">
              <a16:creationId xmlns:a16="http://schemas.microsoft.com/office/drawing/2014/main" id="{C2AFDBBB-2D1A-4C45-B9BC-2D09355D6B3C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26" name="AutoShape 25">
          <a:extLst>
            <a:ext uri="{FF2B5EF4-FFF2-40B4-BE49-F238E27FC236}">
              <a16:creationId xmlns:a16="http://schemas.microsoft.com/office/drawing/2014/main" id="{D403B2CB-E18F-41CC-8EC3-B5629E2CC158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27" name="AutoShape 26">
          <a:extLst>
            <a:ext uri="{FF2B5EF4-FFF2-40B4-BE49-F238E27FC236}">
              <a16:creationId xmlns:a16="http://schemas.microsoft.com/office/drawing/2014/main" id="{51D15E23-F59C-4074-92ED-DF0BF88623B6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28" name="AutoShape 27">
          <a:extLst>
            <a:ext uri="{FF2B5EF4-FFF2-40B4-BE49-F238E27FC236}">
              <a16:creationId xmlns:a16="http://schemas.microsoft.com/office/drawing/2014/main" id="{FF64A6A3-F34E-4FAC-B868-6581D6D6F823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29" name="AutoShape 28">
          <a:extLst>
            <a:ext uri="{FF2B5EF4-FFF2-40B4-BE49-F238E27FC236}">
              <a16:creationId xmlns:a16="http://schemas.microsoft.com/office/drawing/2014/main" id="{A0992BA6-53A8-48B2-9A45-0D0C85B69EEC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30" name="AutoShape 29">
          <a:extLst>
            <a:ext uri="{FF2B5EF4-FFF2-40B4-BE49-F238E27FC236}">
              <a16:creationId xmlns:a16="http://schemas.microsoft.com/office/drawing/2014/main" id="{FC4411B8-EF10-48DF-A9BD-8051B9F5D23D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31" name="AutoShape 30">
          <a:extLst>
            <a:ext uri="{FF2B5EF4-FFF2-40B4-BE49-F238E27FC236}">
              <a16:creationId xmlns:a16="http://schemas.microsoft.com/office/drawing/2014/main" id="{921CB1AB-15D0-4728-BDCE-12B8BFEB9D35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32" name="AutoShape 31">
          <a:extLst>
            <a:ext uri="{FF2B5EF4-FFF2-40B4-BE49-F238E27FC236}">
              <a16:creationId xmlns:a16="http://schemas.microsoft.com/office/drawing/2014/main" id="{42A43672-6D77-4D3D-9493-A81F94E39E6D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33" name="AutoShape 32">
          <a:extLst>
            <a:ext uri="{FF2B5EF4-FFF2-40B4-BE49-F238E27FC236}">
              <a16:creationId xmlns:a16="http://schemas.microsoft.com/office/drawing/2014/main" id="{FD3384F0-B2E2-41BF-A37B-1CEF814D2729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34" name="AutoShape 33">
          <a:extLst>
            <a:ext uri="{FF2B5EF4-FFF2-40B4-BE49-F238E27FC236}">
              <a16:creationId xmlns:a16="http://schemas.microsoft.com/office/drawing/2014/main" id="{102E7E51-48C9-4E12-AF94-57FE2DF27077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35" name="AutoShape 34">
          <a:extLst>
            <a:ext uri="{FF2B5EF4-FFF2-40B4-BE49-F238E27FC236}">
              <a16:creationId xmlns:a16="http://schemas.microsoft.com/office/drawing/2014/main" id="{ED13F080-D702-41CD-BF7D-11EB94818EDC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36" name="AutoShape 35">
          <a:extLst>
            <a:ext uri="{FF2B5EF4-FFF2-40B4-BE49-F238E27FC236}">
              <a16:creationId xmlns:a16="http://schemas.microsoft.com/office/drawing/2014/main" id="{80CB002D-3F62-4336-A9B3-71158C851873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37" name="AutoShape 36">
          <a:extLst>
            <a:ext uri="{FF2B5EF4-FFF2-40B4-BE49-F238E27FC236}">
              <a16:creationId xmlns:a16="http://schemas.microsoft.com/office/drawing/2014/main" id="{6FC9E20F-AA36-49F0-A3A8-98E17941C18D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38" name="AutoShape 37">
          <a:extLst>
            <a:ext uri="{FF2B5EF4-FFF2-40B4-BE49-F238E27FC236}">
              <a16:creationId xmlns:a16="http://schemas.microsoft.com/office/drawing/2014/main" id="{F429AD24-E907-45A5-80EF-DBA6059238E4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39" name="AutoShape 38">
          <a:extLst>
            <a:ext uri="{FF2B5EF4-FFF2-40B4-BE49-F238E27FC236}">
              <a16:creationId xmlns:a16="http://schemas.microsoft.com/office/drawing/2014/main" id="{4B884812-7A7C-46A5-802C-50572D8C9AA9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0" name="AutoShape 39">
          <a:extLst>
            <a:ext uri="{FF2B5EF4-FFF2-40B4-BE49-F238E27FC236}">
              <a16:creationId xmlns:a16="http://schemas.microsoft.com/office/drawing/2014/main" id="{D047C312-A1FA-4183-B70E-11DECC205B7A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1" name="AutoShape 40">
          <a:extLst>
            <a:ext uri="{FF2B5EF4-FFF2-40B4-BE49-F238E27FC236}">
              <a16:creationId xmlns:a16="http://schemas.microsoft.com/office/drawing/2014/main" id="{58F575C1-E528-4022-AB62-F55E772BFBD8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2" name="AutoShape 41">
          <a:extLst>
            <a:ext uri="{FF2B5EF4-FFF2-40B4-BE49-F238E27FC236}">
              <a16:creationId xmlns:a16="http://schemas.microsoft.com/office/drawing/2014/main" id="{87EC3160-9212-46C2-94ED-79838EBEC8E5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3" name="AutoShape 42">
          <a:extLst>
            <a:ext uri="{FF2B5EF4-FFF2-40B4-BE49-F238E27FC236}">
              <a16:creationId xmlns:a16="http://schemas.microsoft.com/office/drawing/2014/main" id="{C41379C2-27CA-415E-8DCF-EBB54B16BD84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4" name="AutoShape 43">
          <a:extLst>
            <a:ext uri="{FF2B5EF4-FFF2-40B4-BE49-F238E27FC236}">
              <a16:creationId xmlns:a16="http://schemas.microsoft.com/office/drawing/2014/main" id="{F307340C-7E8B-4D21-8CEF-94E443A40783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5" name="AutoShape 44">
          <a:extLst>
            <a:ext uri="{FF2B5EF4-FFF2-40B4-BE49-F238E27FC236}">
              <a16:creationId xmlns:a16="http://schemas.microsoft.com/office/drawing/2014/main" id="{A59C18F6-1D3B-4488-99D7-90A3B89E0581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6" name="AutoShape 45">
          <a:extLst>
            <a:ext uri="{FF2B5EF4-FFF2-40B4-BE49-F238E27FC236}">
              <a16:creationId xmlns:a16="http://schemas.microsoft.com/office/drawing/2014/main" id="{565C3F09-A331-434C-8007-818FBB632C4B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7" name="AutoShape 46">
          <a:extLst>
            <a:ext uri="{FF2B5EF4-FFF2-40B4-BE49-F238E27FC236}">
              <a16:creationId xmlns:a16="http://schemas.microsoft.com/office/drawing/2014/main" id="{72DE7346-21B9-468D-9822-1704EDD92A16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8" name="AutoShape 47">
          <a:extLst>
            <a:ext uri="{FF2B5EF4-FFF2-40B4-BE49-F238E27FC236}">
              <a16:creationId xmlns:a16="http://schemas.microsoft.com/office/drawing/2014/main" id="{B60B140B-41E8-400F-A986-7EA21AA1FA00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49" name="AutoShape 48">
          <a:extLst>
            <a:ext uri="{FF2B5EF4-FFF2-40B4-BE49-F238E27FC236}">
              <a16:creationId xmlns:a16="http://schemas.microsoft.com/office/drawing/2014/main" id="{A3D62C0D-DAEC-4729-B7FF-0E76D8D3267B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50" name="AutoShape 49">
          <a:extLst>
            <a:ext uri="{FF2B5EF4-FFF2-40B4-BE49-F238E27FC236}">
              <a16:creationId xmlns:a16="http://schemas.microsoft.com/office/drawing/2014/main" id="{D07F098B-5701-407C-909A-7A28753E8FC2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51" name="AutoShape 50">
          <a:extLst>
            <a:ext uri="{FF2B5EF4-FFF2-40B4-BE49-F238E27FC236}">
              <a16:creationId xmlns:a16="http://schemas.microsoft.com/office/drawing/2014/main" id="{4FA15CF6-55B9-4515-BFED-2A273E3032FB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52" name="AutoShape 51">
          <a:extLst>
            <a:ext uri="{FF2B5EF4-FFF2-40B4-BE49-F238E27FC236}">
              <a16:creationId xmlns:a16="http://schemas.microsoft.com/office/drawing/2014/main" id="{57E913DF-043D-49C7-80A3-1BE707CE0D3F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53" name="AutoShape 52">
          <a:extLst>
            <a:ext uri="{FF2B5EF4-FFF2-40B4-BE49-F238E27FC236}">
              <a16:creationId xmlns:a16="http://schemas.microsoft.com/office/drawing/2014/main" id="{B29F81DD-3928-4876-8192-51670B48F370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54" name="AutoShape 53">
          <a:extLst>
            <a:ext uri="{FF2B5EF4-FFF2-40B4-BE49-F238E27FC236}">
              <a16:creationId xmlns:a16="http://schemas.microsoft.com/office/drawing/2014/main" id="{88B41E69-675B-42F6-983A-963CEBED207F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55" name="AutoShape 54">
          <a:extLst>
            <a:ext uri="{FF2B5EF4-FFF2-40B4-BE49-F238E27FC236}">
              <a16:creationId xmlns:a16="http://schemas.microsoft.com/office/drawing/2014/main" id="{AB70D495-8A36-4FCD-A0D1-6CD8AAF71C52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56" name="AutoShape 55">
          <a:extLst>
            <a:ext uri="{FF2B5EF4-FFF2-40B4-BE49-F238E27FC236}">
              <a16:creationId xmlns:a16="http://schemas.microsoft.com/office/drawing/2014/main" id="{81FE589E-0DA9-4B3C-B65C-9F3CE001DFA5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57" name="AutoShape 56">
          <a:extLst>
            <a:ext uri="{FF2B5EF4-FFF2-40B4-BE49-F238E27FC236}">
              <a16:creationId xmlns:a16="http://schemas.microsoft.com/office/drawing/2014/main" id="{3B82C21C-F966-484C-858D-E006994FBFCE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58" name="AutoShape 57">
          <a:extLst>
            <a:ext uri="{FF2B5EF4-FFF2-40B4-BE49-F238E27FC236}">
              <a16:creationId xmlns:a16="http://schemas.microsoft.com/office/drawing/2014/main" id="{FCF02EA6-E6E3-441E-9BDA-0CD1793AD8B0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59" name="AutoShape 58">
          <a:extLst>
            <a:ext uri="{FF2B5EF4-FFF2-40B4-BE49-F238E27FC236}">
              <a16:creationId xmlns:a16="http://schemas.microsoft.com/office/drawing/2014/main" id="{D5D6D00F-CE3A-4523-85C7-EDA8A27E1C08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60" name="AutoShape 59">
          <a:extLst>
            <a:ext uri="{FF2B5EF4-FFF2-40B4-BE49-F238E27FC236}">
              <a16:creationId xmlns:a16="http://schemas.microsoft.com/office/drawing/2014/main" id="{33588324-1C98-4DF7-AC71-1475A02B552B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61" name="AutoShape 60">
          <a:extLst>
            <a:ext uri="{FF2B5EF4-FFF2-40B4-BE49-F238E27FC236}">
              <a16:creationId xmlns:a16="http://schemas.microsoft.com/office/drawing/2014/main" id="{F1A35FFA-C241-4A4A-92DB-3528142E2FB8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62" name="AutoShape 61">
          <a:extLst>
            <a:ext uri="{FF2B5EF4-FFF2-40B4-BE49-F238E27FC236}">
              <a16:creationId xmlns:a16="http://schemas.microsoft.com/office/drawing/2014/main" id="{A1E50731-873C-439E-A8FB-45CA6147818A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63" name="AutoShape 62">
          <a:extLst>
            <a:ext uri="{FF2B5EF4-FFF2-40B4-BE49-F238E27FC236}">
              <a16:creationId xmlns:a16="http://schemas.microsoft.com/office/drawing/2014/main" id="{57C6BB09-E07A-4CB2-88A8-573EBF52B7E3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64" name="AutoShape 63">
          <a:extLst>
            <a:ext uri="{FF2B5EF4-FFF2-40B4-BE49-F238E27FC236}">
              <a16:creationId xmlns:a16="http://schemas.microsoft.com/office/drawing/2014/main" id="{0D0FA0C5-34FE-4E79-9B65-5B0F43D6D602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65" name="AutoShape 64">
          <a:extLst>
            <a:ext uri="{FF2B5EF4-FFF2-40B4-BE49-F238E27FC236}">
              <a16:creationId xmlns:a16="http://schemas.microsoft.com/office/drawing/2014/main" id="{2581D6BF-E414-4CD0-B227-F3090F436DED}"/>
            </a:ext>
          </a:extLst>
        </xdr:cNvPr>
        <xdr:cNvSpPr>
          <a:spLocks noChangeAspect="1" noChangeArrowheads="1"/>
        </xdr:cNvSpPr>
      </xdr:nvSpPr>
      <xdr:spPr bwMode="auto">
        <a:xfrm>
          <a:off x="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66" name="AutoShape 1">
          <a:extLst>
            <a:ext uri="{FF2B5EF4-FFF2-40B4-BE49-F238E27FC236}">
              <a16:creationId xmlns:a16="http://schemas.microsoft.com/office/drawing/2014/main" id="{687376CF-915F-4C05-A542-E50388195EE3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67" name="AutoShape 2">
          <a:extLst>
            <a:ext uri="{FF2B5EF4-FFF2-40B4-BE49-F238E27FC236}">
              <a16:creationId xmlns:a16="http://schemas.microsoft.com/office/drawing/2014/main" id="{29A11CE1-D99C-419E-ABD9-171B51F7526C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68" name="AutoShape 3">
          <a:extLst>
            <a:ext uri="{FF2B5EF4-FFF2-40B4-BE49-F238E27FC236}">
              <a16:creationId xmlns:a16="http://schemas.microsoft.com/office/drawing/2014/main" id="{546399A0-18E3-4708-86BE-1640B08A580E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69" name="AutoShape 4">
          <a:extLst>
            <a:ext uri="{FF2B5EF4-FFF2-40B4-BE49-F238E27FC236}">
              <a16:creationId xmlns:a16="http://schemas.microsoft.com/office/drawing/2014/main" id="{45B8311A-3BA8-4F40-8F0C-0DA5589565EF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70" name="AutoShape 5">
          <a:extLst>
            <a:ext uri="{FF2B5EF4-FFF2-40B4-BE49-F238E27FC236}">
              <a16:creationId xmlns:a16="http://schemas.microsoft.com/office/drawing/2014/main" id="{1E5DD5D8-DE85-4C5C-AAEF-EB9F0482F167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71" name="AutoShape 6">
          <a:extLst>
            <a:ext uri="{FF2B5EF4-FFF2-40B4-BE49-F238E27FC236}">
              <a16:creationId xmlns:a16="http://schemas.microsoft.com/office/drawing/2014/main" id="{F5803342-D99B-4D50-BCC3-4A7B1DC2A347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72" name="AutoShape 7">
          <a:extLst>
            <a:ext uri="{FF2B5EF4-FFF2-40B4-BE49-F238E27FC236}">
              <a16:creationId xmlns:a16="http://schemas.microsoft.com/office/drawing/2014/main" id="{0DCBBF36-E8CB-4ADA-84C1-641B1FC5E2D2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73" name="AutoShape 8">
          <a:extLst>
            <a:ext uri="{FF2B5EF4-FFF2-40B4-BE49-F238E27FC236}">
              <a16:creationId xmlns:a16="http://schemas.microsoft.com/office/drawing/2014/main" id="{56BD1B53-0CE4-47F8-92EA-A7A23C07BB64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74" name="AutoShape 9">
          <a:extLst>
            <a:ext uri="{FF2B5EF4-FFF2-40B4-BE49-F238E27FC236}">
              <a16:creationId xmlns:a16="http://schemas.microsoft.com/office/drawing/2014/main" id="{150139AC-38B5-48A9-90A5-B0ECA2E21DF4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75" name="AutoShape 10">
          <a:extLst>
            <a:ext uri="{FF2B5EF4-FFF2-40B4-BE49-F238E27FC236}">
              <a16:creationId xmlns:a16="http://schemas.microsoft.com/office/drawing/2014/main" id="{F457A8E1-904B-4FF4-9C4E-E2D4D0CF285D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76" name="AutoShape 11">
          <a:extLst>
            <a:ext uri="{FF2B5EF4-FFF2-40B4-BE49-F238E27FC236}">
              <a16:creationId xmlns:a16="http://schemas.microsoft.com/office/drawing/2014/main" id="{C8DB4178-DA71-411F-ABE5-958DA37FC8D6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77" name="AutoShape 12">
          <a:extLst>
            <a:ext uri="{FF2B5EF4-FFF2-40B4-BE49-F238E27FC236}">
              <a16:creationId xmlns:a16="http://schemas.microsoft.com/office/drawing/2014/main" id="{BACE0CAE-1F80-4493-8561-C86550E5CC90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78" name="AutoShape 13">
          <a:extLst>
            <a:ext uri="{FF2B5EF4-FFF2-40B4-BE49-F238E27FC236}">
              <a16:creationId xmlns:a16="http://schemas.microsoft.com/office/drawing/2014/main" id="{6FC9D776-E636-4B26-8F6E-BDB0CA2DD0DD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79" name="AutoShape 14">
          <a:extLst>
            <a:ext uri="{FF2B5EF4-FFF2-40B4-BE49-F238E27FC236}">
              <a16:creationId xmlns:a16="http://schemas.microsoft.com/office/drawing/2014/main" id="{083B95B6-08FD-468E-9B7D-577A4BF51B3F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80" name="AutoShape 15">
          <a:extLst>
            <a:ext uri="{FF2B5EF4-FFF2-40B4-BE49-F238E27FC236}">
              <a16:creationId xmlns:a16="http://schemas.microsoft.com/office/drawing/2014/main" id="{C3727C2A-1BF6-4455-A923-9A38BDC0EA28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81" name="AutoShape 16">
          <a:extLst>
            <a:ext uri="{FF2B5EF4-FFF2-40B4-BE49-F238E27FC236}">
              <a16:creationId xmlns:a16="http://schemas.microsoft.com/office/drawing/2014/main" id="{D2D870AB-9FAE-4F78-8942-F5350294BA41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82" name="AutoShape 17">
          <a:extLst>
            <a:ext uri="{FF2B5EF4-FFF2-40B4-BE49-F238E27FC236}">
              <a16:creationId xmlns:a16="http://schemas.microsoft.com/office/drawing/2014/main" id="{7C9D6BDF-4F72-42CA-8721-0889A8224773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83" name="AutoShape 18">
          <a:extLst>
            <a:ext uri="{FF2B5EF4-FFF2-40B4-BE49-F238E27FC236}">
              <a16:creationId xmlns:a16="http://schemas.microsoft.com/office/drawing/2014/main" id="{FB6E4663-0281-455E-83CA-114B33659E4F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84" name="AutoShape 19">
          <a:extLst>
            <a:ext uri="{FF2B5EF4-FFF2-40B4-BE49-F238E27FC236}">
              <a16:creationId xmlns:a16="http://schemas.microsoft.com/office/drawing/2014/main" id="{A71FA777-25FE-45CC-B5FC-686B3F0A3FDD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85" name="AutoShape 20">
          <a:extLst>
            <a:ext uri="{FF2B5EF4-FFF2-40B4-BE49-F238E27FC236}">
              <a16:creationId xmlns:a16="http://schemas.microsoft.com/office/drawing/2014/main" id="{3BF7EEBF-38CE-478D-8023-F4B61BC445DB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86" name="AutoShape 21">
          <a:extLst>
            <a:ext uri="{FF2B5EF4-FFF2-40B4-BE49-F238E27FC236}">
              <a16:creationId xmlns:a16="http://schemas.microsoft.com/office/drawing/2014/main" id="{51183538-9E9E-4BCB-BC5F-A62AD53FB736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87" name="AutoShape 22">
          <a:extLst>
            <a:ext uri="{FF2B5EF4-FFF2-40B4-BE49-F238E27FC236}">
              <a16:creationId xmlns:a16="http://schemas.microsoft.com/office/drawing/2014/main" id="{F023F3F0-50B9-4605-81F7-EC1B91238C73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88" name="AutoShape 23">
          <a:extLst>
            <a:ext uri="{FF2B5EF4-FFF2-40B4-BE49-F238E27FC236}">
              <a16:creationId xmlns:a16="http://schemas.microsoft.com/office/drawing/2014/main" id="{13822E23-F4A7-4AEA-9A0C-B1F588AD86EC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89" name="AutoShape 24">
          <a:extLst>
            <a:ext uri="{FF2B5EF4-FFF2-40B4-BE49-F238E27FC236}">
              <a16:creationId xmlns:a16="http://schemas.microsoft.com/office/drawing/2014/main" id="{9DFE0A2B-2F8A-4D04-9AB1-743C64B80A2D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90" name="AutoShape 25">
          <a:extLst>
            <a:ext uri="{FF2B5EF4-FFF2-40B4-BE49-F238E27FC236}">
              <a16:creationId xmlns:a16="http://schemas.microsoft.com/office/drawing/2014/main" id="{22E5E413-B7E0-499C-AAAF-CF88ECC58E67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91" name="AutoShape 26">
          <a:extLst>
            <a:ext uri="{FF2B5EF4-FFF2-40B4-BE49-F238E27FC236}">
              <a16:creationId xmlns:a16="http://schemas.microsoft.com/office/drawing/2014/main" id="{998A18F6-0E9C-4C8E-A0EE-2B209C2A37BA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92" name="AutoShape 27">
          <a:extLst>
            <a:ext uri="{FF2B5EF4-FFF2-40B4-BE49-F238E27FC236}">
              <a16:creationId xmlns:a16="http://schemas.microsoft.com/office/drawing/2014/main" id="{2C19779A-8577-4122-B200-E8D08EA037AD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93" name="AutoShape 28">
          <a:extLst>
            <a:ext uri="{FF2B5EF4-FFF2-40B4-BE49-F238E27FC236}">
              <a16:creationId xmlns:a16="http://schemas.microsoft.com/office/drawing/2014/main" id="{6B583528-2E73-4651-9E2D-ADCA8C026A2E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94" name="AutoShape 29">
          <a:extLst>
            <a:ext uri="{FF2B5EF4-FFF2-40B4-BE49-F238E27FC236}">
              <a16:creationId xmlns:a16="http://schemas.microsoft.com/office/drawing/2014/main" id="{5BC11F7B-BB37-4154-B87D-2C641DD523FC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95" name="AutoShape 30">
          <a:extLst>
            <a:ext uri="{FF2B5EF4-FFF2-40B4-BE49-F238E27FC236}">
              <a16:creationId xmlns:a16="http://schemas.microsoft.com/office/drawing/2014/main" id="{389E4DC5-4EC0-4725-99B0-77F00C2601C1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96" name="AutoShape 31">
          <a:extLst>
            <a:ext uri="{FF2B5EF4-FFF2-40B4-BE49-F238E27FC236}">
              <a16:creationId xmlns:a16="http://schemas.microsoft.com/office/drawing/2014/main" id="{1C62673D-B1D4-4F64-8030-D54451330689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97" name="AutoShape 32">
          <a:extLst>
            <a:ext uri="{FF2B5EF4-FFF2-40B4-BE49-F238E27FC236}">
              <a16:creationId xmlns:a16="http://schemas.microsoft.com/office/drawing/2014/main" id="{75766420-5A3F-4C9E-9795-390845E5AFD4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98" name="AutoShape 33">
          <a:extLst>
            <a:ext uri="{FF2B5EF4-FFF2-40B4-BE49-F238E27FC236}">
              <a16:creationId xmlns:a16="http://schemas.microsoft.com/office/drawing/2014/main" id="{D8765370-E0CC-478F-AA59-E3921753EC6D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99" name="AutoShape 34">
          <a:extLst>
            <a:ext uri="{FF2B5EF4-FFF2-40B4-BE49-F238E27FC236}">
              <a16:creationId xmlns:a16="http://schemas.microsoft.com/office/drawing/2014/main" id="{A887722C-B4F2-48EF-82DE-5A5E6B5937A9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100" name="AutoShape 35">
          <a:extLst>
            <a:ext uri="{FF2B5EF4-FFF2-40B4-BE49-F238E27FC236}">
              <a16:creationId xmlns:a16="http://schemas.microsoft.com/office/drawing/2014/main" id="{D5B76348-1251-470C-84DF-061C04D01B9E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101" name="AutoShape 36">
          <a:extLst>
            <a:ext uri="{FF2B5EF4-FFF2-40B4-BE49-F238E27FC236}">
              <a16:creationId xmlns:a16="http://schemas.microsoft.com/office/drawing/2014/main" id="{BC164EBF-7D4F-4563-A8D4-165FB7248FB9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102" name="AutoShape 37">
          <a:extLst>
            <a:ext uri="{FF2B5EF4-FFF2-40B4-BE49-F238E27FC236}">
              <a16:creationId xmlns:a16="http://schemas.microsoft.com/office/drawing/2014/main" id="{8E416F12-C9ED-4513-88AD-61A257AB9647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103" name="AutoShape 38">
          <a:extLst>
            <a:ext uri="{FF2B5EF4-FFF2-40B4-BE49-F238E27FC236}">
              <a16:creationId xmlns:a16="http://schemas.microsoft.com/office/drawing/2014/main" id="{BD2CD2B5-86A5-4F7D-A5B5-BEE06232B026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104" name="AutoShape 39">
          <a:extLst>
            <a:ext uri="{FF2B5EF4-FFF2-40B4-BE49-F238E27FC236}">
              <a16:creationId xmlns:a16="http://schemas.microsoft.com/office/drawing/2014/main" id="{C05AFB4A-C99C-436A-8E00-CA6E41F38C3D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105" name="AutoShape 40">
          <a:extLst>
            <a:ext uri="{FF2B5EF4-FFF2-40B4-BE49-F238E27FC236}">
              <a16:creationId xmlns:a16="http://schemas.microsoft.com/office/drawing/2014/main" id="{CA595E82-AC5F-4890-802F-B5CC0EFC3DA9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106" name="AutoShape 41">
          <a:extLst>
            <a:ext uri="{FF2B5EF4-FFF2-40B4-BE49-F238E27FC236}">
              <a16:creationId xmlns:a16="http://schemas.microsoft.com/office/drawing/2014/main" id="{35A8206F-6E74-44F2-8E20-F2C868FED48D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107" name="AutoShape 42">
          <a:extLst>
            <a:ext uri="{FF2B5EF4-FFF2-40B4-BE49-F238E27FC236}">
              <a16:creationId xmlns:a16="http://schemas.microsoft.com/office/drawing/2014/main" id="{6DC20B5F-3546-441E-B649-D7BB72F88C0C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108" name="AutoShape 43">
          <a:extLst>
            <a:ext uri="{FF2B5EF4-FFF2-40B4-BE49-F238E27FC236}">
              <a16:creationId xmlns:a16="http://schemas.microsoft.com/office/drawing/2014/main" id="{C82FCADA-3316-4FF2-A87B-062CDE91A390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109" name="AutoShape 44">
          <a:extLst>
            <a:ext uri="{FF2B5EF4-FFF2-40B4-BE49-F238E27FC236}">
              <a16:creationId xmlns:a16="http://schemas.microsoft.com/office/drawing/2014/main" id="{D79E0086-2E62-40FA-B45A-263EA6E5C9C5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110" name="AutoShape 45">
          <a:extLst>
            <a:ext uri="{FF2B5EF4-FFF2-40B4-BE49-F238E27FC236}">
              <a16:creationId xmlns:a16="http://schemas.microsoft.com/office/drawing/2014/main" id="{B7ED9D19-8D75-4D16-848A-E5F77E01B8EA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111" name="AutoShape 46">
          <a:extLst>
            <a:ext uri="{FF2B5EF4-FFF2-40B4-BE49-F238E27FC236}">
              <a16:creationId xmlns:a16="http://schemas.microsoft.com/office/drawing/2014/main" id="{34F26681-2E38-4307-BCB5-7AC540EAE687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112" name="AutoShape 47">
          <a:extLst>
            <a:ext uri="{FF2B5EF4-FFF2-40B4-BE49-F238E27FC236}">
              <a16:creationId xmlns:a16="http://schemas.microsoft.com/office/drawing/2014/main" id="{3A29583A-67E7-4058-8472-50728EFE7986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113" name="AutoShape 48">
          <a:extLst>
            <a:ext uri="{FF2B5EF4-FFF2-40B4-BE49-F238E27FC236}">
              <a16:creationId xmlns:a16="http://schemas.microsoft.com/office/drawing/2014/main" id="{C107E3F6-C8D4-4BF1-94CA-D974821232BE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114" name="AutoShape 49">
          <a:extLst>
            <a:ext uri="{FF2B5EF4-FFF2-40B4-BE49-F238E27FC236}">
              <a16:creationId xmlns:a16="http://schemas.microsoft.com/office/drawing/2014/main" id="{C25EBFE8-C4BB-4C4D-B31E-5DB4DCBD1732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115" name="AutoShape 50">
          <a:extLst>
            <a:ext uri="{FF2B5EF4-FFF2-40B4-BE49-F238E27FC236}">
              <a16:creationId xmlns:a16="http://schemas.microsoft.com/office/drawing/2014/main" id="{A86327DD-0265-44C6-AA39-34D16666503D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116" name="AutoShape 51">
          <a:extLst>
            <a:ext uri="{FF2B5EF4-FFF2-40B4-BE49-F238E27FC236}">
              <a16:creationId xmlns:a16="http://schemas.microsoft.com/office/drawing/2014/main" id="{11B2F8E9-4E71-4F00-A576-337C9895C513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117" name="AutoShape 52">
          <a:extLst>
            <a:ext uri="{FF2B5EF4-FFF2-40B4-BE49-F238E27FC236}">
              <a16:creationId xmlns:a16="http://schemas.microsoft.com/office/drawing/2014/main" id="{C47A80E1-7182-489F-B64C-EF6D08BB977D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118" name="AutoShape 53">
          <a:extLst>
            <a:ext uri="{FF2B5EF4-FFF2-40B4-BE49-F238E27FC236}">
              <a16:creationId xmlns:a16="http://schemas.microsoft.com/office/drawing/2014/main" id="{8E1FCB2C-3447-449F-8FB6-DF2A2B8EA2C7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119" name="AutoShape 54">
          <a:extLst>
            <a:ext uri="{FF2B5EF4-FFF2-40B4-BE49-F238E27FC236}">
              <a16:creationId xmlns:a16="http://schemas.microsoft.com/office/drawing/2014/main" id="{881D0E0E-956F-400C-B468-74ACDAEB4BC0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120" name="AutoShape 55">
          <a:extLst>
            <a:ext uri="{FF2B5EF4-FFF2-40B4-BE49-F238E27FC236}">
              <a16:creationId xmlns:a16="http://schemas.microsoft.com/office/drawing/2014/main" id="{8F56739E-7805-4916-9B3F-65686E903511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121" name="AutoShape 56">
          <a:extLst>
            <a:ext uri="{FF2B5EF4-FFF2-40B4-BE49-F238E27FC236}">
              <a16:creationId xmlns:a16="http://schemas.microsoft.com/office/drawing/2014/main" id="{546771B6-1573-427D-AB85-DF689E6B4328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122" name="AutoShape 57">
          <a:extLst>
            <a:ext uri="{FF2B5EF4-FFF2-40B4-BE49-F238E27FC236}">
              <a16:creationId xmlns:a16="http://schemas.microsoft.com/office/drawing/2014/main" id="{B80CA65A-09CD-440C-AA11-87D6AC75381A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123" name="AutoShape 58">
          <a:extLst>
            <a:ext uri="{FF2B5EF4-FFF2-40B4-BE49-F238E27FC236}">
              <a16:creationId xmlns:a16="http://schemas.microsoft.com/office/drawing/2014/main" id="{BC1CC524-7A3B-4D41-B71A-B5FE66EA5BEE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124" name="AutoShape 59">
          <a:extLst>
            <a:ext uri="{FF2B5EF4-FFF2-40B4-BE49-F238E27FC236}">
              <a16:creationId xmlns:a16="http://schemas.microsoft.com/office/drawing/2014/main" id="{C6C224FF-F10D-4E23-967F-768DA4E2508F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125" name="AutoShape 60">
          <a:extLst>
            <a:ext uri="{FF2B5EF4-FFF2-40B4-BE49-F238E27FC236}">
              <a16:creationId xmlns:a16="http://schemas.microsoft.com/office/drawing/2014/main" id="{1AE55AD8-9F12-460A-BD32-35E525020EB0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126" name="AutoShape 61">
          <a:extLst>
            <a:ext uri="{FF2B5EF4-FFF2-40B4-BE49-F238E27FC236}">
              <a16:creationId xmlns:a16="http://schemas.microsoft.com/office/drawing/2014/main" id="{73EF4398-2ADD-4DEE-82DD-AA2DD959515B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127" name="AutoShape 62">
          <a:extLst>
            <a:ext uri="{FF2B5EF4-FFF2-40B4-BE49-F238E27FC236}">
              <a16:creationId xmlns:a16="http://schemas.microsoft.com/office/drawing/2014/main" id="{9C3E4590-D643-4D78-86F2-DD06214729FF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128" name="AutoShape 63">
          <a:extLst>
            <a:ext uri="{FF2B5EF4-FFF2-40B4-BE49-F238E27FC236}">
              <a16:creationId xmlns:a16="http://schemas.microsoft.com/office/drawing/2014/main" id="{022FE4C4-1E42-4469-8536-01451F4CBDFC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3</xdr:row>
      <xdr:rowOff>0</xdr:rowOff>
    </xdr:from>
    <xdr:ext cx="304800" cy="304800"/>
    <xdr:sp macro="" textlink="">
      <xdr:nvSpPr>
        <xdr:cNvPr id="129" name="AutoShape 64">
          <a:extLst>
            <a:ext uri="{FF2B5EF4-FFF2-40B4-BE49-F238E27FC236}">
              <a16:creationId xmlns:a16="http://schemas.microsoft.com/office/drawing/2014/main" id="{075B95AB-24DB-4157-B92C-E6F05794FFA6}"/>
            </a:ext>
          </a:extLst>
        </xdr:cNvPr>
        <xdr:cNvSpPr>
          <a:spLocks noChangeAspect="1" noChangeArrowheads="1"/>
        </xdr:cNvSpPr>
      </xdr:nvSpPr>
      <xdr:spPr bwMode="auto">
        <a:xfrm>
          <a:off x="1057275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605</v>
    <v>9</v>
  </rv>
</rvData>
</file>

<file path=xl/richData/rdrichvaluestructure.xml><?xml version="1.0" encoding="utf-8"?>
<rvStructures xmlns="http://schemas.microsoft.com/office/spreadsheetml/2017/richdata" count="1">
  <s t="_error">
    <k n="errorType" t="i"/>
    <k n="iftab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F89EC-FE72-48DD-B294-455BE4CB4706}">
  <sheetPr>
    <tabColor theme="4" tint="-0.249977111117893"/>
  </sheetPr>
  <dimension ref="A1:AR60"/>
  <sheetViews>
    <sheetView tabSelected="1" zoomScaleNormal="100" workbookViewId="0">
      <pane xSplit="1" ySplit="3" topLeftCell="B47" activePane="bottomRight" state="frozen"/>
      <selection pane="topRight" activeCell="B1" sqref="B1"/>
      <selection pane="bottomLeft" activeCell="A3" sqref="A3"/>
      <selection pane="bottomRight" activeCell="B58" sqref="B58"/>
    </sheetView>
  </sheetViews>
  <sheetFormatPr defaultRowHeight="15" outlineLevelCol="1" x14ac:dyDescent="0.25"/>
  <cols>
    <col min="1" max="2" width="9.140625" style="26"/>
    <col min="3" max="3" width="10.7109375" style="15" bestFit="1" customWidth="1"/>
    <col min="4" max="4" width="13.5703125" style="15" bestFit="1" customWidth="1"/>
    <col min="5" max="5" width="3" style="15" customWidth="1"/>
    <col min="6" max="6" width="15.85546875" style="29" bestFit="1" customWidth="1" outlineLevel="1"/>
    <col min="7" max="8" width="7.28515625" style="27" customWidth="1" outlineLevel="1"/>
    <col min="9" max="15" width="9.140625" style="15" customWidth="1" outlineLevel="1"/>
    <col min="16" max="16" width="9.140625" style="15"/>
    <col min="17" max="17" width="9.140625" style="27" customWidth="1" outlineLevel="1"/>
    <col min="18" max="41" width="8.5703125" style="29" customWidth="1" outlineLevel="1"/>
    <col min="42" max="42" width="9.140625" style="15"/>
    <col min="43" max="43" width="9.140625" style="30"/>
    <col min="44" max="44" width="9.140625" style="30" customWidth="1"/>
    <col min="45" max="16384" width="9.140625" style="15"/>
  </cols>
  <sheetData>
    <row r="1" spans="1:44" x14ac:dyDescent="0.25">
      <c r="A1" s="42" t="s">
        <v>1199</v>
      </c>
      <c r="B1" s="42" t="s">
        <v>1260</v>
      </c>
      <c r="C1" s="42" t="s">
        <v>1244</v>
      </c>
      <c r="D1" s="42" t="s">
        <v>1253</v>
      </c>
      <c r="E1" s="23"/>
      <c r="F1" s="41" t="s">
        <v>1245</v>
      </c>
      <c r="G1" s="42"/>
      <c r="H1" s="42"/>
      <c r="I1" s="42"/>
      <c r="J1" s="42"/>
      <c r="K1" s="42"/>
      <c r="L1" s="42"/>
      <c r="M1" s="42"/>
      <c r="N1" s="42"/>
      <c r="O1" s="43"/>
      <c r="P1" s="32"/>
      <c r="Q1" s="41" t="s">
        <v>1427</v>
      </c>
      <c r="R1" s="42"/>
      <c r="S1" s="42"/>
      <c r="T1" s="42"/>
      <c r="U1" s="42"/>
      <c r="V1" s="42"/>
      <c r="W1" s="42"/>
      <c r="X1" s="42"/>
      <c r="Y1" s="42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  <c r="AO1" s="43"/>
      <c r="AQ1" s="30" t="e" vm="1">
        <f>"{"&amp;_xlfn.TEXTJOIN(", ",TRUE,AQ4:AQ60)&amp;"}"</f>
        <v>#VALUE!</v>
      </c>
    </row>
    <row r="2" spans="1:44" x14ac:dyDescent="0.25">
      <c r="A2" s="42"/>
      <c r="B2" s="42"/>
      <c r="C2" s="42"/>
      <c r="D2" s="42"/>
      <c r="E2" s="23"/>
      <c r="F2" s="45" t="s">
        <v>886</v>
      </c>
      <c r="G2" s="44" t="s">
        <v>1255</v>
      </c>
      <c r="H2" s="44" t="s">
        <v>1291</v>
      </c>
      <c r="I2" s="39" t="s">
        <v>1254</v>
      </c>
      <c r="J2" s="39" t="s">
        <v>1246</v>
      </c>
      <c r="K2" s="39" t="s">
        <v>1247</v>
      </c>
      <c r="L2" s="39" t="s">
        <v>1248</v>
      </c>
      <c r="M2" s="39" t="s">
        <v>1249</v>
      </c>
      <c r="N2" s="39" t="s">
        <v>1250</v>
      </c>
      <c r="O2" s="40" t="s">
        <v>1251</v>
      </c>
      <c r="P2" s="32"/>
      <c r="Q2" s="41" t="s">
        <v>1260</v>
      </c>
      <c r="R2" s="15" t="s">
        <v>1293</v>
      </c>
      <c r="S2" s="15" t="s">
        <v>1293</v>
      </c>
      <c r="T2" s="15" t="s">
        <v>1293</v>
      </c>
      <c r="U2" s="15" t="s">
        <v>1300</v>
      </c>
      <c r="V2" s="15" t="s">
        <v>1300</v>
      </c>
      <c r="W2" s="15" t="s">
        <v>1300</v>
      </c>
      <c r="X2" s="15" t="s">
        <v>1350</v>
      </c>
      <c r="Y2" s="15" t="s">
        <v>1350</v>
      </c>
      <c r="Z2" s="15" t="s">
        <v>1350</v>
      </c>
      <c r="AA2" s="15" t="s">
        <v>1361</v>
      </c>
      <c r="AB2" s="15" t="s">
        <v>1361</v>
      </c>
      <c r="AC2" s="15" t="s">
        <v>1361</v>
      </c>
      <c r="AD2" s="34" t="s">
        <v>1335</v>
      </c>
      <c r="AE2" s="34" t="s">
        <v>1335</v>
      </c>
      <c r="AF2" s="34" t="s">
        <v>1335</v>
      </c>
      <c r="AG2" s="34" t="s">
        <v>1378</v>
      </c>
      <c r="AH2" s="34" t="s">
        <v>1378</v>
      </c>
      <c r="AI2" s="34" t="s">
        <v>1378</v>
      </c>
      <c r="AJ2" s="34" t="s">
        <v>1301</v>
      </c>
      <c r="AK2" s="34" t="s">
        <v>1301</v>
      </c>
      <c r="AL2" s="34" t="s">
        <v>1301</v>
      </c>
      <c r="AM2" s="35" t="s">
        <v>1311</v>
      </c>
      <c r="AN2" s="35" t="s">
        <v>1311</v>
      </c>
      <c r="AO2" s="35" t="s">
        <v>1311</v>
      </c>
      <c r="AP2" s="36"/>
    </row>
    <row r="3" spans="1:44" s="24" customFormat="1" ht="12.75" x14ac:dyDescent="0.25">
      <c r="A3" s="42"/>
      <c r="B3" s="42"/>
      <c r="C3" s="42"/>
      <c r="D3" s="42"/>
      <c r="E3" s="25"/>
      <c r="F3" s="45"/>
      <c r="G3" s="44"/>
      <c r="H3" s="44"/>
      <c r="I3" s="39"/>
      <c r="J3" s="39"/>
      <c r="K3" s="39"/>
      <c r="L3" s="39"/>
      <c r="M3" s="39"/>
      <c r="N3" s="39"/>
      <c r="O3" s="40"/>
      <c r="P3" s="33"/>
      <c r="Q3" s="41"/>
      <c r="R3" s="24" t="s">
        <v>1294</v>
      </c>
      <c r="S3" s="24" t="s">
        <v>1295</v>
      </c>
      <c r="T3" s="24" t="s">
        <v>1298</v>
      </c>
      <c r="U3" s="24" t="s">
        <v>1294</v>
      </c>
      <c r="V3" s="24" t="s">
        <v>1295</v>
      </c>
      <c r="W3" s="24" t="s">
        <v>1298</v>
      </c>
      <c r="X3" s="24" t="s">
        <v>1294</v>
      </c>
      <c r="Y3" s="24" t="s">
        <v>1295</v>
      </c>
      <c r="Z3" s="24" t="s">
        <v>1298</v>
      </c>
      <c r="AA3" s="24" t="s">
        <v>1294</v>
      </c>
      <c r="AB3" s="24" t="s">
        <v>1295</v>
      </c>
      <c r="AC3" s="24" t="s">
        <v>1298</v>
      </c>
      <c r="AD3" s="24" t="s">
        <v>1294</v>
      </c>
      <c r="AE3" s="24" t="s">
        <v>1295</v>
      </c>
      <c r="AF3" s="24" t="s">
        <v>1298</v>
      </c>
      <c r="AG3" s="24" t="s">
        <v>1294</v>
      </c>
      <c r="AH3" s="24" t="s">
        <v>1295</v>
      </c>
      <c r="AI3" s="24" t="s">
        <v>1298</v>
      </c>
      <c r="AJ3" s="24" t="s">
        <v>1294</v>
      </c>
      <c r="AK3" s="24" t="s">
        <v>1295</v>
      </c>
      <c r="AL3" s="24" t="s">
        <v>1298</v>
      </c>
      <c r="AM3" s="24" t="s">
        <v>1294</v>
      </c>
      <c r="AN3" s="24" t="s">
        <v>1295</v>
      </c>
      <c r="AO3" s="25" t="s">
        <v>1298</v>
      </c>
      <c r="AQ3" s="31"/>
      <c r="AR3" s="31"/>
    </row>
    <row r="4" spans="1:44" ht="22.5" x14ac:dyDescent="0.25">
      <c r="A4" s="26" t="s">
        <v>969</v>
      </c>
      <c r="B4" s="26" t="s">
        <v>969</v>
      </c>
      <c r="C4" s="15">
        <v>2007</v>
      </c>
      <c r="D4" s="15" t="s">
        <v>1286</v>
      </c>
      <c r="F4" s="29" t="s">
        <v>1444</v>
      </c>
      <c r="G4" s="27" t="s">
        <v>1272</v>
      </c>
      <c r="I4" s="15">
        <v>14</v>
      </c>
      <c r="J4" s="15">
        <v>4256</v>
      </c>
      <c r="K4" s="15">
        <v>2832</v>
      </c>
      <c r="L4" s="15">
        <v>36</v>
      </c>
      <c r="M4" s="15">
        <v>23.9</v>
      </c>
      <c r="N4" s="15">
        <v>8.43</v>
      </c>
      <c r="O4" s="15">
        <v>8.43</v>
      </c>
      <c r="Q4" s="27" t="s">
        <v>1417</v>
      </c>
      <c r="R4" s="29" t="s">
        <v>1397</v>
      </c>
      <c r="S4" s="29" t="s">
        <v>1398</v>
      </c>
      <c r="T4" s="29" t="s">
        <v>1399</v>
      </c>
      <c r="U4" s="29" t="s">
        <v>1400</v>
      </c>
      <c r="V4" s="29" t="s">
        <v>1401</v>
      </c>
      <c r="W4" s="29" t="s">
        <v>1402</v>
      </c>
      <c r="AD4" s="29" t="s">
        <v>1428</v>
      </c>
      <c r="AE4" s="29" t="s">
        <v>1429</v>
      </c>
      <c r="AF4" s="29" t="s">
        <v>1430</v>
      </c>
      <c r="AQ4" s="30" t="str">
        <f t="shared" ref="AQ4:AQ60" si="0">""""&amp;B4&amp;""": {"&amp;"""Name"": "&amp;""""&amp;A4&amp;""", "&amp;"""Year"": "&amp;C4&amp;", "&amp;"""Processor"": "&amp;""""&amp;D4&amp;""", "&amp;"""Sensor"": {"&amp;"""Name"": "&amp;""""&amp;F4&amp;""", "&amp;"""Type"": "&amp;""""&amp;G4&amp;""", "&amp;"""Bayer"": "&amp;""""&amp;H4&amp;""", "&amp;"""BitDepth"": "&amp;""&amp;I4&amp;", "&amp;"""ResX"": "&amp;""&amp;J4&amp;", "&amp;"""ResY"": "&amp;""&amp;K4&amp;", "&amp;"""SizeX"": "&amp;""&amp;SUBSTITUTE(L4,",",".")&amp;", "&amp;"""SizeY"": "&amp;""&amp;SUBSTITUTE(M4,",",".")&amp;", "&amp;"""PixelSizeX"": "&amp;""&amp;SUBSTITUTE(N4,",",".")&amp;", "&amp;"""PixelSizeY"": "&amp;""&amp;SUBSTITUTE(O4,",",".")&amp;"}, "&amp;AR4&amp;"}"</f>
        <v>"D3": {"Name": "D3", "Year": 2007, "Processor": "EXPEED", "Sensor": {"Name": "Nikon NC81338L", "Type": "CMOS", "Bayer": "", "BitDepth": 14, "ResX": 4256, "ResY": 2832, "SizeX": 36, "SizeY": 23.9, "PixelSizeX": 8.43, "PixelSizeY": 8.43}, "CropSubSampling": [{"Crop": "FX", "Subs": {"Size L": {"ResX": 4256, "ResY": 2832}, "Size M": {"ResX": 3184, "ResY": 2120}, "Size S": {"ResX": 2128, "ResY": 1416}}}, {"Crop": "DX", "Subs": {"Size L": {"ResX": 2784, "ResY": 1848}, "Size M": {"ResX": 2080, "ResY": 1384}, "Size S": {"ResX": 1392, "ResY": 920}}}, {"Crop": "5:4", "Subs": {"Size L": {"ResX": 3552, "ResY": 2832}, "Size M": {"ResX": 2656, "ResY": 2120}, "Size S": {"ResX": 1776, "ResY": 1416}}}]}</v>
      </c>
      <c r="AR4" s="30" t="str" cm="1">
        <f t="array" ref="AR4">_xlfn.LET(_xlpm.crop,$R$2:$AO$2,_xlpm.size,$R$3:$AO$3,_xlpm.value,R4:AO4,_xlpm.vf,_xlfn.MAP(_xlpm.size,_xlpm.value,_xlfn.LAMBDA(_xlpm.s,_xlpm.v,IF(_xlpm.v="","",""""&amp;_xlpm.s&amp;""":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4256, "ResY": 2832}, "Size M": {"ResX": 3184, "ResY": 2120}, "Size S": {"ResX": 2128, "ResY": 1416}}}, {"Crop": "DX", "Subs": {"Size L": {"ResX": 2784, "ResY": 1848}, "Size M": {"ResX": 2080, "ResY": 1384}, "Size S": {"ResX": 1392, "ResY": 920}}}, {"Crop": "5:4", "Subs": {"Size L": {"ResX": 3552, "ResY": 2832}, "Size M": {"ResX": 2656, "ResY": 2120}, "Size S": {"ResX": 1776, "ResY": 1416}}}]</v>
      </c>
    </row>
    <row r="5" spans="1:44" ht="22.5" x14ac:dyDescent="0.25">
      <c r="A5" s="26" t="s">
        <v>1200</v>
      </c>
      <c r="B5" s="26" t="s">
        <v>1200</v>
      </c>
      <c r="C5" s="15">
        <v>2008</v>
      </c>
      <c r="D5" s="15" t="s">
        <v>1286</v>
      </c>
      <c r="F5" s="29" t="s">
        <v>1451</v>
      </c>
      <c r="G5" s="27" t="s">
        <v>1272</v>
      </c>
      <c r="I5" s="15">
        <v>14</v>
      </c>
      <c r="J5" s="15">
        <v>6048</v>
      </c>
      <c r="K5" s="15">
        <v>4032</v>
      </c>
      <c r="L5" s="15">
        <v>35.9</v>
      </c>
      <c r="M5" s="15">
        <v>24</v>
      </c>
      <c r="N5" s="15">
        <v>5.95</v>
      </c>
      <c r="O5" s="15">
        <v>5.95</v>
      </c>
      <c r="Q5" s="27" t="s">
        <v>1417</v>
      </c>
      <c r="R5" s="29" t="s">
        <v>1418</v>
      </c>
      <c r="S5" s="29" t="s">
        <v>1419</v>
      </c>
      <c r="T5" s="29" t="s">
        <v>1299</v>
      </c>
      <c r="U5" s="29" t="s">
        <v>1420</v>
      </c>
      <c r="V5" s="29" t="s">
        <v>1421</v>
      </c>
      <c r="W5" s="29" t="s">
        <v>1422</v>
      </c>
      <c r="AD5" s="29" t="s">
        <v>1423</v>
      </c>
      <c r="AE5" s="29" t="s">
        <v>1424</v>
      </c>
      <c r="AF5" s="29" t="s">
        <v>1425</v>
      </c>
      <c r="AQ5" s="30" t="str">
        <f t="shared" si="0"/>
        <v>"D3X": {"Name": "D3X", "Year": 2008, "Processor": "EXPEED", "Sensor": {"Name": "Sony IMX-028", "Type": "CMOS", "Bayer": "", "BitDepth": 14, "ResX": 6048, "ResY": 4032, "SizeX": 35.9, "SizeY": 24, "PixelSizeX": 5.95, "PixelSizeY": 5.95}, "CropSubSampling": [{"Crop": "FX", "Subs": {"Size L": {"ResX": 6048, "ResY": 4032}, "Size M": {"ResX": 4544, "ResY": 3024}, "Size S": {"ResX": 3024, "ResY": 2016}}}, {"Crop": "DX", "Subs": {"Size L": {"ResX": 3968, "ResY": 2640}, "Size M": {"ResX": 2976, "ResY": 1976}, "Size S": {"ResX": 1984, "ResY": 1320}}}, {"Crop": "5:4", "Subs": {"Size L": {"ResX": 5056, "ResY": 4032}, "Size M": {"ResX": 3792, "ResY": 3024}, "Size S": {"ResX": 2528, "ResY": 2016}}}]}</v>
      </c>
      <c r="AR5" s="30" t="str" cm="1">
        <f t="array" ref="AR5">_xlfn.LET(_xlpm.crop,$R$2:$AO$2,_xlpm.size,$R$3:$AO$3,_xlpm.value,R5:AO5,_xlpm.vf,_xlfn.MAP(_xlpm.size,_xlpm.value,_xlfn.LAMBDA(_xlpm.s,_xlpm.v,IF(_xlpm.v="","",""""&amp;_xlpm.s&amp;""":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6048, "ResY": 4032}, "Size M": {"ResX": 4544, "ResY": 3024}, "Size S": {"ResX": 3024, "ResY": 2016}}}, {"Crop": "DX", "Subs": {"Size L": {"ResX": 3968, "ResY": 2640}, "Size M": {"ResX": 2976, "ResY": 1976}, "Size S": {"ResX": 1984, "ResY": 1320}}}, {"Crop": "5:4", "Subs": {"Size L": {"ResX": 5056, "ResY": 4032}, "Size M": {"ResX": 3792, "ResY": 3024}, "Size S": {"ResX": 2528, "ResY": 2016}}}]</v>
      </c>
    </row>
    <row r="6" spans="1:44" ht="22.5" x14ac:dyDescent="0.25">
      <c r="A6" s="26" t="s">
        <v>1290</v>
      </c>
      <c r="B6" s="26" t="s">
        <v>1290</v>
      </c>
      <c r="C6" s="15">
        <v>2009</v>
      </c>
      <c r="D6" s="15" t="s">
        <v>1286</v>
      </c>
      <c r="F6" s="29" t="s">
        <v>1445</v>
      </c>
      <c r="G6" s="27" t="s">
        <v>1272</v>
      </c>
      <c r="I6" s="15">
        <v>14</v>
      </c>
      <c r="J6" s="15">
        <v>4256</v>
      </c>
      <c r="K6" s="15">
        <v>2832</v>
      </c>
      <c r="L6" s="15">
        <v>36</v>
      </c>
      <c r="M6" s="15">
        <v>23.9</v>
      </c>
      <c r="N6" s="15">
        <v>8.43</v>
      </c>
      <c r="O6" s="15">
        <v>8.43</v>
      </c>
      <c r="Q6" s="27" t="s">
        <v>1417</v>
      </c>
      <c r="R6" s="29" t="s">
        <v>1397</v>
      </c>
      <c r="S6" s="29" t="s">
        <v>1398</v>
      </c>
      <c r="T6" s="29" t="s">
        <v>1399</v>
      </c>
      <c r="U6" s="29" t="s">
        <v>1400</v>
      </c>
      <c r="V6" s="29" t="s">
        <v>1401</v>
      </c>
      <c r="W6" s="29" t="s">
        <v>1402</v>
      </c>
      <c r="AD6" s="29" t="s">
        <v>1428</v>
      </c>
      <c r="AE6" s="29" t="s">
        <v>1429</v>
      </c>
      <c r="AF6" s="29" t="s">
        <v>1430</v>
      </c>
      <c r="AQ6" s="30" t="str">
        <f t="shared" si="0"/>
        <v>"D3S": {"Name": "D3S", "Year": 2009, "Processor": "EXPEED", "Sensor": {"Name": "Nikon NC81361A", "Type": "CMOS", "Bayer": "", "BitDepth": 14, "ResX": 4256, "ResY": 2832, "SizeX": 36, "SizeY": 23.9, "PixelSizeX": 8.43, "PixelSizeY": 8.43}, "CropSubSampling": [{"Crop": "FX", "Subs": {"Size L": {"ResX": 4256, "ResY": 2832}, "Size M": {"ResX": 3184, "ResY": 2120}, "Size S": {"ResX": 2128, "ResY": 1416}}}, {"Crop": "DX", "Subs": {"Size L": {"ResX": 2784, "ResY": 1848}, "Size M": {"ResX": 2080, "ResY": 1384}, "Size S": {"ResX": 1392, "ResY": 920}}}, {"Crop": "5:4", "Subs": {"Size L": {"ResX": 3552, "ResY": 2832}, "Size M": {"ResX": 2656, "ResY": 2120}, "Size S": {"ResX": 1776, "ResY": 1416}}}]}</v>
      </c>
      <c r="AR6" s="30" t="str" cm="1">
        <f t="array" ref="AR6">_xlfn.LET(_xlpm.crop,$R$2:$AO$2,_xlpm.size,$R$3:$AO$3,_xlpm.value,R6:AO6,_xlpm.vf,_xlfn.MAP(_xlpm.size,_xlpm.value,_xlfn.LAMBDA(_xlpm.s,_xlpm.v,IF(_xlpm.v="","",""""&amp;_xlpm.s&amp;""":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4256, "ResY": 2832}, "Size M": {"ResX": 3184, "ResY": 2120}, "Size S": {"ResX": 2128, "ResY": 1416}}}, {"Crop": "DX", "Subs": {"Size L": {"ResX": 2784, "ResY": 1848}, "Size M": {"ResX": 2080, "ResY": 1384}, "Size S": {"ResX": 1392, "ResY": 920}}}, {"Crop": "5:4", "Subs": {"Size L": {"ResX": 3552, "ResY": 2832}, "Size M": {"ResX": 2656, "ResY": 2120}, "Size S": {"ResX": 1776, "ResY": 1416}}}]</v>
      </c>
    </row>
    <row r="7" spans="1:44" ht="22.5" x14ac:dyDescent="0.25">
      <c r="A7" s="26" t="s">
        <v>1201</v>
      </c>
      <c r="B7" s="26" t="s">
        <v>1201</v>
      </c>
      <c r="C7" s="15">
        <v>2012</v>
      </c>
      <c r="D7" s="15" t="s">
        <v>1280</v>
      </c>
      <c r="F7" s="29" t="s">
        <v>1446</v>
      </c>
      <c r="G7" s="27" t="s">
        <v>1272</v>
      </c>
      <c r="I7" s="15">
        <v>14</v>
      </c>
      <c r="J7" s="15">
        <v>4928</v>
      </c>
      <c r="K7" s="15">
        <v>3280</v>
      </c>
      <c r="L7" s="15">
        <v>36</v>
      </c>
      <c r="M7" s="15">
        <v>23.9</v>
      </c>
      <c r="N7" s="15">
        <v>7.29</v>
      </c>
      <c r="O7" s="15">
        <v>7.29</v>
      </c>
      <c r="Q7" s="27" t="s">
        <v>1383</v>
      </c>
      <c r="R7" s="29" t="s">
        <v>1355</v>
      </c>
      <c r="S7" s="29" t="s">
        <v>1356</v>
      </c>
      <c r="T7" s="29" t="s">
        <v>1357</v>
      </c>
      <c r="U7" s="29" t="s">
        <v>1358</v>
      </c>
      <c r="V7" s="29" t="s">
        <v>1359</v>
      </c>
      <c r="W7" s="29" t="s">
        <v>1360</v>
      </c>
      <c r="AD7" s="29" t="s">
        <v>1413</v>
      </c>
      <c r="AE7" s="29" t="s">
        <v>1389</v>
      </c>
      <c r="AF7" s="29" t="s">
        <v>1414</v>
      </c>
      <c r="AG7" s="29" t="s">
        <v>1415</v>
      </c>
      <c r="AH7" s="29" t="s">
        <v>1392</v>
      </c>
      <c r="AI7" s="29" t="s">
        <v>1416</v>
      </c>
      <c r="AQ7" s="30" t="str">
        <f t="shared" si="0"/>
        <v>"D4": {"Name": "D4", "Year": 2012, "Processor": "EXPEED 3", "Sensor": {"Name": "Nikon NC81366W", "Type": "CMOS", "Bayer": "", "BitDepth": 14, "ResX": 4928, "ResY": 3280, "SizeX": 36, "SizeY": 23.9, "PixelSizeX": 7.29, "PixelSizeY": 7.29}, "CropSubSampling": [{"Crop": "FX", "Subs": {"Size L": {"ResX": 4928, "ResY": 3280}, "Size M": {"ResX": 3696, "ResY": 2456}, "Size S": {"ResX": 2464, "ResY": 1640}}}, {"Crop": "DX", "Subs": {"Size L": {"ResX": 3200, "ResY": 2128}, "Size M": {"ResX": 2400, "ResY": 1592}, "Size S": {"ResX": 1600, "ResY": 1064}}}, {"Crop": "5:4", "Subs": {"Size L": {"ResX": 4096, "ResY": 3280}, "Size M": {"ResX": 3072, "ResY": 2456}, "Size S": {"ResX": 2048, "ResY": 1640}}}, {"Crop": "1.2x", "Subs": {"Size L": {"ResX": 4096, "ResY": 2720}, "Size M": {"ResX": 3072, "ResY": 2040}, "Size S": {"ResX": 2048, "ResY": 1360}}}]}</v>
      </c>
      <c r="AR7" s="30" t="str" cm="1">
        <f t="array" ref="AR7">_xlfn.LET(_xlpm.crop,$R$2:$AO$2,_xlpm.size,$R$3:$AO$3,_xlpm.value,R7:AO7,_xlpm.vf,_xlfn.MAP(_xlpm.size,_xlpm.value,_xlfn.LAMBDA(_xlpm.s,_xlpm.v,IF(_xlpm.v="","",""""&amp;_xlpm.s&amp;""":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4928, "ResY": 3280}, "Size M": {"ResX": 3696, "ResY": 2456}, "Size S": {"ResX": 2464, "ResY": 1640}}}, {"Crop": "DX", "Subs": {"Size L": {"ResX": 3200, "ResY": 2128}, "Size M": {"ResX": 2400, "ResY": 1592}, "Size S": {"ResX": 1600, "ResY": 1064}}}, {"Crop": "5:4", "Subs": {"Size L": {"ResX": 4096, "ResY": 3280}, "Size M": {"ResX": 3072, "ResY": 2456}, "Size S": {"ResX": 2048, "ResY": 1640}}}, {"Crop": "1.2x", "Subs": {"Size L": {"ResX": 4096, "ResY": 2720}, "Size M": {"ResX": 3072, "ResY": 2040}, "Size S": {"ResX": 2048, "ResY": 1360}}}]</v>
      </c>
    </row>
    <row r="8" spans="1:44" ht="22.5" x14ac:dyDescent="0.25">
      <c r="A8" s="26" t="s">
        <v>1202</v>
      </c>
      <c r="B8" s="26" t="s">
        <v>1202</v>
      </c>
      <c r="C8" s="15">
        <v>2014</v>
      </c>
      <c r="D8" s="15" t="s">
        <v>1282</v>
      </c>
      <c r="F8" s="29" t="s">
        <v>1446</v>
      </c>
      <c r="G8" s="27" t="s">
        <v>1272</v>
      </c>
      <c r="I8" s="15">
        <v>14</v>
      </c>
      <c r="J8" s="15">
        <v>4928</v>
      </c>
      <c r="K8" s="15">
        <v>3280</v>
      </c>
      <c r="L8" s="15">
        <v>36</v>
      </c>
      <c r="M8" s="15">
        <v>23.9</v>
      </c>
      <c r="N8" s="15">
        <v>7.29</v>
      </c>
      <c r="O8" s="15">
        <v>7.29</v>
      </c>
      <c r="Q8" s="27" t="s">
        <v>1383</v>
      </c>
      <c r="R8" s="29" t="s">
        <v>1355</v>
      </c>
      <c r="S8" s="29" t="s">
        <v>1356</v>
      </c>
      <c r="T8" s="29" t="s">
        <v>1357</v>
      </c>
      <c r="U8" s="29" t="s">
        <v>1358</v>
      </c>
      <c r="V8" s="29" t="s">
        <v>1359</v>
      </c>
      <c r="W8" s="29" t="s">
        <v>1360</v>
      </c>
      <c r="AD8" s="29" t="s">
        <v>1413</v>
      </c>
      <c r="AE8" s="29" t="s">
        <v>1389</v>
      </c>
      <c r="AF8" s="29" t="s">
        <v>1414</v>
      </c>
      <c r="AG8" s="29" t="s">
        <v>1415</v>
      </c>
      <c r="AH8" s="29" t="s">
        <v>1392</v>
      </c>
      <c r="AI8" s="29" t="s">
        <v>1416</v>
      </c>
      <c r="AQ8" s="30" t="str">
        <f t="shared" si="0"/>
        <v>"D4S": {"Name": "D4S", "Year": 2014, "Processor": "EXPEED 4", "Sensor": {"Name": "Nikon NC81366W", "Type": "CMOS", "Bayer": "", "BitDepth": 14, "ResX": 4928, "ResY": 3280, "SizeX": 36, "SizeY": 23.9, "PixelSizeX": 7.29, "PixelSizeY": 7.29}, "CropSubSampling": [{"Crop": "FX", "Subs": {"Size L": {"ResX": 4928, "ResY": 3280}, "Size M": {"ResX": 3696, "ResY": 2456}, "Size S": {"ResX": 2464, "ResY": 1640}}}, {"Crop": "DX", "Subs": {"Size L": {"ResX": 3200, "ResY": 2128}, "Size M": {"ResX": 2400, "ResY": 1592}, "Size S": {"ResX": 1600, "ResY": 1064}}}, {"Crop": "5:4", "Subs": {"Size L": {"ResX": 4096, "ResY": 3280}, "Size M": {"ResX": 3072, "ResY": 2456}, "Size S": {"ResX": 2048, "ResY": 1640}}}, {"Crop": "1.2x", "Subs": {"Size L": {"ResX": 4096, "ResY": 2720}, "Size M": {"ResX": 3072, "ResY": 2040}, "Size S": {"ResX": 2048, "ResY": 1360}}}]}</v>
      </c>
      <c r="AR8" s="30" t="str" cm="1">
        <f t="array" ref="AR8">_xlfn.LET(_xlpm.crop,$R$2:$AO$2,_xlpm.size,$R$3:$AO$3,_xlpm.value,R8:AO8,_xlpm.vf,_xlfn.MAP(_xlpm.size,_xlpm.value,_xlfn.LAMBDA(_xlpm.s,_xlpm.v,IF(_xlpm.v="","",""""&amp;_xlpm.s&amp;""":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4928, "ResY": 3280}, "Size M": {"ResX": 3696, "ResY": 2456}, "Size S": {"ResX": 2464, "ResY": 1640}}}, {"Crop": "DX", "Subs": {"Size L": {"ResX": 3200, "ResY": 2128}, "Size M": {"ResX": 2400, "ResY": 1592}, "Size S": {"ResX": 1600, "ResY": 1064}}}, {"Crop": "5:4", "Subs": {"Size L": {"ResX": 4096, "ResY": 3280}, "Size M": {"ResX": 3072, "ResY": 2456}, "Size S": {"ResX": 2048, "ResY": 1640}}}, {"Crop": "1.2x", "Subs": {"Size L": {"ResX": 4096, "ResY": 2720}, "Size M": {"ResX": 3072, "ResY": 2040}, "Size S": {"ResX": 2048, "ResY": 1360}}}]</v>
      </c>
    </row>
    <row r="9" spans="1:44" ht="22.5" x14ac:dyDescent="0.25">
      <c r="A9" s="26" t="s">
        <v>1203</v>
      </c>
      <c r="B9" s="26" t="s">
        <v>1203</v>
      </c>
      <c r="C9" s="15">
        <v>2016</v>
      </c>
      <c r="D9" s="15" t="s">
        <v>1281</v>
      </c>
      <c r="F9" s="29" t="s">
        <v>1457</v>
      </c>
      <c r="G9" s="27" t="s">
        <v>1272</v>
      </c>
      <c r="I9" s="15">
        <v>14</v>
      </c>
      <c r="J9" s="15">
        <v>5568</v>
      </c>
      <c r="K9" s="15">
        <v>3712</v>
      </c>
      <c r="L9" s="15">
        <v>36</v>
      </c>
      <c r="M9" s="15">
        <v>23.9</v>
      </c>
      <c r="N9" s="15">
        <v>6.44</v>
      </c>
      <c r="O9" s="15">
        <v>6.44</v>
      </c>
      <c r="Q9" s="27" t="s">
        <v>1383</v>
      </c>
      <c r="R9" s="29" t="s">
        <v>1324</v>
      </c>
      <c r="S9" s="29" t="s">
        <v>1325</v>
      </c>
      <c r="T9" s="29" t="s">
        <v>1326</v>
      </c>
      <c r="U9" s="29" t="s">
        <v>1404</v>
      </c>
      <c r="V9" s="29" t="s">
        <v>1405</v>
      </c>
      <c r="W9" s="29" t="s">
        <v>1406</v>
      </c>
      <c r="AD9" s="29" t="s">
        <v>1407</v>
      </c>
      <c r="AE9" s="29" t="s">
        <v>1408</v>
      </c>
      <c r="AF9" s="29" t="s">
        <v>1409</v>
      </c>
      <c r="AG9" s="29" t="s">
        <v>1410</v>
      </c>
      <c r="AH9" s="29" t="s">
        <v>1411</v>
      </c>
      <c r="AI9" s="29" t="s">
        <v>1412</v>
      </c>
      <c r="AQ9" s="30" t="str">
        <f t="shared" si="0"/>
        <v>"D5": {"Name": "D5", "Year": 2016, "Processor": "EXPEED 5", "Sensor": {"Name": "Toshiba (Sony) T4K54", "Type": "CMOS", "Bayer": "", "BitDepth": 14, "ResX": 5568, "ResY": 3712, "SizeX": 36, "SizeY": 23.9, "PixelSizeX": 6.44, "PixelSizeY": 6.44}, "CropSubSampling": [{"Crop": "FX", "Subs": {"Size L": {"ResX": 5568, "ResY": 3712}, "Size M": {"ResX": 4176, "ResY": 2784}, "Size S": {"ResX": 2784, "ResY": 1856}}}, {"Crop": "DX", "Subs": {"Size L": {"ResX": 3648, "ResY": 2432}, "Size M": {"ResX": 2736, "ResY": 1824}, "Size S": {"ResX": 1824, "ResY": 1216}}}, {"Crop": "5:4", "Subs": {"Size L": {"ResX": 4640, "ResY": 3712}, "Size M": {"ResX": 3472, "ResY": 2784}, "Size S": {"ResX": 2320, "ResY": 1856}}}, {"Crop": "1.2x", "Subs": {"Size L": {"ResX": 4640, "ResY": 3088}, "Size M": {"ResX": 3472, "ResY": 2312}, "Size S": {"ResX": 2320, "ResY": 1544}}}]}</v>
      </c>
      <c r="AR9" s="30" t="str" cm="1">
        <f t="array" ref="AR9">_xlfn.LET(_xlpm.crop,$R$2:$AO$2,_xlpm.size,$R$3:$AO$3,_xlpm.value,R9:AO9,_xlpm.vf,_xlfn.MAP(_xlpm.size,_xlpm.value,_xlfn.LAMBDA(_xlpm.s,_xlpm.v,IF(_xlpm.v="","",""""&amp;_xlpm.s&amp;""":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5568, "ResY": 3712}, "Size M": {"ResX": 4176, "ResY": 2784}, "Size S": {"ResX": 2784, "ResY": 1856}}}, {"Crop": "DX", "Subs": {"Size L": {"ResX": 3648, "ResY": 2432}, "Size M": {"ResX": 2736, "ResY": 1824}, "Size S": {"ResX": 1824, "ResY": 1216}}}, {"Crop": "5:4", "Subs": {"Size L": {"ResX": 4640, "ResY": 3712}, "Size M": {"ResX": 3472, "ResY": 2784}, "Size S": {"ResX": 2320, "ResY": 1856}}}, {"Crop": "1.2x", "Subs": {"Size L": {"ResX": 4640, "ResY": 3088}, "Size M": {"ResX": 3472, "ResY": 2312}, "Size S": {"ResX": 2320, "ResY": 1544}}}]</v>
      </c>
    </row>
    <row r="10" spans="1:44" ht="33.75" x14ac:dyDescent="0.25">
      <c r="A10" s="26" t="s">
        <v>1204</v>
      </c>
      <c r="B10" s="26" t="s">
        <v>1204</v>
      </c>
      <c r="C10" s="15">
        <v>2020</v>
      </c>
      <c r="D10" s="15" t="s">
        <v>1270</v>
      </c>
      <c r="F10" s="29" t="s">
        <v>1457</v>
      </c>
      <c r="G10" s="27" t="s">
        <v>1272</v>
      </c>
      <c r="I10" s="15">
        <v>14</v>
      </c>
      <c r="J10" s="15">
        <v>5568</v>
      </c>
      <c r="K10" s="15">
        <v>3712</v>
      </c>
      <c r="L10" s="15">
        <v>36</v>
      </c>
      <c r="M10" s="15">
        <v>23.9</v>
      </c>
      <c r="N10" s="15">
        <v>6.44</v>
      </c>
      <c r="O10" s="15">
        <v>6.44</v>
      </c>
      <c r="Q10" s="38" t="s">
        <v>1403</v>
      </c>
      <c r="R10" s="29" t="s">
        <v>1324</v>
      </c>
      <c r="S10" s="29" t="s">
        <v>1325</v>
      </c>
      <c r="T10" s="29" t="s">
        <v>1326</v>
      </c>
      <c r="U10" s="29" t="s">
        <v>1404</v>
      </c>
      <c r="V10" s="29" t="s">
        <v>1405</v>
      </c>
      <c r="W10" s="29" t="s">
        <v>1406</v>
      </c>
      <c r="AD10" s="29" t="s">
        <v>1407</v>
      </c>
      <c r="AE10" s="29" t="s">
        <v>1408</v>
      </c>
      <c r="AF10" s="29" t="s">
        <v>1409</v>
      </c>
      <c r="AG10" s="29" t="s">
        <v>1410</v>
      </c>
      <c r="AH10" s="29" t="s">
        <v>1411</v>
      </c>
      <c r="AI10" s="29" t="s">
        <v>1412</v>
      </c>
      <c r="AJ10" s="29" t="s">
        <v>1327</v>
      </c>
      <c r="AK10" s="29" t="s">
        <v>1328</v>
      </c>
      <c r="AL10" s="29" t="s">
        <v>1329</v>
      </c>
      <c r="AM10" s="29" t="s">
        <v>1330</v>
      </c>
      <c r="AN10" s="29" t="s">
        <v>1331</v>
      </c>
      <c r="AO10" s="29" t="s">
        <v>1332</v>
      </c>
      <c r="AQ10" s="30" t="str">
        <f t="shared" si="0"/>
        <v>"D6": {"Name": "D6", "Year": 2020, "Processor": "EXPEED 6", "Sensor": {"Name": "Toshiba (Sony) T4K54", "Type": "CMOS", "Bayer": "", "BitDepth": 14, "ResX": 5568, "ResY": 3712, "SizeX": 36, "SizeY": 23.9, "PixelSizeX": 6.44, "PixelSizeY": 6.44}, "CropSubSampling": [{"Crop": "FX", "Subs": {"Size L": {"ResX": 5568, "ResY": 3712}, "Size M": {"ResX": 4176, "ResY": 2784}, "Size S": {"ResX": 2784, "ResY": 1856}}}, {"Crop": "DX", "Subs": {"Size L": {"ResX": 3648, "ResY": 2432}, "Size M": {"ResX": 2736, "ResY": 1824}, "Size S": {"ResX": 1824, "ResY": 1216}}}, {"Crop": "5:4", "Subs": {"Size L": {"ResX": 4640, "ResY": 3712}, "Size M": {"ResX": 3472, "ResY": 2784}, "Size S": {"ResX": 2320, "ResY": 1856}}}, {"Crop": "1.2x", "Subs": {"Size L": {"ResX": 4640, "ResY": 3088}, "Size M": {"ResX": 3472, "ResY": 2312}, "Size S": {"ResX": 2320, "ResY": 1544}}}, {"Crop": "1:1", "Subs": {"Size L": {"ResX": 3712, "ResY": 3712}, "Size M": {"ResX": 2784, "ResY": 2784}, "Size S": {"ResX": 1856, "ResY": 1856}}}, {"Crop": "16:9", "Subs": {"Size L": {"ResX": 5568, "ResY": 3128}, "Size M": {"ResX": 4176, "ResY": 2344}, "Size S": {"ResX": 2784, "ResY": 1560}}}]}</v>
      </c>
      <c r="AR10" s="30" t="str" cm="1">
        <f t="array" ref="AR10">_xlfn.LET(_xlpm.crop,$R$2:$AO$2,_xlpm.size,$R$3:$AO$3,_xlpm.value,R10:AO10,_xlpm.vf,_xlfn.MAP(_xlpm.size,_xlpm.value,_xlfn.LAMBDA(_xlpm.s,_xlpm.v,IF(_xlpm.v="","",""""&amp;_xlpm.s&amp;""":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5568, "ResY": 3712}, "Size M": {"ResX": 4176, "ResY": 2784}, "Size S": {"ResX": 2784, "ResY": 1856}}}, {"Crop": "DX", "Subs": {"Size L": {"ResX": 3648, "ResY": 2432}, "Size M": {"ResX": 2736, "ResY": 1824}, "Size S": {"ResX": 1824, "ResY": 1216}}}, {"Crop": "5:4", "Subs": {"Size L": {"ResX": 4640, "ResY": 3712}, "Size M": {"ResX": 3472, "ResY": 2784}, "Size S": {"ResX": 2320, "ResY": 1856}}}, {"Crop": "1.2x", "Subs": {"Size L": {"ResX": 4640, "ResY": 3088}, "Size M": {"ResX": 3472, "ResY": 2312}, "Size S": {"ResX": 2320, "ResY": 1544}}}, {"Crop": "1:1", "Subs": {"Size L": {"ResX": 3712, "ResY": 3712}, "Size M": {"ResX": 2784, "ResY": 2784}, "Size S": {"ResX": 1856, "ResY": 1856}}}, {"Crop": "16:9", "Subs": {"Size L": {"ResX": 5568, "ResY": 3128}, "Size M": {"ResX": 4176, "ResY": 2344}, "Size S": {"ResX": 2784, "ResY": 1560}}}]</v>
      </c>
    </row>
    <row r="11" spans="1:44" x14ac:dyDescent="0.25">
      <c r="A11" s="26" t="s">
        <v>1205</v>
      </c>
      <c r="B11" s="26" t="s">
        <v>1205</v>
      </c>
      <c r="C11" s="15">
        <v>2006</v>
      </c>
      <c r="F11" s="29" t="s">
        <v>1452</v>
      </c>
      <c r="G11" s="27" t="s">
        <v>1288</v>
      </c>
      <c r="I11" s="15">
        <v>12</v>
      </c>
      <c r="J11" s="15">
        <v>3008</v>
      </c>
      <c r="K11" s="15">
        <v>2000</v>
      </c>
      <c r="L11" s="15">
        <v>23.7</v>
      </c>
      <c r="M11" s="15">
        <v>15.6</v>
      </c>
      <c r="N11" s="15">
        <v>7.85</v>
      </c>
      <c r="O11" s="15">
        <v>7.85</v>
      </c>
      <c r="U11" s="29" t="s">
        <v>1431</v>
      </c>
      <c r="V11" s="29" t="s">
        <v>1432</v>
      </c>
      <c r="W11" s="29" t="s">
        <v>1433</v>
      </c>
      <c r="AQ11" s="30" t="str">
        <f t="shared" si="0"/>
        <v>"D40": {"Name": "D40", "Year": 2006, "Processor": "", "Sensor": {"Name": "Sony ICX-453-AQ", "Type": "CCD", "Bayer": "", "BitDepth": 12, "ResX": 3008, "ResY": 2000, "SizeX": 23.7, "SizeY": 15.6, "PixelSizeX": 7.85, "PixelSizeY": 7.85}, "CropSubSampling": [{"Crop": "DX", "Subs": {"Size L": {"ResX": 3008, "ResY": 2000}, "Size M": {"ResX": 2256, "ResY": 1496}, "Size S": {"ResX": 1504, "ResY": 1000}}}]}</v>
      </c>
      <c r="AR11" s="30" t="str" cm="1">
        <f t="array" ref="AR11">_xlfn.LET(_xlpm.crop,$R$2:$AO$2,_xlpm.size,$R$3:$AO$3,_xlpm.value,R11:AO11,_xlpm.vf,_xlfn.MAP(_xlpm.size,_xlpm.value,_xlfn.LAMBDA(_xlpm.s,_xlpm.v,IF(_xlpm.v="","",""""&amp;_xlpm.s&amp;""":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3008, "ResY": 2000}, "Size M": {"ResX": 2256, "ResY": 1496}, "Size S": {"ResX": 1504, "ResY": 1000}}}]</v>
      </c>
    </row>
    <row r="12" spans="1:44" x14ac:dyDescent="0.25">
      <c r="A12" s="26" t="s">
        <v>1289</v>
      </c>
      <c r="B12" s="26" t="s">
        <v>1289</v>
      </c>
      <c r="C12" s="15">
        <v>2007</v>
      </c>
      <c r="F12" s="29" t="s">
        <v>1453</v>
      </c>
      <c r="G12" s="27" t="s">
        <v>1288</v>
      </c>
      <c r="I12" s="15">
        <v>12</v>
      </c>
      <c r="J12" s="15">
        <v>3872</v>
      </c>
      <c r="K12" s="15">
        <v>2592</v>
      </c>
      <c r="L12" s="15">
        <v>23.6</v>
      </c>
      <c r="M12" s="15">
        <v>15.8</v>
      </c>
      <c r="N12" s="15">
        <v>6.11</v>
      </c>
      <c r="O12" s="15">
        <v>6.11</v>
      </c>
      <c r="U12" s="29" t="s">
        <v>1434</v>
      </c>
      <c r="V12" s="29" t="s">
        <v>1435</v>
      </c>
      <c r="W12" s="29" t="s">
        <v>1436</v>
      </c>
      <c r="AQ12" s="30" t="str">
        <f t="shared" si="0"/>
        <v>"D40X": {"Name": "D40X", "Year": 2007, "Processor": "", "Sensor": {"Name": "Sony ICX-493-AQA", "Type": "CCD", "Bayer": "", "BitDepth": 12, "ResX": 3872, "ResY": 2592, "SizeX": 23.6, "SizeY": 15.8, "PixelSizeX": 6.11, "PixelSizeY": 6.11}, "CropSubSampling": [{"Crop": "DX", "Subs": {"Size L": {"ResX": 3872, "ResY": 2592}, "Size M": {"ResX": 2896, "ResY": 1944}, "Size S": {"ResX": 1936, "ResY": 1296}}}]}</v>
      </c>
      <c r="AR12" s="30" t="str" cm="1">
        <f t="array" ref="AR12">_xlfn.LET(_xlpm.crop,$R$2:$AO$2,_xlpm.size,$R$3:$AO$3,_xlpm.value,R12:AO12,_xlpm.vf,_xlfn.MAP(_xlpm.size,_xlpm.value,_xlfn.LAMBDA(_xlpm.s,_xlpm.v,IF(_xlpm.v="","",""""&amp;_xlpm.s&amp;""":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3872, "ResY": 2592}, "Size M": {"ResX": 2896, "ResY": 1944}, "Size S": {"ResX": 1936, "ResY": 1296}}}]</v>
      </c>
    </row>
    <row r="13" spans="1:44" x14ac:dyDescent="0.25">
      <c r="A13" s="26" t="s">
        <v>1206</v>
      </c>
      <c r="B13" s="26" t="s">
        <v>1206</v>
      </c>
      <c r="C13" s="15">
        <v>2008</v>
      </c>
      <c r="D13" s="15" t="s">
        <v>1286</v>
      </c>
      <c r="F13" s="29" t="s">
        <v>1453</v>
      </c>
      <c r="G13" s="27" t="s">
        <v>1288</v>
      </c>
      <c r="I13" s="15">
        <v>12</v>
      </c>
      <c r="J13" s="15">
        <v>3872</v>
      </c>
      <c r="K13" s="15">
        <v>2592</v>
      </c>
      <c r="L13" s="15">
        <v>23.6</v>
      </c>
      <c r="M13" s="15">
        <v>15.8</v>
      </c>
      <c r="N13" s="15">
        <v>6.11</v>
      </c>
      <c r="O13" s="15">
        <v>6.11</v>
      </c>
      <c r="U13" s="29" t="s">
        <v>1434</v>
      </c>
      <c r="V13" s="29" t="s">
        <v>1435</v>
      </c>
      <c r="W13" s="29" t="s">
        <v>1436</v>
      </c>
      <c r="AQ13" s="30" t="str">
        <f t="shared" si="0"/>
        <v>"D60": {"Name": "D60", "Year": 2008, "Processor": "EXPEED", "Sensor": {"Name": "Sony ICX-493-AQA", "Type": "CCD", "Bayer": "", "BitDepth": 12, "ResX": 3872, "ResY": 2592, "SizeX": 23.6, "SizeY": 15.8, "PixelSizeX": 6.11, "PixelSizeY": 6.11}, "CropSubSampling": [{"Crop": "DX", "Subs": {"Size L": {"ResX": 3872, "ResY": 2592}, "Size M": {"ResX": 2896, "ResY": 1944}, "Size S": {"ResX": 1936, "ResY": 1296}}}]}</v>
      </c>
      <c r="AR13" s="30" t="str" cm="1">
        <f t="array" ref="AR13">_xlfn.LET(_xlpm.crop,$R$2:$AO$2,_xlpm.size,$R$3:$AO$3,_xlpm.value,R13:AO13,_xlpm.vf,_xlfn.MAP(_xlpm.size,_xlpm.value,_xlfn.LAMBDA(_xlpm.s,_xlpm.v,IF(_xlpm.v="","",""""&amp;_xlpm.s&amp;""":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3872, "ResY": 2592}, "Size M": {"ResX": 2896, "ResY": 1944}, "Size S": {"ResX": 1936, "ResY": 1296}}}]</v>
      </c>
    </row>
    <row r="14" spans="1:44" x14ac:dyDescent="0.25">
      <c r="A14" s="26" t="s">
        <v>1207</v>
      </c>
      <c r="B14" s="26" t="s">
        <v>1207</v>
      </c>
      <c r="C14" s="15">
        <v>2006</v>
      </c>
      <c r="F14" s="29" t="s">
        <v>1453</v>
      </c>
      <c r="G14" s="27" t="s">
        <v>1288</v>
      </c>
      <c r="H14" s="27" t="s">
        <v>1461</v>
      </c>
      <c r="I14" s="15">
        <v>12</v>
      </c>
      <c r="J14" s="15">
        <v>3872</v>
      </c>
      <c r="K14" s="15">
        <v>2592</v>
      </c>
      <c r="L14" s="15">
        <v>23.6</v>
      </c>
      <c r="M14" s="15">
        <v>15.8</v>
      </c>
      <c r="N14" s="15">
        <v>6.11</v>
      </c>
      <c r="O14" s="15">
        <v>6.11</v>
      </c>
      <c r="U14" s="29" t="s">
        <v>1434</v>
      </c>
      <c r="V14" s="29" t="s">
        <v>1435</v>
      </c>
      <c r="W14" s="29" t="s">
        <v>1436</v>
      </c>
      <c r="AQ14" s="30" t="str">
        <f t="shared" si="0"/>
        <v>"D80": {"Name": "D80", "Year": 2006, "Processor": "", "Sensor": {"Name": "Sony ICX-493-AQA", "Type": "CCD", "Bayer": "GBRG", "BitDepth": 12, "ResX": 3872, "ResY": 2592, "SizeX": 23.6, "SizeY": 15.8, "PixelSizeX": 6.11, "PixelSizeY": 6.11}, "CropSubSampling": [{"Crop": "DX", "Subs": {"Size L": {"ResX": 3872, "ResY": 2592}, "Size M": {"ResX": 2896, "ResY": 1944}, "Size S": {"ResX": 1936, "ResY": 1296}}}]}</v>
      </c>
      <c r="AR14" s="30" t="str" cm="1">
        <f t="array" ref="AR14">_xlfn.LET(_xlpm.crop,$R$2:$AO$2,_xlpm.size,$R$3:$AO$3,_xlpm.value,R14:AO14,_xlpm.vf,_xlfn.MAP(_xlpm.size,_xlpm.value,_xlfn.LAMBDA(_xlpm.s,_xlpm.v,IF(_xlpm.v="","",""""&amp;_xlpm.s&amp;""":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3872, "ResY": 2592}, "Size M": {"ResX": 2896, "ResY": 1944}, "Size S": {"ResX": 1936, "ResY": 1296}}}]</v>
      </c>
    </row>
    <row r="15" spans="1:44" x14ac:dyDescent="0.25">
      <c r="A15" s="26" t="s">
        <v>981</v>
      </c>
      <c r="B15" s="26" t="s">
        <v>981</v>
      </c>
      <c r="C15" s="15">
        <v>2008</v>
      </c>
      <c r="D15" s="15" t="s">
        <v>1286</v>
      </c>
      <c r="F15" s="29" t="s">
        <v>1449</v>
      </c>
      <c r="G15" s="27" t="s">
        <v>1272</v>
      </c>
      <c r="I15" s="15">
        <v>12</v>
      </c>
      <c r="J15" s="15">
        <v>4288</v>
      </c>
      <c r="K15" s="15">
        <v>2848</v>
      </c>
      <c r="L15" s="15">
        <v>23.6</v>
      </c>
      <c r="M15" s="15">
        <v>15.8</v>
      </c>
      <c r="N15" s="15">
        <v>5.53</v>
      </c>
      <c r="O15" s="15">
        <v>5.53</v>
      </c>
      <c r="U15" s="29" t="s">
        <v>1375</v>
      </c>
      <c r="V15" s="29" t="s">
        <v>1376</v>
      </c>
      <c r="W15" s="29" t="s">
        <v>1377</v>
      </c>
      <c r="AQ15" s="30" t="str">
        <f t="shared" si="0"/>
        <v>"D90": {"Name": "D90", "Year": 2008, "Processor": "EXPEED", "Sensor": {"Name": "Sony IMX-038-BQL", "Type": "CMOS", "Bayer": "", "BitDepth": 12, "ResX": 4288, "ResY": 2848, "SizeX": 23.6, "SizeY": 15.8, "PixelSizeX": 5.53, "PixelSizeY": 5.53}, "CropSubSampling": [{"Crop": "DX", "Subs": {"Size L": {"ResX": 4288, "ResY": 2848}, "Size M": {"ResX": 3216, "ResY": 2136}, "Size S": {"ResX": 2144, "ResY": 1424}}}]}</v>
      </c>
      <c r="AR15" s="30" t="str" cm="1">
        <f t="array" ref="AR15">_xlfn.LET(_xlpm.crop,$R$2:$AO$2,_xlpm.size,$R$3:$AO$3,_xlpm.value,R15:AO15,_xlpm.vf,_xlfn.MAP(_xlpm.size,_xlpm.value,_xlfn.LAMBDA(_xlpm.s,_xlpm.v,IF(_xlpm.v="","",""""&amp;_xlpm.s&amp;""":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4288, "ResY": 2848}, "Size M": {"ResX": 3216, "ResY": 2136}, "Size S": {"ResX": 2144, "ResY": 1424}}}]</v>
      </c>
    </row>
    <row r="16" spans="1:44" x14ac:dyDescent="0.25">
      <c r="A16" s="26" t="s">
        <v>1208</v>
      </c>
      <c r="B16" s="26" t="s">
        <v>1208</v>
      </c>
      <c r="C16" s="15">
        <v>2005</v>
      </c>
      <c r="F16" s="29" t="s">
        <v>1454</v>
      </c>
      <c r="G16" s="27" t="s">
        <v>1288</v>
      </c>
      <c r="I16" s="15">
        <v>12</v>
      </c>
      <c r="J16" s="15">
        <v>3872</v>
      </c>
      <c r="K16" s="15">
        <v>2592</v>
      </c>
      <c r="L16" s="15">
        <v>23.6</v>
      </c>
      <c r="M16" s="15">
        <v>15.8</v>
      </c>
      <c r="N16" s="15">
        <v>6.11</v>
      </c>
      <c r="O16" s="15">
        <v>6.11</v>
      </c>
      <c r="U16" s="29" t="s">
        <v>1434</v>
      </c>
      <c r="V16" s="29" t="s">
        <v>1435</v>
      </c>
      <c r="W16" s="29" t="s">
        <v>1436</v>
      </c>
      <c r="AQ16" s="30" t="str">
        <f t="shared" si="0"/>
        <v>"D200": {"Name": "D200", "Year": 2005, "Processor": "", "Sensor": {"Name": "Sony ICX-483-AQA", "Type": "CCD", "Bayer": "", "BitDepth": 12, "ResX": 3872, "ResY": 2592, "SizeX": 23.6, "SizeY": 15.8, "PixelSizeX": 6.11, "PixelSizeY": 6.11}, "CropSubSampling": [{"Crop": "DX", "Subs": {"Size L": {"ResX": 3872, "ResY": 2592}, "Size M": {"ResX": 2896, "ResY": 1944}, "Size S": {"ResX": 1936, "ResY": 1296}}}]}</v>
      </c>
      <c r="AR16" s="30" t="str" cm="1">
        <f t="array" ref="AR16">_xlfn.LET(_xlpm.crop,$R$2:$AO$2,_xlpm.size,$R$3:$AO$3,_xlpm.value,R16:AO16,_xlpm.vf,_xlfn.MAP(_xlpm.size,_xlpm.value,_xlfn.LAMBDA(_xlpm.s,_xlpm.v,IF(_xlpm.v="","",""""&amp;_xlpm.s&amp;""":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3872, "ResY": 2592}, "Size M": {"ResX": 2896, "ResY": 1944}, "Size S": {"ResX": 1936, "ResY": 1296}}}]</v>
      </c>
    </row>
    <row r="17" spans="1:44" x14ac:dyDescent="0.25">
      <c r="A17" s="26" t="s">
        <v>1209</v>
      </c>
      <c r="B17" s="26" t="s">
        <v>1209</v>
      </c>
      <c r="C17" s="15">
        <v>2007</v>
      </c>
      <c r="D17" s="15" t="s">
        <v>1286</v>
      </c>
      <c r="F17" s="29" t="s">
        <v>1448</v>
      </c>
      <c r="G17" s="27" t="s">
        <v>1272</v>
      </c>
      <c r="I17" s="15">
        <v>14</v>
      </c>
      <c r="J17" s="15">
        <v>4288</v>
      </c>
      <c r="K17" s="15">
        <v>2848</v>
      </c>
      <c r="L17" s="15">
        <v>23.6</v>
      </c>
      <c r="M17" s="15">
        <v>15.8</v>
      </c>
      <c r="N17" s="15">
        <v>5.5</v>
      </c>
      <c r="O17" s="15">
        <v>5.5</v>
      </c>
      <c r="U17" s="29" t="s">
        <v>1375</v>
      </c>
      <c r="V17" s="29" t="s">
        <v>1376</v>
      </c>
      <c r="W17" s="29" t="s">
        <v>1377</v>
      </c>
      <c r="AQ17" s="30" t="str">
        <f t="shared" si="0"/>
        <v>"D300": {"Name": "D300", "Year": 2007, "Processor": "EXPEED", "Sensor": {"Name": "Sony IMX-021-BQR", "Type": "CMOS", "Bayer": "", "BitDepth": 14, "ResX": 4288, "ResY": 2848, "SizeX": 23.6, "SizeY": 15.8, "PixelSizeX": 5.5, "PixelSizeY": 5.5}, "CropSubSampling": [{"Crop": "DX", "Subs": {"Size L": {"ResX": 4288, "ResY": 2848}, "Size M": {"ResX": 3216, "ResY": 2136}, "Size S": {"ResX": 2144, "ResY": 1424}}}]}</v>
      </c>
      <c r="AR17" s="30" t="str" cm="1">
        <f t="array" ref="AR17">_xlfn.LET(_xlpm.crop,$R$2:$AO$2,_xlpm.size,$R$3:$AO$3,_xlpm.value,R17:AO17,_xlpm.vf,_xlfn.MAP(_xlpm.size,_xlpm.value,_xlfn.LAMBDA(_xlpm.s,_xlpm.v,IF(_xlpm.v="","",""""&amp;_xlpm.s&amp;""":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4288, "ResY": 2848}, "Size M": {"ResX": 3216, "ResY": 2136}, "Size S": {"ResX": 2144, "ResY": 1424}}}]</v>
      </c>
    </row>
    <row r="18" spans="1:44" x14ac:dyDescent="0.25">
      <c r="A18" s="26" t="s">
        <v>1210</v>
      </c>
      <c r="B18" s="26" t="s">
        <v>1210</v>
      </c>
      <c r="C18" s="15">
        <v>2009</v>
      </c>
      <c r="D18" s="15" t="s">
        <v>1286</v>
      </c>
      <c r="F18" s="29" t="s">
        <v>1449</v>
      </c>
      <c r="G18" s="27" t="s">
        <v>1272</v>
      </c>
      <c r="I18" s="15">
        <v>14</v>
      </c>
      <c r="J18" s="15">
        <v>4288</v>
      </c>
      <c r="K18" s="15">
        <v>2848</v>
      </c>
      <c r="L18" s="15">
        <v>23.6</v>
      </c>
      <c r="M18" s="15">
        <v>15.8</v>
      </c>
      <c r="N18" s="15">
        <v>5.5</v>
      </c>
      <c r="O18" s="15">
        <v>5.5</v>
      </c>
      <c r="U18" s="29" t="s">
        <v>1375</v>
      </c>
      <c r="V18" s="29" t="s">
        <v>1376</v>
      </c>
      <c r="W18" s="29" t="s">
        <v>1377</v>
      </c>
      <c r="AQ18" s="30" t="str">
        <f t="shared" si="0"/>
        <v>"D300S": {"Name": "D300S", "Year": 2009, "Processor": "EXPEED", "Sensor": {"Name": "Sony IMX-038-BQL", "Type": "CMOS", "Bayer": "", "BitDepth": 14, "ResX": 4288, "ResY": 2848, "SizeX": 23.6, "SizeY": 15.8, "PixelSizeX": 5.5, "PixelSizeY": 5.5}, "CropSubSampling": [{"Crop": "DX", "Subs": {"Size L": {"ResX": 4288, "ResY": 2848}, "Size M": {"ResX": 3216, "ResY": 2136}, "Size S": {"ResX": 2144, "ResY": 1424}}}]}</v>
      </c>
      <c r="AR18" s="30" t="str" cm="1">
        <f t="array" ref="AR18">_xlfn.LET(_xlpm.crop,$R$2:$AO$2,_xlpm.size,$R$3:$AO$3,_xlpm.value,R18:AO18,_xlpm.vf,_xlfn.MAP(_xlpm.size,_xlpm.value,_xlfn.LAMBDA(_xlpm.s,_xlpm.v,IF(_xlpm.v="","",""""&amp;_xlpm.s&amp;""":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4288, "ResY": 2848}, "Size M": {"ResX": 3216, "ResY": 2136}, "Size S": {"ResX": 2144, "ResY": 1424}}}]</v>
      </c>
    </row>
    <row r="19" spans="1:44" x14ac:dyDescent="0.25">
      <c r="A19" s="26" t="s">
        <v>1211</v>
      </c>
      <c r="B19" s="26" t="s">
        <v>1211</v>
      </c>
      <c r="C19" s="15">
        <v>2016</v>
      </c>
      <c r="D19" s="15" t="s">
        <v>1281</v>
      </c>
      <c r="F19" s="29" t="s">
        <v>1458</v>
      </c>
      <c r="G19" s="27" t="s">
        <v>1272</v>
      </c>
      <c r="I19" s="15">
        <v>14</v>
      </c>
      <c r="J19" s="15">
        <v>5568</v>
      </c>
      <c r="K19" s="15">
        <v>3712</v>
      </c>
      <c r="L19" s="15">
        <v>23.5</v>
      </c>
      <c r="M19" s="15">
        <v>15.7</v>
      </c>
      <c r="N19" s="15">
        <v>4.22</v>
      </c>
      <c r="O19" s="15">
        <v>4.22</v>
      </c>
      <c r="Q19" s="27" t="s">
        <v>1362</v>
      </c>
      <c r="U19" s="29" t="s">
        <v>1324</v>
      </c>
      <c r="V19" s="29" t="s">
        <v>1325</v>
      </c>
      <c r="W19" s="29" t="s">
        <v>1326</v>
      </c>
      <c r="AA19" s="29" t="s">
        <v>1363</v>
      </c>
      <c r="AB19" s="29" t="s">
        <v>1364</v>
      </c>
      <c r="AC19" s="29" t="s">
        <v>1365</v>
      </c>
      <c r="AQ19" s="30" t="str">
        <f t="shared" si="0"/>
        <v>"D500": {"Name": "D500", "Year": 2016, "Processor": "EXPEED 5", "Sensor": {"Name": "Sony IMX-321", "Type": "CMOS", "Bayer": "", "BitDepth": 14, "ResX": 5568, "ResY": 3712, "SizeX": 23.5, "SizeY": 15.7, "PixelSizeX": 4.22, "PixelSizeY": 4.22}, "CropSubSampling": [{"Crop": "DX", "Subs": {"Size L": {"ResX": 5568, "ResY": 3712}, "Size M": {"ResX": 4176, "ResY": 2784}, "Size S": {"ResX": 2784, "ResY": 1856}}}, {"Crop": "1.3x", "Subs": {"Size L": {"ResX": 4272, "ResY": 2848}, "Size M": {"ResX": 3200, "ResY": 2136}, "Size S": {"ResX": 2128, "ResY": 1424}}}]}</v>
      </c>
      <c r="AR19" s="30" t="str" cm="1">
        <f t="array" ref="AR19">_xlfn.LET(_xlpm.crop,$R$2:$AO$2,_xlpm.size,$R$3:$AO$3,_xlpm.value,R19:AO19,_xlpm.vf,_xlfn.MAP(_xlpm.size,_xlpm.value,_xlfn.LAMBDA(_xlpm.s,_xlpm.v,IF(_xlpm.v="","",""""&amp;_xlpm.s&amp;""":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5568, "ResY": 3712}, "Size M": {"ResX": 4176, "ResY": 2784}, "Size S": {"ResX": 2784, "ResY": 1856}}}, {"Crop": "1.3x", "Subs": {"Size L": {"ResX": 4272, "ResY": 2848}, "Size M": {"ResX": 3200, "ResY": 2136}, "Size S": {"ResX": 2128, "ResY": 1424}}}]</v>
      </c>
    </row>
    <row r="20" spans="1:44" x14ac:dyDescent="0.25">
      <c r="A20" s="26" t="s">
        <v>1212</v>
      </c>
      <c r="B20" s="26" t="s">
        <v>1212</v>
      </c>
      <c r="C20" s="15">
        <v>2012</v>
      </c>
      <c r="D20" s="15" t="s">
        <v>1280</v>
      </c>
      <c r="F20" s="29" t="s">
        <v>1450</v>
      </c>
      <c r="G20" s="27" t="s">
        <v>1272</v>
      </c>
      <c r="I20" s="15">
        <v>14</v>
      </c>
      <c r="J20" s="15">
        <v>6016</v>
      </c>
      <c r="K20" s="15">
        <v>4016</v>
      </c>
      <c r="L20" s="15">
        <v>35.9</v>
      </c>
      <c r="M20" s="15">
        <v>24</v>
      </c>
      <c r="N20" s="15">
        <v>5.95</v>
      </c>
      <c r="O20" s="15">
        <v>5.95</v>
      </c>
      <c r="Q20" s="27" t="s">
        <v>1354</v>
      </c>
      <c r="R20" s="29" t="s">
        <v>1344</v>
      </c>
      <c r="S20" s="29" t="s">
        <v>1345</v>
      </c>
      <c r="T20" s="29" t="s">
        <v>1346</v>
      </c>
      <c r="U20" s="29" t="s">
        <v>1302</v>
      </c>
      <c r="V20" s="29" t="s">
        <v>1303</v>
      </c>
      <c r="W20" s="29" t="s">
        <v>1304</v>
      </c>
      <c r="AQ20" s="30" t="str">
        <f t="shared" si="0"/>
        <v>"D600": {"Name": "D600", "Year": 2012, "Processor": "EXPEED 3", "Sensor": {"Name": "Sony IMX-128- (L) -AQP", "Type": "CMOS", "Bayer": "", "BitDepth": 14, "ResX": 6016, "ResY": 4016, "SizeX": 35.9, "SizeY": 24, "PixelSizeX": 5.95, "PixelSizeY": 5.95}, "CropSubSampling": [{"Crop": "FX", "Subs": {"Size L": {"ResX": 6016, "ResY": 4016}, "Size M": {"ResX": 4512, "ResY": 3008}, "Size S": {"ResX": 3008, "ResY": 2008}}}, {"Crop": "DX", "Subs": {"Size L": {"ResX": 3936, "ResY": 2624}, "Size M": {"ResX": 2944, "ResY": 1968}, "Size S": {"ResX": 1968, "ResY": 1312}}}]}</v>
      </c>
      <c r="AR20" s="30" t="str" cm="1">
        <f t="array" ref="AR20">_xlfn.LET(_xlpm.crop,$R$2:$AO$2,_xlpm.size,$R$3:$AO$3,_xlpm.value,R20:AO20,_xlpm.vf,_xlfn.MAP(_xlpm.size,_xlpm.value,_xlfn.LAMBDA(_xlpm.s,_xlpm.v,IF(_xlpm.v="","",""""&amp;_xlpm.s&amp;""":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6016, "ResY": 4016}, "Size M": {"ResX": 4512, "ResY": 3008}, "Size S": {"ResX": 3008, "ResY": 2008}}}, {"Crop": "DX", "Subs": {"Size L": {"ResX": 3936, "ResY": 2624}, "Size M": {"ResX": 2944, "ResY": 1968}, "Size S": {"ResX": 1968, "ResY": 1312}}}]</v>
      </c>
    </row>
    <row r="21" spans="1:44" x14ac:dyDescent="0.25">
      <c r="A21" s="26" t="s">
        <v>1213</v>
      </c>
      <c r="B21" s="26" t="s">
        <v>1213</v>
      </c>
      <c r="C21" s="15">
        <v>2013</v>
      </c>
      <c r="D21" s="15" t="s">
        <v>1280</v>
      </c>
      <c r="F21" s="29" t="s">
        <v>1450</v>
      </c>
      <c r="G21" s="27" t="s">
        <v>1272</v>
      </c>
      <c r="I21" s="15">
        <v>14</v>
      </c>
      <c r="J21" s="15">
        <v>6016</v>
      </c>
      <c r="K21" s="15">
        <v>4016</v>
      </c>
      <c r="L21" s="15">
        <v>35.9</v>
      </c>
      <c r="M21" s="15">
        <v>24</v>
      </c>
      <c r="N21" s="15">
        <v>5.95</v>
      </c>
      <c r="O21" s="15">
        <v>5.95</v>
      </c>
      <c r="Q21" s="27" t="s">
        <v>1354</v>
      </c>
      <c r="R21" s="29" t="s">
        <v>1344</v>
      </c>
      <c r="S21" s="29" t="s">
        <v>1345</v>
      </c>
      <c r="T21" s="29" t="s">
        <v>1346</v>
      </c>
      <c r="U21" s="29" t="s">
        <v>1302</v>
      </c>
      <c r="V21" s="29" t="s">
        <v>1303</v>
      </c>
      <c r="W21" s="29" t="s">
        <v>1304</v>
      </c>
      <c r="AQ21" s="30" t="str">
        <f t="shared" si="0"/>
        <v>"D610": {"Name": "D610", "Year": 2013, "Processor": "EXPEED 3", "Sensor": {"Name": "Sony IMX-128- (L) -AQP", "Type": "CMOS", "Bayer": "", "BitDepth": 14, "ResX": 6016, "ResY": 4016, "SizeX": 35.9, "SizeY": 24, "PixelSizeX": 5.95, "PixelSizeY": 5.95}, "CropSubSampling": [{"Crop": "FX", "Subs": {"Size L": {"ResX": 6016, "ResY": 4016}, "Size M": {"ResX": 4512, "ResY": 3008}, "Size S": {"ResX": 3008, "ResY": 2008}}}, {"Crop": "DX", "Subs": {"Size L": {"ResX": 3936, "ResY": 2624}, "Size M": {"ResX": 2944, "ResY": 1968}, "Size S": {"ResX": 1968, "ResY": 1312}}}]}</v>
      </c>
      <c r="AR21" s="30" t="str" cm="1">
        <f t="array" ref="AR21">_xlfn.LET(_xlpm.crop,$R$2:$AO$2,_xlpm.size,$R$3:$AO$3,_xlpm.value,R21:AO21,_xlpm.vf,_xlfn.MAP(_xlpm.size,_xlpm.value,_xlfn.LAMBDA(_xlpm.s,_xlpm.v,IF(_xlpm.v="","",""""&amp;_xlpm.s&amp;""":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6016, "ResY": 4016}, "Size M": {"ResX": 4512, "ResY": 3008}, "Size S": {"ResX": 3008, "ResY": 2008}}}, {"Crop": "DX", "Subs": {"Size L": {"ResX": 3936, "ResY": 2624}, "Size M": {"ResX": 2944, "ResY": 1968}, "Size S": {"ResX": 1968, "ResY": 1312}}}]</v>
      </c>
    </row>
    <row r="22" spans="1:44" x14ac:dyDescent="0.25">
      <c r="A22" s="26" t="s">
        <v>1214</v>
      </c>
      <c r="B22" s="26" t="s">
        <v>1214</v>
      </c>
      <c r="C22" s="15">
        <v>2008</v>
      </c>
      <c r="D22" s="15" t="s">
        <v>1286</v>
      </c>
      <c r="F22" s="29" t="s">
        <v>1444</v>
      </c>
      <c r="G22" s="27" t="s">
        <v>1272</v>
      </c>
      <c r="I22" s="15">
        <v>14</v>
      </c>
      <c r="J22" s="15">
        <v>4256</v>
      </c>
      <c r="K22" s="15">
        <v>2832</v>
      </c>
      <c r="L22" s="15">
        <v>36</v>
      </c>
      <c r="M22" s="15">
        <v>23.9</v>
      </c>
      <c r="N22" s="15">
        <v>8.4499999999999993</v>
      </c>
      <c r="O22" s="15">
        <v>8.4499999999999993</v>
      </c>
      <c r="Q22" s="27" t="s">
        <v>1354</v>
      </c>
      <c r="R22" s="29" t="s">
        <v>1397</v>
      </c>
      <c r="S22" s="29" t="s">
        <v>1398</v>
      </c>
      <c r="T22" s="29" t="s">
        <v>1399</v>
      </c>
      <c r="U22" s="29" t="s">
        <v>1400</v>
      </c>
      <c r="V22" s="29" t="s">
        <v>1401</v>
      </c>
      <c r="W22" s="29" t="s">
        <v>1402</v>
      </c>
      <c r="AQ22" s="30" t="str">
        <f t="shared" si="0"/>
        <v>"D700": {"Name": "D700", "Year": 2008, "Processor": "EXPEED", "Sensor": {"Name": "Nikon NC81338L", "Type": "CMOS", "Bayer": "", "BitDepth": 14, "ResX": 4256, "ResY": 2832, "SizeX": 36, "SizeY": 23.9, "PixelSizeX": 8.45, "PixelSizeY": 8.45}, "CropSubSampling": [{"Crop": "FX", "Subs": {"Size L": {"ResX": 4256, "ResY": 2832}, "Size M": {"ResX": 3184, "ResY": 2120}, "Size S": {"ResX": 2128, "ResY": 1416}}}, {"Crop": "DX", "Subs": {"Size L": {"ResX": 2784, "ResY": 1848}, "Size M": {"ResX": 2080, "ResY": 1384}, "Size S": {"ResX": 1392, "ResY": 920}}}]}</v>
      </c>
      <c r="AR22" s="30" t="str" cm="1">
        <f t="array" ref="AR22">_xlfn.LET(_xlpm.crop,$R$2:$AO$2,_xlpm.size,$R$3:$AO$3,_xlpm.value,R22:AO22,_xlpm.vf,_xlfn.MAP(_xlpm.size,_xlpm.value,_xlfn.LAMBDA(_xlpm.s,_xlpm.v,IF(_xlpm.v="","",""""&amp;_xlpm.s&amp;""":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4256, "ResY": 2832}, "Size M": {"ResX": 3184, "ResY": 2120}, "Size S": {"ResX": 2128, "ResY": 1416}}}, {"Crop": "DX", "Subs": {"Size L": {"ResX": 2784, "ResY": 1848}, "Size M": {"ResX": 2080, "ResY": 1384}, "Size S": {"ResX": 1392, "ResY": 920}}}]</v>
      </c>
    </row>
    <row r="23" spans="1:44" ht="22.5" x14ac:dyDescent="0.25">
      <c r="A23" s="26" t="s">
        <v>1215</v>
      </c>
      <c r="B23" s="26" t="s">
        <v>1215</v>
      </c>
      <c r="C23" s="15">
        <v>2014</v>
      </c>
      <c r="D23" s="15" t="s">
        <v>1282</v>
      </c>
      <c r="F23" s="29" t="s">
        <v>1450</v>
      </c>
      <c r="G23" s="27" t="s">
        <v>1272</v>
      </c>
      <c r="I23" s="15">
        <v>14</v>
      </c>
      <c r="J23" s="15">
        <v>6016</v>
      </c>
      <c r="K23" s="15">
        <v>4016</v>
      </c>
      <c r="L23" s="15">
        <v>35.9</v>
      </c>
      <c r="M23" s="15">
        <v>24</v>
      </c>
      <c r="N23" s="15">
        <v>5.97</v>
      </c>
      <c r="O23" s="15">
        <v>5.97</v>
      </c>
      <c r="Q23" s="27" t="s">
        <v>1393</v>
      </c>
      <c r="R23" s="29" t="s">
        <v>1344</v>
      </c>
      <c r="S23" s="29" t="s">
        <v>1345</v>
      </c>
      <c r="T23" s="29" t="s">
        <v>1346</v>
      </c>
      <c r="U23" s="29" t="s">
        <v>1302</v>
      </c>
      <c r="V23" s="29" t="s">
        <v>1303</v>
      </c>
      <c r="W23" s="29" t="s">
        <v>1304</v>
      </c>
      <c r="AG23" s="29" t="s">
        <v>1394</v>
      </c>
      <c r="AH23" s="29" t="s">
        <v>1395</v>
      </c>
      <c r="AI23" s="29" t="s">
        <v>1396</v>
      </c>
      <c r="AQ23" s="30" t="str">
        <f t="shared" si="0"/>
        <v>"D750": {"Name": "D750", "Year": 2014, "Processor": "EXPEED 4", "Sensor": {"Name": "Sony IMX-128- (L) -AQP", "Type": "CMOS", "Bayer": "", "BitDepth": 14, "ResX": 6016, "ResY": 4016, "SizeX": 35.9, "SizeY": 24, "PixelSizeX": 5.97, "PixelSizeY": 5.97}, "CropSubSampling": [{"Crop": "FX", "Subs": {"Size L": {"ResX": 6016, "ResY": 4016}, "Size M": {"ResX": 4512, "ResY": 3008}, "Size S": {"ResX": 3008, "ResY": 2008}}}, {"Crop": "DX", "Subs": {"Size L": {"ResX": 3936, "ResY": 2624}, "Size M": {"ResX": 2944, "ResY": 1968}, "Size S": {"ResX": 1968, "ResY": 1312}}}, {"Crop": "1.2x", "Subs": {"Size L": {"ResX": 5008, "ResY": 3336}, "Size M": {"ResX": 3752, "ResY": 2504}, "Size S": {"ResX": 2504, "ResY": 1664}}}]}</v>
      </c>
      <c r="AR23" s="30" t="str" cm="1">
        <f t="array" ref="AR23">_xlfn.LET(_xlpm.crop,$R$2:$AO$2,_xlpm.size,$R$3:$AO$3,_xlpm.value,R23:AO23,_xlpm.vf,_xlfn.MAP(_xlpm.size,_xlpm.value,_xlfn.LAMBDA(_xlpm.s,_xlpm.v,IF(_xlpm.v="","",""""&amp;_xlpm.s&amp;""":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6016, "ResY": 4016}, "Size M": {"ResX": 4512, "ResY": 3008}, "Size S": {"ResX": 3008, "ResY": 2008}}}, {"Crop": "DX", "Subs": {"Size L": {"ResX": 3936, "ResY": 2624}, "Size M": {"ResX": 2944, "ResY": 1968}, "Size S": {"ResX": 1968, "ResY": 1312}}}, {"Crop": "1.2x", "Subs": {"Size L": {"ResX": 5008, "ResY": 3336}, "Size M": {"ResX": 3752, "ResY": 2504}, "Size S": {"ResX": 2504, "ResY": 1664}}}]</v>
      </c>
    </row>
    <row r="24" spans="1:44" ht="22.5" x14ac:dyDescent="0.25">
      <c r="A24" s="26" t="s">
        <v>1216</v>
      </c>
      <c r="B24" s="26" t="s">
        <v>1216</v>
      </c>
      <c r="C24" s="15">
        <v>2020</v>
      </c>
      <c r="D24" s="15" t="s">
        <v>1270</v>
      </c>
      <c r="F24" s="29" t="s">
        <v>1252</v>
      </c>
      <c r="G24" s="27" t="s">
        <v>1256</v>
      </c>
      <c r="I24" s="15">
        <v>14</v>
      </c>
      <c r="J24" s="15">
        <v>6048</v>
      </c>
      <c r="K24" s="15">
        <v>4024</v>
      </c>
      <c r="L24" s="15">
        <v>35.9</v>
      </c>
      <c r="M24" s="15">
        <v>23.9</v>
      </c>
      <c r="N24" s="15">
        <v>5.94</v>
      </c>
      <c r="O24" s="15">
        <v>5.94</v>
      </c>
      <c r="Q24" s="27" t="s">
        <v>1333</v>
      </c>
      <c r="R24" s="29" t="s">
        <v>1296</v>
      </c>
      <c r="S24" s="29" t="s">
        <v>1297</v>
      </c>
      <c r="T24" s="29" t="s">
        <v>1299</v>
      </c>
      <c r="U24" s="29" t="s">
        <v>1302</v>
      </c>
      <c r="V24" s="29" t="s">
        <v>1303</v>
      </c>
      <c r="W24" s="29" t="s">
        <v>1304</v>
      </c>
      <c r="AJ24" s="29" t="s">
        <v>1305</v>
      </c>
      <c r="AK24" s="29" t="s">
        <v>1306</v>
      </c>
      <c r="AL24" s="29" t="s">
        <v>1307</v>
      </c>
      <c r="AM24" s="29" t="s">
        <v>1308</v>
      </c>
      <c r="AN24" s="29" t="s">
        <v>1309</v>
      </c>
      <c r="AO24" s="29" t="s">
        <v>1310</v>
      </c>
      <c r="AQ24" s="30" t="str">
        <f t="shared" si="0"/>
        <v>"D780": {"Name": "D780", "Year": 2020, "Processor": "EXPEED 6", "Sensor": {"Name": "Sony ?", "Type": "BSI-CMOS", "Bayer": "", "BitDepth": 14, "ResX": 6048, "ResY": 4024, "SizeX": 35.9, "SizeY": 23.9, "PixelSizeX": 5.94, "PixelSizeY": 5.94}, "CropSubSampling": [{"Crop": "FX", "Subs": {"Size L": {"ResX": 6048, "ResY": 4024}, "Size M": {"ResX": 4528, "ResY": 3016}, "Size S": {"ResX": 3024, "ResY": 2016}}}, {"Crop": "DX", "Subs": {"Size L": {"ResX": 3936, "ResY": 2624}, "Size M": {"ResX": 2944, "ResY": 1968}, "Size S": {"ResX": 1968, "ResY": 1312}}}, {"Crop": "1:1", "Subs": {"Size L": {"ResX": 4016, "ResY": 4016}, "Size M": {"ResX": 3008, "ResY": 3008}, "Size S": {"ResX": 2000, "ResY": 2000}}}, {"Crop": "16:9", "Subs": {"Size L": {"ResX": 6048, "ResY": 3400}, "Size M": {"ResX": 4528, "ResY": 2544}, "Size S": {"ResX": 3024, "ResY": 1696}}}]}</v>
      </c>
      <c r="AR24" s="30" t="str" cm="1">
        <f t="array" ref="AR24">_xlfn.LET(_xlpm.crop,$R$2:$AO$2,_xlpm.size,$R$3:$AO$3,_xlpm.value,R24:AO24,_xlpm.vf,_xlfn.MAP(_xlpm.size,_xlpm.value,_xlfn.LAMBDA(_xlpm.s,_xlpm.v,IF(_xlpm.v="","",""""&amp;_xlpm.s&amp;""":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6048, "ResY": 4024}, "Size M": {"ResX": 4528, "ResY": 3016}, "Size S": {"ResX": 3024, "ResY": 2016}}}, {"Crop": "DX", "Subs": {"Size L": {"ResX": 3936, "ResY": 2624}, "Size M": {"ResX": 2944, "ResY": 1968}, "Size S": {"ResX": 1968, "ResY": 1312}}}, {"Crop": "1:1", "Subs": {"Size L": {"ResX": 4016, "ResY": 4016}, "Size M": {"ResX": 3008, "ResY": 3008}, "Size S": {"ResX": 2000, "ResY": 2000}}}, {"Crop": "16:9", "Subs": {"Size L": {"ResX": 6048, "ResY": 3400}, "Size M": {"ResX": 4528, "ResY": 2544}, "Size S": {"ResX": 3024, "ResY": 1696}}}]</v>
      </c>
    </row>
    <row r="25" spans="1:44" ht="22.5" x14ac:dyDescent="0.25">
      <c r="A25" s="26" t="s">
        <v>1217</v>
      </c>
      <c r="B25" s="26" t="s">
        <v>1217</v>
      </c>
      <c r="C25" s="15">
        <v>2012</v>
      </c>
      <c r="D25" s="15" t="s">
        <v>1280</v>
      </c>
      <c r="F25" s="29" t="s">
        <v>1447</v>
      </c>
      <c r="G25" s="27" t="s">
        <v>1272</v>
      </c>
      <c r="I25" s="15">
        <v>14</v>
      </c>
      <c r="J25" s="15">
        <v>7360</v>
      </c>
      <c r="K25" s="15">
        <v>4912</v>
      </c>
      <c r="L25" s="15">
        <v>35.9</v>
      </c>
      <c r="M25" s="15">
        <v>24</v>
      </c>
      <c r="N25" s="15">
        <v>4.88</v>
      </c>
      <c r="O25" s="15">
        <v>4.88</v>
      </c>
      <c r="Q25" s="27" t="s">
        <v>1383</v>
      </c>
      <c r="R25" s="29" t="s">
        <v>1384</v>
      </c>
      <c r="S25" s="29" t="s">
        <v>1385</v>
      </c>
      <c r="T25" s="29" t="s">
        <v>1386</v>
      </c>
      <c r="U25" s="29" t="s">
        <v>1369</v>
      </c>
      <c r="V25" s="29" t="s">
        <v>1370</v>
      </c>
      <c r="W25" s="29" t="s">
        <v>1371</v>
      </c>
      <c r="AD25" s="29" t="s">
        <v>1387</v>
      </c>
      <c r="AE25" s="29" t="s">
        <v>1388</v>
      </c>
      <c r="AF25" s="29" t="s">
        <v>1389</v>
      </c>
      <c r="AG25" s="29" t="s">
        <v>1390</v>
      </c>
      <c r="AH25" s="29" t="s">
        <v>1391</v>
      </c>
      <c r="AI25" s="29" t="s">
        <v>1392</v>
      </c>
      <c r="AQ25" s="30" t="str">
        <f t="shared" si="0"/>
        <v>"D800": {"Name": "D800", "Year": 2012, "Processor": "EXPEED 3", "Sensor": {"Name": "Sony IMX-094-AQP", "Type": "CMOS", "Bayer": "", "BitDepth": 14, "ResX": 7360, "ResY": 4912, "SizeX": 35.9, "SizeY": 24, "PixelSizeX": 4.88, "PixelSizeY": 4.88}, "CropSubSampling": [{"Crop": "FX", "Subs": {"Size L": {"ResX": 7360, "ResY": 4912}, "Size M": {"ResX": 5520, "ResY": 3680}, "Size S": {"ResX": 3680, "ResY": 2456}}}, {"Crop": "DX", "Subs": {"Size L": {"ResX": 4800, "ResY": 3200}, "Size M": {"ResX": 3600, "ResY": 2400}, "Size S": {"ResX": 2400, "ResY": 1600}}}, {"Crop": "5:4", "Subs": {"Size L": {"ResX": 6144, "ResY": 4912}, "Size M": {"ResX": 4608, "ResY": 3680}, "Size S": {"ResX": 3072, "ResY": 2456}}}, {"Crop": "1.2x", "Subs": {"Size L": {"ResX": 6144, "ResY": 4080}, "Size M": {"ResX": 4608, "ResY": 3056}, "Size S": {"ResX": 3072, "ResY": 2040}}}]}</v>
      </c>
      <c r="AR25" s="30" t="str" cm="1">
        <f t="array" ref="AR25">_xlfn.LET(_xlpm.crop,$R$2:$AO$2,_xlpm.size,$R$3:$AO$3,_xlpm.value,R25:AO25,_xlpm.vf,_xlfn.MAP(_xlpm.size,_xlpm.value,_xlfn.LAMBDA(_xlpm.s,_xlpm.v,IF(_xlpm.v="","",""""&amp;_xlpm.s&amp;""":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7360, "ResY": 4912}, "Size M": {"ResX": 5520, "ResY": 3680}, "Size S": {"ResX": 3680, "ResY": 2456}}}, {"Crop": "DX", "Subs": {"Size L": {"ResX": 4800, "ResY": 3200}, "Size M": {"ResX": 3600, "ResY": 2400}, "Size S": {"ResX": 2400, "ResY": 1600}}}, {"Crop": "5:4", "Subs": {"Size L": {"ResX": 6144, "ResY": 4912}, "Size M": {"ResX": 4608, "ResY": 3680}, "Size S": {"ResX": 3072, "ResY": 2456}}}, {"Crop": "1.2x", "Subs": {"Size L": {"ResX": 6144, "ResY": 4080}, "Size M": {"ResX": 4608, "ResY": 3056}, "Size S": {"ResX": 3072, "ResY": 2040}}}]</v>
      </c>
    </row>
    <row r="26" spans="1:44" ht="33.75" x14ac:dyDescent="0.25">
      <c r="A26" s="26" t="s">
        <v>1287</v>
      </c>
      <c r="B26" s="26" t="s">
        <v>1287</v>
      </c>
      <c r="C26" s="15">
        <v>2012</v>
      </c>
      <c r="D26" s="15" t="s">
        <v>1280</v>
      </c>
      <c r="F26" s="29" t="s">
        <v>1447</v>
      </c>
      <c r="G26" s="27" t="s">
        <v>1277</v>
      </c>
      <c r="I26" s="15">
        <v>14</v>
      </c>
      <c r="J26" s="15">
        <v>7360</v>
      </c>
      <c r="K26" s="15">
        <v>4912</v>
      </c>
      <c r="L26" s="15">
        <v>35.9</v>
      </c>
      <c r="M26" s="15">
        <v>24</v>
      </c>
      <c r="N26" s="15">
        <v>4.88</v>
      </c>
      <c r="O26" s="15">
        <v>4.88</v>
      </c>
      <c r="Q26" s="27" t="s">
        <v>1383</v>
      </c>
      <c r="R26" s="29" t="s">
        <v>1384</v>
      </c>
      <c r="S26" s="29" t="s">
        <v>1385</v>
      </c>
      <c r="T26" s="29" t="s">
        <v>1386</v>
      </c>
      <c r="U26" s="29" t="s">
        <v>1369</v>
      </c>
      <c r="V26" s="29" t="s">
        <v>1370</v>
      </c>
      <c r="W26" s="29" t="s">
        <v>1371</v>
      </c>
      <c r="AD26" s="29" t="s">
        <v>1387</v>
      </c>
      <c r="AE26" s="29" t="s">
        <v>1388</v>
      </c>
      <c r="AF26" s="29" t="s">
        <v>1389</v>
      </c>
      <c r="AG26" s="29" t="s">
        <v>1390</v>
      </c>
      <c r="AH26" s="29" t="s">
        <v>1391</v>
      </c>
      <c r="AI26" s="29" t="s">
        <v>1392</v>
      </c>
      <c r="AQ26" s="30" t="str">
        <f t="shared" si="0"/>
        <v>"D800E": {"Name": "D800E", "Year": 2012, "Processor": "EXPEED 3", "Sensor": {"Name": "Sony IMX-094-AQP", "Type": "CMOS (Without AA filter)", "Bayer": "", "BitDepth": 14, "ResX": 7360, "ResY": 4912, "SizeX": 35.9, "SizeY": 24, "PixelSizeX": 4.88, "PixelSizeY": 4.88}, "CropSubSampling": [{"Crop": "FX", "Subs": {"Size L": {"ResX": 7360, "ResY": 4912}, "Size M": {"ResX": 5520, "ResY": 3680}, "Size S": {"ResX": 3680, "ResY": 2456}}}, {"Crop": "DX", "Subs": {"Size L": {"ResX": 4800, "ResY": 3200}, "Size M": {"ResX": 3600, "ResY": 2400}, "Size S": {"ResX": 2400, "ResY": 1600}}}, {"Crop": "5:4", "Subs": {"Size L": {"ResX": 6144, "ResY": 4912}, "Size M": {"ResX": 4608, "ResY": 3680}, "Size S": {"ResX": 3072, "ResY": 2456}}}, {"Crop": "1.2x", "Subs": {"Size L": {"ResX": 6144, "ResY": 4080}, "Size M": {"ResX": 4608, "ResY": 3056}, "Size S": {"ResX": 3072, "ResY": 2040}}}]}</v>
      </c>
      <c r="AR26" s="30" t="str" cm="1">
        <f t="array" ref="AR26">_xlfn.LET(_xlpm.crop,$R$2:$AO$2,_xlpm.size,$R$3:$AO$3,_xlpm.value,R26:AO26,_xlpm.vf,_xlfn.MAP(_xlpm.size,_xlpm.value,_xlfn.LAMBDA(_xlpm.s,_xlpm.v,IF(_xlpm.v="","",""""&amp;_xlpm.s&amp;""":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7360, "ResY": 4912}, "Size M": {"ResX": 5520, "ResY": 3680}, "Size S": {"ResX": 3680, "ResY": 2456}}}, {"Crop": "DX", "Subs": {"Size L": {"ResX": 4800, "ResY": 3200}, "Size M": {"ResX": 3600, "ResY": 2400}, "Size S": {"ResX": 2400, "ResY": 1600}}}, {"Crop": "5:4", "Subs": {"Size L": {"ResX": 6144, "ResY": 4912}, "Size M": {"ResX": 4608, "ResY": 3680}, "Size S": {"ResX": 3072, "ResY": 2456}}}, {"Crop": "1.2x", "Subs": {"Size L": {"ResX": 6144, "ResY": 4080}, "Size M": {"ResX": 4608, "ResY": 3056}, "Size S": {"ResX": 3072, "ResY": 2040}}}]</v>
      </c>
    </row>
    <row r="27" spans="1:44" ht="33.75" x14ac:dyDescent="0.25">
      <c r="A27" s="26" t="s">
        <v>1218</v>
      </c>
      <c r="B27" s="26" t="s">
        <v>1218</v>
      </c>
      <c r="C27" s="15">
        <v>2014</v>
      </c>
      <c r="D27" s="15" t="s">
        <v>1282</v>
      </c>
      <c r="F27" s="29" t="s">
        <v>1447</v>
      </c>
      <c r="G27" s="27" t="s">
        <v>1277</v>
      </c>
      <c r="I27" s="15">
        <v>14</v>
      </c>
      <c r="J27" s="15">
        <v>7360</v>
      </c>
      <c r="K27" s="15">
        <v>4912</v>
      </c>
      <c r="L27" s="15">
        <v>35.9</v>
      </c>
      <c r="M27" s="15">
        <v>24</v>
      </c>
      <c r="N27" s="15">
        <v>4.88</v>
      </c>
      <c r="O27" s="15">
        <v>4.88</v>
      </c>
      <c r="Q27" s="27" t="s">
        <v>1383</v>
      </c>
      <c r="R27" s="29" t="s">
        <v>1384</v>
      </c>
      <c r="S27" s="29" t="s">
        <v>1385</v>
      </c>
      <c r="T27" s="29" t="s">
        <v>1386</v>
      </c>
      <c r="U27" s="29" t="s">
        <v>1369</v>
      </c>
      <c r="V27" s="29" t="s">
        <v>1370</v>
      </c>
      <c r="W27" s="29" t="s">
        <v>1371</v>
      </c>
      <c r="AD27" s="29" t="s">
        <v>1387</v>
      </c>
      <c r="AE27" s="29" t="s">
        <v>1388</v>
      </c>
      <c r="AF27" s="29" t="s">
        <v>1389</v>
      </c>
      <c r="AG27" s="29" t="s">
        <v>1390</v>
      </c>
      <c r="AH27" s="29" t="s">
        <v>1391</v>
      </c>
      <c r="AI27" s="29" t="s">
        <v>1392</v>
      </c>
      <c r="AQ27" s="30" t="str">
        <f t="shared" si="0"/>
        <v>"D810": {"Name": "D810", "Year": 2014, "Processor": "EXPEED 4", "Sensor": {"Name": "Sony IMX-094-AQP", "Type": "CMOS (Without AA filter)", "Bayer": "", "BitDepth": 14, "ResX": 7360, "ResY": 4912, "SizeX": 35.9, "SizeY": 24, "PixelSizeX": 4.88, "PixelSizeY": 4.88}, "CropSubSampling": [{"Crop": "FX", "Subs": {"Size L": {"ResX": 7360, "ResY": 4912}, "Size M": {"ResX": 5520, "ResY": 3680}, "Size S": {"ResX": 3680, "ResY": 2456}}}, {"Crop": "DX", "Subs": {"Size L": {"ResX": 4800, "ResY": 3200}, "Size M": {"ResX": 3600, "ResY": 2400}, "Size S": {"ResX": 2400, "ResY": 1600}}}, {"Crop": "5:4", "Subs": {"Size L": {"ResX": 6144, "ResY": 4912}, "Size M": {"ResX": 4608, "ResY": 3680}, "Size S": {"ResX": 3072, "ResY": 2456}}}, {"Crop": "1.2x", "Subs": {"Size L": {"ResX": 6144, "ResY": 4080}, "Size M": {"ResX": 4608, "ResY": 3056}, "Size S": {"ResX": 3072, "ResY": 2040}}}]}</v>
      </c>
      <c r="AR27" s="30" t="str" cm="1">
        <f t="array" ref="AR27">_xlfn.LET(_xlpm.crop,$R$2:$AO$2,_xlpm.size,$R$3:$AO$3,_xlpm.value,R27:AO27,_xlpm.vf,_xlfn.MAP(_xlpm.size,_xlpm.value,_xlfn.LAMBDA(_xlpm.s,_xlpm.v,IF(_xlpm.v="","",""""&amp;_xlpm.s&amp;""":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7360, "ResY": 4912}, "Size M": {"ResX": 5520, "ResY": 3680}, "Size S": {"ResX": 3680, "ResY": 2456}}}, {"Crop": "DX", "Subs": {"Size L": {"ResX": 4800, "ResY": 3200}, "Size M": {"ResX": 3600, "ResY": 2400}, "Size S": {"ResX": 2400, "ResY": 1600}}}, {"Crop": "5:4", "Subs": {"Size L": {"ResX": 6144, "ResY": 4912}, "Size M": {"ResX": 4608, "ResY": 3680}, "Size S": {"ResX": 3072, "ResY": 2456}}}, {"Crop": "1.2x", "Subs": {"Size L": {"ResX": 6144, "ResY": 4080}, "Size M": {"ResX": 4608, "ResY": 3056}, "Size S": {"ResX": 3072, "ResY": 2040}}}]</v>
      </c>
    </row>
    <row r="28" spans="1:44" ht="33.75" x14ac:dyDescent="0.25">
      <c r="A28" s="26" t="s">
        <v>1219</v>
      </c>
      <c r="B28" s="26" t="s">
        <v>1219</v>
      </c>
      <c r="C28" s="15">
        <v>2015</v>
      </c>
      <c r="D28" s="15" t="s">
        <v>1282</v>
      </c>
      <c r="F28" s="29" t="s">
        <v>1447</v>
      </c>
      <c r="G28" s="27" t="s">
        <v>1277</v>
      </c>
      <c r="I28" s="15">
        <v>14</v>
      </c>
      <c r="J28" s="15">
        <v>7360</v>
      </c>
      <c r="K28" s="15">
        <v>4912</v>
      </c>
      <c r="L28" s="15">
        <v>35.9</v>
      </c>
      <c r="M28" s="15">
        <v>24</v>
      </c>
      <c r="N28" s="15">
        <v>4.88</v>
      </c>
      <c r="O28" s="15">
        <v>4.88</v>
      </c>
      <c r="Q28" s="27" t="s">
        <v>1383</v>
      </c>
      <c r="R28" s="29" t="s">
        <v>1384</v>
      </c>
      <c r="S28" s="29" t="s">
        <v>1385</v>
      </c>
      <c r="T28" s="29" t="s">
        <v>1386</v>
      </c>
      <c r="U28" s="29" t="s">
        <v>1369</v>
      </c>
      <c r="V28" s="29" t="s">
        <v>1370</v>
      </c>
      <c r="W28" s="29" t="s">
        <v>1371</v>
      </c>
      <c r="AD28" s="29" t="s">
        <v>1387</v>
      </c>
      <c r="AE28" s="29" t="s">
        <v>1388</v>
      </c>
      <c r="AF28" s="29" t="s">
        <v>1389</v>
      </c>
      <c r="AG28" s="29" t="s">
        <v>1390</v>
      </c>
      <c r="AH28" s="29" t="s">
        <v>1391</v>
      </c>
      <c r="AI28" s="29" t="s">
        <v>1392</v>
      </c>
      <c r="AQ28" s="30" t="str">
        <f t="shared" si="0"/>
        <v>"D810A": {"Name": "D810A", "Year": 2015, "Processor": "EXPEED 4", "Sensor": {"Name": "Sony IMX-094-AQP", "Type": "CMOS (Without AA filter)", "Bayer": "", "BitDepth": 14, "ResX": 7360, "ResY": 4912, "SizeX": 35.9, "SizeY": 24, "PixelSizeX": 4.88, "PixelSizeY": 4.88}, "CropSubSampling": [{"Crop": "FX", "Subs": {"Size L": {"ResX": 7360, "ResY": 4912}, "Size M": {"ResX": 5520, "ResY": 3680}, "Size S": {"ResX": 3680, "ResY": 2456}}}, {"Crop": "DX", "Subs": {"Size L": {"ResX": 4800, "ResY": 3200}, "Size M": {"ResX": 3600, "ResY": 2400}, "Size S": {"ResX": 2400, "ResY": 1600}}}, {"Crop": "5:4", "Subs": {"Size L": {"ResX": 6144, "ResY": 4912}, "Size M": {"ResX": 4608, "ResY": 3680}, "Size S": {"ResX": 3072, "ResY": 2456}}}, {"Crop": "1.2x", "Subs": {"Size L": {"ResX": 6144, "ResY": 4080}, "Size M": {"ResX": 4608, "ResY": 3056}, "Size S": {"ResX": 3072, "ResY": 2040}}}]}</v>
      </c>
      <c r="AR28" s="30" t="str" cm="1">
        <f t="array" ref="AR28">_xlfn.LET(_xlpm.crop,$R$2:$AO$2,_xlpm.size,$R$3:$AO$3,_xlpm.value,R28:AO28,_xlpm.vf,_xlfn.MAP(_xlpm.size,_xlpm.value,_xlfn.LAMBDA(_xlpm.s,_xlpm.v,IF(_xlpm.v="","",""""&amp;_xlpm.s&amp;""":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7360, "ResY": 4912}, "Size M": {"ResX": 5520, "ResY": 3680}, "Size S": {"ResX": 3680, "ResY": 2456}}}, {"Crop": "DX", "Subs": {"Size L": {"ResX": 4800, "ResY": 3200}, "Size M": {"ResX": 3600, "ResY": 2400}, "Size S": {"ResX": 2400, "ResY": 1600}}}, {"Crop": "5:4", "Subs": {"Size L": {"ResX": 6144, "ResY": 4912}, "Size M": {"ResX": 4608, "ResY": 3680}, "Size S": {"ResX": 3072, "ResY": 2456}}}, {"Crop": "1.2x", "Subs": {"Size L": {"ResX": 6144, "ResY": 4080}, "Size M": {"ResX": 4608, "ResY": 3056}, "Size S": {"ResX": 3072, "ResY": 2040}}}]</v>
      </c>
    </row>
    <row r="29" spans="1:44" ht="33.75" x14ac:dyDescent="0.25">
      <c r="A29" s="26" t="s">
        <v>1220</v>
      </c>
      <c r="B29" s="26" t="s">
        <v>1220</v>
      </c>
      <c r="C29" s="15">
        <v>2017</v>
      </c>
      <c r="D29" s="15" t="s">
        <v>1281</v>
      </c>
      <c r="F29" s="29" t="s">
        <v>1459</v>
      </c>
      <c r="G29" s="27" t="s">
        <v>1258</v>
      </c>
      <c r="I29" s="15">
        <v>14</v>
      </c>
      <c r="J29" s="15">
        <v>8256</v>
      </c>
      <c r="K29" s="15">
        <v>5504</v>
      </c>
      <c r="L29" s="15">
        <v>35.9</v>
      </c>
      <c r="M29" s="15">
        <v>23.9</v>
      </c>
      <c r="N29" s="15">
        <v>4.3499999999999996</v>
      </c>
      <c r="O29" s="15">
        <v>4.3499999999999996</v>
      </c>
      <c r="Q29" s="27" t="s">
        <v>1379</v>
      </c>
      <c r="R29" s="29" t="s">
        <v>1312</v>
      </c>
      <c r="S29" s="29" t="s">
        <v>1313</v>
      </c>
      <c r="T29" s="29" t="s">
        <v>1314</v>
      </c>
      <c r="U29" s="29" t="s">
        <v>1337</v>
      </c>
      <c r="V29" s="29" t="s">
        <v>1338</v>
      </c>
      <c r="W29" s="29" t="s">
        <v>1339</v>
      </c>
      <c r="AD29" s="29" t="s">
        <v>1340</v>
      </c>
      <c r="AE29" s="29" t="s">
        <v>1341</v>
      </c>
      <c r="AF29" s="29" t="s">
        <v>1342</v>
      </c>
      <c r="AG29" s="29" t="s">
        <v>1380</v>
      </c>
      <c r="AH29" s="29" t="s">
        <v>1381</v>
      </c>
      <c r="AI29" s="29" t="s">
        <v>1382</v>
      </c>
      <c r="AJ29" s="29" t="s">
        <v>1318</v>
      </c>
      <c r="AK29" s="29" t="s">
        <v>1319</v>
      </c>
      <c r="AL29" s="29" t="s">
        <v>1320</v>
      </c>
      <c r="AQ29" s="30" t="str">
        <f t="shared" si="0"/>
        <v>"D850": {"Name": "D850", "Year": 2017, "Processor": "EXPEED 5", "Sensor": {"Name": "Sony IMX-309-AQJ", "Type": "BSI-CMOS (without AA filter)", "Bayer": "", "BitDepth": 14, "ResX": 8256, "ResY": 5504, "SizeX": 35.9, "SizeY": 23.9, "PixelSizeX": 4.35, "PixelSizeY": 4.35}, "CropSubSampling": [{"Crop": "FX", "Subs": {"Size L": {"ResX": 8256, "ResY": 5504}, "Size M": {"ResX": 6192, "ResY": 4128}, "Size S": {"ResX": 4128, "ResY": 2752}}}, {"Crop": "DX", "Subs": {"Size L": {"ResX": 5408, "ResY": 3600}, "Size M": {"ResX": 4048, "ResY": 2696}, "Size S": {"ResX": 2704, "ResY": 1800}}}, {"Crop": "5:4", "Subs": {"Size L": {"ResX": 6880, "ResY": 5504}, "Size M": {"ResX": 5152, "ResY": 4120}, "Size S": {"ResX": 3440, "ResY": 2752}}}, {"Crop": "1.2x", "Subs": {"Size L": {"ResX": 6880, "ResY": 4584}, "Size M": {"ResX": 5152, "ResY": 3432}, "Size S": {"ResX": 3440, "ResY": 2288}}}, {"Crop": "1:1", "Subs": {"Size L": {"ResX": 5504, "ResY": 5504}, "Size M": {"ResX": 4128, "ResY": 4128}, "Size S": {"ResX": 2752, "ResY": 2752}}}]}</v>
      </c>
      <c r="AR29" s="30" t="str" cm="1">
        <f t="array" ref="AR29">_xlfn.LET(_xlpm.crop,$R$2:$AO$2,_xlpm.size,$R$3:$AO$3,_xlpm.value,R29:AO29,_xlpm.vf,_xlfn.MAP(_xlpm.size,_xlpm.value,_xlfn.LAMBDA(_xlpm.s,_xlpm.v,IF(_xlpm.v="","",""""&amp;_xlpm.s&amp;""":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8256, "ResY": 5504}, "Size M": {"ResX": 6192, "ResY": 4128}, "Size S": {"ResX": 4128, "ResY": 2752}}}, {"Crop": "DX", "Subs": {"Size L": {"ResX": 5408, "ResY": 3600}, "Size M": {"ResX": 4048, "ResY": 2696}, "Size S": {"ResX": 2704, "ResY": 1800}}}, {"Crop": "5:4", "Subs": {"Size L": {"ResX": 6880, "ResY": 5504}, "Size M": {"ResX": 5152, "ResY": 4120}, "Size S": {"ResX": 3440, "ResY": 2752}}}, {"Crop": "1.2x", "Subs": {"Size L": {"ResX": 6880, "ResY": 4584}, "Size M": {"ResX": 5152, "ResY": 3432}, "Size S": {"ResX": 3440, "ResY": 2288}}}, {"Crop": "1:1", "Subs": {"Size L": {"ResX": 5504, "ResY": 5504}, "Size M": {"ResX": 4128, "ResY": 4128}, "Size S": {"ResX": 2752, "ResY": 2752}}}]</v>
      </c>
    </row>
    <row r="30" spans="1:44" x14ac:dyDescent="0.25">
      <c r="A30" s="26" t="s">
        <v>1468</v>
      </c>
      <c r="B30" s="26" t="s">
        <v>1468</v>
      </c>
      <c r="C30" s="15">
        <v>2009</v>
      </c>
      <c r="D30" s="15" t="s">
        <v>1286</v>
      </c>
      <c r="F30" s="29" t="s">
        <v>1453</v>
      </c>
      <c r="G30" s="27" t="s">
        <v>1288</v>
      </c>
      <c r="I30" s="15">
        <v>12</v>
      </c>
      <c r="J30" s="15">
        <v>3872</v>
      </c>
      <c r="K30" s="15">
        <v>2592</v>
      </c>
      <c r="L30" s="15">
        <v>23.9</v>
      </c>
      <c r="M30" s="15">
        <v>15.8</v>
      </c>
      <c r="N30" s="15">
        <v>6.11</v>
      </c>
      <c r="O30" s="15">
        <v>6.11</v>
      </c>
      <c r="U30" s="29" t="s">
        <v>1434</v>
      </c>
      <c r="V30" s="29" t="s">
        <v>1435</v>
      </c>
      <c r="W30" s="29" t="s">
        <v>1436</v>
      </c>
      <c r="AQ30" s="30" t="str">
        <f>""""&amp;B30&amp;""": {"&amp;"""Name"": "&amp;""""&amp;A30&amp;""", "&amp;"""Year"": "&amp;C30&amp;", "&amp;"""Processor"": "&amp;""""&amp;D30&amp;""", "&amp;"""Sensor"": {"&amp;"""Name"": "&amp;""""&amp;F30&amp;""", "&amp;"""Type"": "&amp;""""&amp;G29&amp;""", "&amp;"""Bayer"": "&amp;""""&amp;H30&amp;""", "&amp;"""BitDepth"": "&amp;""&amp;I30&amp;", "&amp;"""ResX"": "&amp;""&amp;J30&amp;", "&amp;"""ResY"": "&amp;""&amp;K30&amp;", "&amp;"""SizeX"": "&amp;""&amp;SUBSTITUTE(L30,",",".")&amp;", "&amp;"""SizeY"": "&amp;""&amp;SUBSTITUTE(M30,",",".")&amp;", "&amp;"""PixelSizeX"": "&amp;""&amp;SUBSTITUTE(N30,",",".")&amp;", "&amp;"""PixelSizeY"": "&amp;""&amp;SUBSTITUTE(O30,",",".")&amp;"}, "&amp;AR30&amp;"}"</f>
        <v>"D3000": {"Name": "D3000", "Year": 2009, "Processor": "EXPEED", "Sensor": {"Name": "Sony ICX-493-AQA", "Type": "BSI-CMOS (without AA filter)", "Bayer": "", "BitDepth": 12, "ResX": 3872, "ResY": 2592, "SizeX": 23.9, "SizeY": 15.8, "PixelSizeX": 6.11, "PixelSizeY": 6.11}, }</v>
      </c>
    </row>
    <row r="31" spans="1:44" x14ac:dyDescent="0.25">
      <c r="A31" s="26" t="s">
        <v>1467</v>
      </c>
      <c r="B31" s="26" t="s">
        <v>1467</v>
      </c>
      <c r="C31" s="15">
        <v>2010</v>
      </c>
      <c r="D31" s="15" t="s">
        <v>1284</v>
      </c>
      <c r="F31" s="29" t="s">
        <v>1470</v>
      </c>
      <c r="G31" s="27" t="s">
        <v>1272</v>
      </c>
      <c r="I31" s="15">
        <v>12</v>
      </c>
      <c r="J31" s="15">
        <v>4608</v>
      </c>
      <c r="K31" s="15">
        <v>3072</v>
      </c>
      <c r="L31" s="15">
        <v>23.1</v>
      </c>
      <c r="M31" s="15">
        <v>15.4</v>
      </c>
      <c r="N31" s="15">
        <v>5.01</v>
      </c>
      <c r="O31" s="15">
        <v>5.01</v>
      </c>
      <c r="U31" s="29" t="s">
        <v>1473</v>
      </c>
      <c r="V31" s="29" t="s">
        <v>1474</v>
      </c>
      <c r="W31" s="29" t="s">
        <v>1475</v>
      </c>
      <c r="AQ31" s="30" t="str">
        <f>""""&amp;B31&amp;""": {"&amp;"""Name"": "&amp;""""&amp;A31&amp;""", "&amp;"""Year"": "&amp;C31&amp;", "&amp;"""Processor"": "&amp;""""&amp;D31&amp;""", "&amp;"""Sensor"": {"&amp;"""Name"": "&amp;""""&amp;F31&amp;""", "&amp;"""Type"": "&amp;""""&amp;G30&amp;""", "&amp;"""Bayer"": "&amp;""""&amp;H31&amp;""", "&amp;"""BitDepth"": "&amp;""&amp;I31&amp;", "&amp;"""ResX"": "&amp;""&amp;J31&amp;", "&amp;"""ResY"": "&amp;""&amp;K31&amp;", "&amp;"""SizeX"": "&amp;""&amp;SUBSTITUTE(L31,",",".")&amp;", "&amp;"""SizeY"": "&amp;""&amp;SUBSTITUTE(M31,",",".")&amp;", "&amp;"""PixelSizeX"": "&amp;""&amp;SUBSTITUTE(N31,",",".")&amp;", "&amp;"""PixelSizeY"": "&amp;""&amp;SUBSTITUTE(O31,",",".")&amp;"}, "&amp;AR31&amp;"}"</f>
        <v>"D3100": {"Name": "D3100", "Year": 2010, "Processor": "EXPEED 2", "Sensor": {"Name": "Nikon NC81362A", "Type": "CCD", "Bayer": "", "BitDepth": 12, "ResX": 4608, "ResY": 3072, "SizeX": 23.1, "SizeY": 15.4, "PixelSizeX": 5.01, "PixelSizeY": 5.01}, }</v>
      </c>
    </row>
    <row r="32" spans="1:44" x14ac:dyDescent="0.25">
      <c r="A32" s="26" t="s">
        <v>1466</v>
      </c>
      <c r="B32" s="26" t="s">
        <v>1466</v>
      </c>
      <c r="C32" s="15">
        <v>2012</v>
      </c>
      <c r="D32" s="15" t="s">
        <v>1280</v>
      </c>
      <c r="F32" s="29" t="s">
        <v>1469</v>
      </c>
      <c r="G32" s="27" t="s">
        <v>1272</v>
      </c>
      <c r="I32" s="15">
        <v>12</v>
      </c>
      <c r="J32" s="15">
        <v>6016</v>
      </c>
      <c r="K32" s="15">
        <v>4000</v>
      </c>
      <c r="L32" s="15">
        <v>23.2</v>
      </c>
      <c r="M32" s="15">
        <v>15.4</v>
      </c>
      <c r="N32" s="15">
        <v>3.85</v>
      </c>
      <c r="O32" s="15">
        <v>3.85</v>
      </c>
      <c r="U32" s="29" t="s">
        <v>1471</v>
      </c>
      <c r="V32" s="29" t="s">
        <v>1472</v>
      </c>
      <c r="W32" s="29" t="s">
        <v>1431</v>
      </c>
      <c r="AQ32" s="30" t="str">
        <f>""""&amp;B32&amp;""": {"&amp;"""Name"": "&amp;""""&amp;A32&amp;""", "&amp;"""Year"": "&amp;C32&amp;", "&amp;"""Processor"": "&amp;""""&amp;D32&amp;""", "&amp;"""Sensor"": {"&amp;"""Name"": "&amp;""""&amp;F32&amp;""", "&amp;"""Type"": "&amp;""""&amp;G31&amp;""", "&amp;"""Bayer"": "&amp;""""&amp;H32&amp;""", "&amp;"""BitDepth"": "&amp;""&amp;I32&amp;", "&amp;"""ResX"": "&amp;""&amp;J32&amp;", "&amp;"""ResY"": "&amp;""&amp;K32&amp;", "&amp;"""SizeX"": "&amp;""&amp;SUBSTITUTE(L32,",",".")&amp;", "&amp;"""SizeY"": "&amp;""&amp;SUBSTITUTE(M32,",",".")&amp;", "&amp;"""PixelSizeX"": "&amp;""&amp;SUBSTITUTE(N32,",",".")&amp;", "&amp;"""PixelSizeY"": "&amp;""&amp;SUBSTITUTE(O32,",",".")&amp;"}, "&amp;AR32&amp;"}"</f>
        <v>"D3200": {"Name": "D3200", "Year": 2012, "Processor": "EXPEED 3", "Sensor": {"Name": "Nikon NC81369R", "Type": "CMOS", "Bayer": "", "BitDepth": 12, "ResX": 6016, "ResY": 4000, "SizeX": 23.2, "SizeY": 15.4, "PixelSizeX": 3.85, "PixelSizeY": 3.85}, }</v>
      </c>
    </row>
    <row r="33" spans="1:44" ht="33.75" x14ac:dyDescent="0.25">
      <c r="A33" s="26" t="s">
        <v>1465</v>
      </c>
      <c r="B33" s="26" t="s">
        <v>1465</v>
      </c>
      <c r="C33" s="15">
        <v>2014</v>
      </c>
      <c r="D33" s="15" t="s">
        <v>1282</v>
      </c>
      <c r="F33" s="29" t="s">
        <v>1455</v>
      </c>
      <c r="G33" s="27" t="s">
        <v>1277</v>
      </c>
      <c r="I33" s="15">
        <v>12</v>
      </c>
      <c r="J33" s="15">
        <v>6000</v>
      </c>
      <c r="K33" s="15">
        <v>4000</v>
      </c>
      <c r="L33" s="15">
        <v>23.5</v>
      </c>
      <c r="M33" s="15">
        <v>15.6</v>
      </c>
      <c r="N33" s="15">
        <v>3.91</v>
      </c>
      <c r="O33" s="15">
        <v>3.91</v>
      </c>
      <c r="U33" s="29" t="s">
        <v>1366</v>
      </c>
      <c r="V33" s="29" t="s">
        <v>1367</v>
      </c>
      <c r="W33" s="29" t="s">
        <v>1368</v>
      </c>
      <c r="AQ33" s="30" t="str">
        <f>""""&amp;B33&amp;""": {"&amp;"""Name"": "&amp;""""&amp;A33&amp;""", "&amp;"""Year"": "&amp;C33&amp;", "&amp;"""Processor"": "&amp;""""&amp;D33&amp;""", "&amp;"""Sensor"": {"&amp;"""Name"": "&amp;""""&amp;F33&amp;""", "&amp;"""Type"": "&amp;""""&amp;G32&amp;""", "&amp;"""Bayer"": "&amp;""""&amp;H33&amp;""", "&amp;"""BitDepth"": "&amp;""&amp;I33&amp;", "&amp;"""ResX"": "&amp;""&amp;J33&amp;", "&amp;"""ResY"": "&amp;""&amp;K33&amp;", "&amp;"""SizeX"": "&amp;""&amp;SUBSTITUTE(L33,",",".")&amp;", "&amp;"""SizeY"": "&amp;""&amp;SUBSTITUTE(M33,",",".")&amp;", "&amp;"""PixelSizeX"": "&amp;""&amp;SUBSTITUTE(N33,",",".")&amp;", "&amp;"""PixelSizeY"": "&amp;""&amp;SUBSTITUTE(O33,",",".")&amp;"}, "&amp;AR33&amp;"}"</f>
        <v>"D3300": {"Name": "D3300", "Year": 2014, "Processor": "EXPEED 4", "Sensor": {"Name": "Sony IMX-193-AQK", "Type": "CMOS", "Bayer": "", "BitDepth": 12, "ResX": 6000, "ResY": 4000, "SizeX": 23.5, "SizeY": 15.6, "PixelSizeX": 3.91, "PixelSizeY": 3.91}, }</v>
      </c>
    </row>
    <row r="34" spans="1:44" ht="33.75" x14ac:dyDescent="0.25">
      <c r="A34" s="26" t="s">
        <v>1464</v>
      </c>
      <c r="B34" s="26" t="s">
        <v>1464</v>
      </c>
      <c r="C34" s="15">
        <v>2016</v>
      </c>
      <c r="D34" s="15" t="s">
        <v>1282</v>
      </c>
      <c r="F34" s="29" t="s">
        <v>1455</v>
      </c>
      <c r="G34" s="27" t="s">
        <v>1277</v>
      </c>
      <c r="I34" s="15">
        <v>12</v>
      </c>
      <c r="J34" s="15">
        <v>6000</v>
      </c>
      <c r="K34" s="15">
        <v>4000</v>
      </c>
      <c r="L34" s="15">
        <v>23.5</v>
      </c>
      <c r="M34" s="15">
        <v>15.6</v>
      </c>
      <c r="N34" s="15">
        <v>3.91</v>
      </c>
      <c r="O34" s="15">
        <v>3.91</v>
      </c>
      <c r="U34" s="29" t="s">
        <v>1366</v>
      </c>
      <c r="V34" s="29" t="s">
        <v>1367</v>
      </c>
      <c r="W34" s="29" t="s">
        <v>1368</v>
      </c>
      <c r="AQ34" s="30" t="str">
        <f>""""&amp;B34&amp;""": {"&amp;"""Name"": "&amp;""""&amp;A34&amp;""", "&amp;"""Year"": "&amp;C34&amp;", "&amp;"""Processor"": "&amp;""""&amp;D34&amp;""", "&amp;"""Sensor"": {"&amp;"""Name"": "&amp;""""&amp;F34&amp;""", "&amp;"""Type"": "&amp;""""&amp;G33&amp;""", "&amp;"""Bayer"": "&amp;""""&amp;H34&amp;""", "&amp;"""BitDepth"": "&amp;""&amp;I34&amp;", "&amp;"""ResX"": "&amp;""&amp;J34&amp;", "&amp;"""ResY"": "&amp;""&amp;K34&amp;", "&amp;"""SizeX"": "&amp;""&amp;SUBSTITUTE(L34,",",".")&amp;", "&amp;"""SizeY"": "&amp;""&amp;SUBSTITUTE(M34,",",".")&amp;", "&amp;"""PixelSizeX"": "&amp;""&amp;SUBSTITUTE(N34,",",".")&amp;", "&amp;"""PixelSizeY"": "&amp;""&amp;SUBSTITUTE(O34,",",".")&amp;"}, "&amp;AR34&amp;"}"</f>
        <v>"D3400": {"Name": "D3400", "Year": 2016, "Processor": "EXPEED 4", "Sensor": {"Name": "Sony IMX-193-AQK", "Type": "CMOS (Without AA filter)", "Bayer": "", "BitDepth": 12, "ResX": 6000, "ResY": 4000, "SizeX": 23.5, "SizeY": 15.6, "PixelSizeX": 3.91, "PixelSizeY": 3.91}, }</v>
      </c>
    </row>
    <row r="35" spans="1:44" ht="33.75" x14ac:dyDescent="0.25">
      <c r="A35" s="26" t="s">
        <v>1463</v>
      </c>
      <c r="B35" s="26" t="s">
        <v>1463</v>
      </c>
      <c r="C35" s="15">
        <v>2018</v>
      </c>
      <c r="D35" s="15" t="s">
        <v>1282</v>
      </c>
      <c r="F35" s="29" t="s">
        <v>1455</v>
      </c>
      <c r="G35" s="27" t="s">
        <v>1277</v>
      </c>
      <c r="I35" s="15">
        <v>12</v>
      </c>
      <c r="J35" s="15">
        <v>6000</v>
      </c>
      <c r="K35" s="15">
        <v>4000</v>
      </c>
      <c r="L35" s="15">
        <v>23.5</v>
      </c>
      <c r="M35" s="15">
        <v>15.6</v>
      </c>
      <c r="N35" s="15">
        <v>3.91</v>
      </c>
      <c r="O35" s="15">
        <v>3.91</v>
      </c>
      <c r="U35" s="29" t="s">
        <v>1366</v>
      </c>
      <c r="V35" s="29" t="s">
        <v>1367</v>
      </c>
      <c r="W35" s="29" t="s">
        <v>1368</v>
      </c>
      <c r="AQ35" s="30" t="str">
        <f>""""&amp;B35&amp;""": {"&amp;"""Name"": "&amp;""""&amp;A35&amp;""", "&amp;"""Year"": "&amp;C35&amp;", "&amp;"""Processor"": "&amp;""""&amp;D35&amp;""", "&amp;"""Sensor"": {"&amp;"""Name"": "&amp;""""&amp;F35&amp;""", "&amp;"""Type"": "&amp;""""&amp;G34&amp;""", "&amp;"""Bayer"": "&amp;""""&amp;H35&amp;""", "&amp;"""BitDepth"": "&amp;""&amp;I35&amp;", "&amp;"""ResX"": "&amp;""&amp;J35&amp;", "&amp;"""ResY"": "&amp;""&amp;K35&amp;", "&amp;"""SizeX"": "&amp;""&amp;SUBSTITUTE(L35,",",".")&amp;", "&amp;"""SizeY"": "&amp;""&amp;SUBSTITUTE(M35,",",".")&amp;", "&amp;"""PixelSizeX"": "&amp;""&amp;SUBSTITUTE(N35,",",".")&amp;", "&amp;"""PixelSizeY"": "&amp;""&amp;SUBSTITUTE(O35,",",".")&amp;"}, "&amp;AR35&amp;"}"</f>
        <v>"D3500": {"Name": "D3500", "Year": 2018, "Processor": "EXPEED 4", "Sensor": {"Name": "Sony IMX-193-AQK", "Type": "CMOS (Without AA filter)", "Bayer": "", "BitDepth": 12, "ResX": 6000, "ResY": 4000, "SizeX": 23.5, "SizeY": 15.6, "PixelSizeX": 3.91, "PixelSizeY": 3.91}, }</v>
      </c>
    </row>
    <row r="36" spans="1:44" x14ac:dyDescent="0.25">
      <c r="A36" s="26" t="s">
        <v>1221</v>
      </c>
      <c r="B36" s="26" t="s">
        <v>1221</v>
      </c>
      <c r="C36" s="15">
        <v>2009</v>
      </c>
      <c r="D36" s="15" t="s">
        <v>1286</v>
      </c>
      <c r="F36" s="29" t="s">
        <v>1449</v>
      </c>
      <c r="G36" s="27" t="s">
        <v>1272</v>
      </c>
      <c r="I36" s="15">
        <v>12</v>
      </c>
      <c r="J36" s="15">
        <v>4288</v>
      </c>
      <c r="K36" s="15">
        <v>2848</v>
      </c>
      <c r="L36" s="15">
        <v>23.6</v>
      </c>
      <c r="M36" s="15">
        <v>15.8</v>
      </c>
      <c r="N36" s="15">
        <v>5.53</v>
      </c>
      <c r="O36" s="15">
        <v>5.53</v>
      </c>
      <c r="U36" s="29" t="s">
        <v>1375</v>
      </c>
      <c r="V36" s="29" t="s">
        <v>1376</v>
      </c>
      <c r="W36" s="29" t="s">
        <v>1377</v>
      </c>
      <c r="AQ36" s="30" t="str">
        <f t="shared" si="0"/>
        <v>"D5000": {"Name": "D5000", "Year": 2009, "Processor": "EXPEED", "Sensor": {"Name": "Sony IMX-038-BQL", "Type": "CMOS", "Bayer": "", "BitDepth": 12, "ResX": 4288, "ResY": 2848, "SizeX": 23.6, "SizeY": 15.8, "PixelSizeX": 5.53, "PixelSizeY": 5.53}, "CropSubSampling": [{"Crop": "DX", "Subs": {"Size L": {"ResX": 4288, "ResY": 2848}, "Size M": {"ResX": 3216, "ResY": 2136}, "Size S": {"ResX": 2144, "ResY": 1424}}}]}</v>
      </c>
      <c r="AR36" s="30" t="str" cm="1">
        <f t="array" ref="AR36">_xlfn.LET(_xlpm.crop,$R$2:$AO$2,_xlpm.size,$R$3:$AO$3,_xlpm.value,R36:AO36,_xlpm.vf,_xlfn.MAP(_xlpm.size,_xlpm.value,_xlfn.LAMBDA(_xlpm.s,_xlpm.v,IF(_xlpm.v="","",""""&amp;_xlpm.s&amp;""":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4288, "ResY": 2848}, "Size M": {"ResX": 3216, "ResY": 2136}, "Size S": {"ResX": 2144, "ResY": 1424}}}]</v>
      </c>
    </row>
    <row r="37" spans="1:44" x14ac:dyDescent="0.25">
      <c r="A37" s="26" t="s">
        <v>1222</v>
      </c>
      <c r="B37" s="26" t="s">
        <v>1222</v>
      </c>
      <c r="C37" s="15">
        <v>2011</v>
      </c>
      <c r="D37" s="15" t="s">
        <v>1284</v>
      </c>
      <c r="F37" s="29" t="s">
        <v>1283</v>
      </c>
      <c r="G37" s="27" t="s">
        <v>1272</v>
      </c>
      <c r="I37" s="15">
        <v>14</v>
      </c>
      <c r="J37" s="15">
        <v>4928</v>
      </c>
      <c r="K37" s="15">
        <v>3264</v>
      </c>
      <c r="L37" s="15">
        <v>23.6</v>
      </c>
      <c r="M37" s="15">
        <v>15.6</v>
      </c>
      <c r="N37" s="15">
        <v>4.78</v>
      </c>
      <c r="O37" s="15">
        <v>4.78</v>
      </c>
      <c r="U37" s="29" t="s">
        <v>1372</v>
      </c>
      <c r="V37" s="29" t="s">
        <v>1373</v>
      </c>
      <c r="W37" s="29" t="s">
        <v>1374</v>
      </c>
      <c r="AQ37" s="30" t="str">
        <f t="shared" si="0"/>
        <v>"D5100": {"Name": "D5100", "Year": 2011, "Processor": "EXPEED 2", "Sensor": {"Name": "Sony IMX071", "Type": "CMOS", "Bayer": "", "BitDepth": 14, "ResX": 4928, "ResY": 3264, "SizeX": 23.6, "SizeY": 15.6, "PixelSizeX": 4.78, "PixelSizeY": 4.78}, "CropSubSampling": [{"Crop": "DX", "Subs": {"Size L": {"ResX": 4928, "ResY": 3264}, "Size M": {"ResX": 3696, "ResY": 2448}, "Size S": {"ResX": 2464, "ResY": 1632}}}]}</v>
      </c>
      <c r="AR37" s="30" t="str" cm="1">
        <f t="array" ref="AR37">_xlfn.LET(_xlpm.crop,$R$2:$AO$2,_xlpm.size,$R$3:$AO$3,_xlpm.value,R37:AO37,_xlpm.vf,_xlfn.MAP(_xlpm.size,_xlpm.value,_xlfn.LAMBDA(_xlpm.s,_xlpm.v,IF(_xlpm.v="","",""""&amp;_xlpm.s&amp;""":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4928, "ResY": 3264}, "Size M": {"ResX": 3696, "ResY": 2448}, "Size S": {"ResX": 2464, "ResY": 1632}}}]</v>
      </c>
    </row>
    <row r="38" spans="1:44" x14ac:dyDescent="0.25">
      <c r="A38" s="26" t="s">
        <v>1223</v>
      </c>
      <c r="B38" s="26" t="s">
        <v>1223</v>
      </c>
      <c r="C38" s="15">
        <v>2012</v>
      </c>
      <c r="D38" s="15" t="s">
        <v>1280</v>
      </c>
      <c r="F38" s="29" t="s">
        <v>1456</v>
      </c>
      <c r="G38" s="27" t="s">
        <v>1272</v>
      </c>
      <c r="I38" s="15">
        <v>14</v>
      </c>
      <c r="J38" s="15">
        <v>6000</v>
      </c>
      <c r="K38" s="15">
        <v>4000</v>
      </c>
      <c r="L38" s="15">
        <v>23.5</v>
      </c>
      <c r="M38" s="15">
        <v>15.6</v>
      </c>
      <c r="N38" s="15">
        <v>3.91</v>
      </c>
      <c r="O38" s="15">
        <v>3.91</v>
      </c>
      <c r="U38" s="29" t="s">
        <v>1366</v>
      </c>
      <c r="V38" s="29" t="s">
        <v>1367</v>
      </c>
      <c r="W38" s="29" t="s">
        <v>1368</v>
      </c>
      <c r="AQ38" s="30" t="str">
        <f t="shared" si="0"/>
        <v>"D5200": {"Name": "D5200", "Year": 2012, "Processor": "EXPEED 3", "Sensor": {"Name": "Toshiba HEZ1 TOS-5105", "Type": "CMOS", "Bayer": "", "BitDepth": 14, "ResX": 6000, "ResY": 4000, "SizeX": 23.5, "SizeY": 15.6, "PixelSizeX": 3.91, "PixelSizeY": 3.91}, "CropSubSampling": [{"Crop": "DX", "Subs": {"Size L": {"ResX": 6000, "ResY": 4000}, "Size M": {"ResX": 4496, "ResY": 3000}, "Size S": {"ResX": 2992, "ResY": 2000}}}]}</v>
      </c>
      <c r="AR38" s="30" t="str" cm="1">
        <f t="array" ref="AR38">_xlfn.LET(_xlpm.crop,$R$2:$AO$2,_xlpm.size,$R$3:$AO$3,_xlpm.value,R38:AO38,_xlpm.vf,_xlfn.MAP(_xlpm.size,_xlpm.value,_xlfn.LAMBDA(_xlpm.s,_xlpm.v,IF(_xlpm.v="","",""""&amp;_xlpm.s&amp;""":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6000, "ResY": 4000}, "Size M": {"ResX": 4496, "ResY": 3000}, "Size S": {"ResX": 2992, "ResY": 2000}}}]</v>
      </c>
    </row>
    <row r="39" spans="1:44" ht="33.75" x14ac:dyDescent="0.25">
      <c r="A39" s="26" t="s">
        <v>1224</v>
      </c>
      <c r="B39" s="26" t="s">
        <v>1224</v>
      </c>
      <c r="C39" s="15">
        <v>2013</v>
      </c>
      <c r="D39" s="15" t="s">
        <v>1282</v>
      </c>
      <c r="F39" s="29" t="s">
        <v>1455</v>
      </c>
      <c r="G39" s="27" t="s">
        <v>1277</v>
      </c>
      <c r="I39" s="15">
        <v>14</v>
      </c>
      <c r="J39" s="15">
        <v>6000</v>
      </c>
      <c r="K39" s="15">
        <v>4000</v>
      </c>
      <c r="L39" s="15">
        <v>23.5</v>
      </c>
      <c r="M39" s="15">
        <v>15.6</v>
      </c>
      <c r="N39" s="15">
        <v>3.91</v>
      </c>
      <c r="O39" s="15">
        <v>3.91</v>
      </c>
      <c r="U39" s="29" t="s">
        <v>1366</v>
      </c>
      <c r="V39" s="29" t="s">
        <v>1367</v>
      </c>
      <c r="W39" s="29" t="s">
        <v>1368</v>
      </c>
      <c r="AQ39" s="30" t="str">
        <f t="shared" si="0"/>
        <v>"D5300": {"Name": "D5300", "Year": 2013, "Processor": "EXPEED 4", "Sensor": {"Name": "Sony IMX-193-AQK", "Type": "CMOS (Without AA filter)", "Bayer": "", "BitDepth": 14, "ResX": 6000, "ResY": 4000, "SizeX": 23.5, "SizeY": 15.6, "PixelSizeX": 3.91, "PixelSizeY": 3.91}, "CropSubSampling": [{"Crop": "DX", "Subs": {"Size L": {"ResX": 6000, "ResY": 4000}, "Size M": {"ResX": 4496, "ResY": 3000}, "Size S": {"ResX": 2992, "ResY": 2000}}}]}</v>
      </c>
      <c r="AR39" s="30" t="str" cm="1">
        <f t="array" ref="AR39">_xlfn.LET(_xlpm.crop,$R$2:$AO$2,_xlpm.size,$R$3:$AO$3,_xlpm.value,R39:AO39,_xlpm.vf,_xlfn.MAP(_xlpm.size,_xlpm.value,_xlfn.LAMBDA(_xlpm.s,_xlpm.v,IF(_xlpm.v="","",""""&amp;_xlpm.s&amp;""":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6000, "ResY": 4000}, "Size M": {"ResX": 4496, "ResY": 3000}, "Size S": {"ResX": 2992, "ResY": 2000}}}]</v>
      </c>
    </row>
    <row r="40" spans="1:44" ht="33.75" x14ac:dyDescent="0.25">
      <c r="A40" s="26" t="s">
        <v>1225</v>
      </c>
      <c r="B40" s="26" t="s">
        <v>1225</v>
      </c>
      <c r="C40" s="15">
        <v>2015</v>
      </c>
      <c r="D40" s="15" t="s">
        <v>1282</v>
      </c>
      <c r="F40" s="29" t="s">
        <v>1455</v>
      </c>
      <c r="G40" s="27" t="s">
        <v>1277</v>
      </c>
      <c r="I40" s="15">
        <v>14</v>
      </c>
      <c r="J40" s="15">
        <v>6000</v>
      </c>
      <c r="K40" s="15">
        <v>4000</v>
      </c>
      <c r="L40" s="15">
        <v>23.5</v>
      </c>
      <c r="M40" s="15">
        <v>15.6</v>
      </c>
      <c r="N40" s="15">
        <v>3.91</v>
      </c>
      <c r="O40" s="15">
        <v>3.91</v>
      </c>
      <c r="U40" s="29" t="s">
        <v>1366</v>
      </c>
      <c r="V40" s="29" t="s">
        <v>1367</v>
      </c>
      <c r="W40" s="29" t="s">
        <v>1368</v>
      </c>
      <c r="AQ40" s="30" t="str">
        <f t="shared" si="0"/>
        <v>"D5500": {"Name": "D5500", "Year": 2015, "Processor": "EXPEED 4", "Sensor": {"Name": "Sony IMX-193-AQK", "Type": "CMOS (Without AA filter)", "Bayer": "", "BitDepth": 14, "ResX": 6000, "ResY": 4000, "SizeX": 23.5, "SizeY": 15.6, "PixelSizeX": 3.91, "PixelSizeY": 3.91}, "CropSubSampling": [{"Crop": "DX", "Subs": {"Size L": {"ResX": 6000, "ResY": 4000}, "Size M": {"ResX": 4496, "ResY": 3000}, "Size S": {"ResX": 2992, "ResY": 2000}}}]}</v>
      </c>
      <c r="AR40" s="30" t="str" cm="1">
        <f t="array" ref="AR40">_xlfn.LET(_xlpm.crop,$R$2:$AO$2,_xlpm.size,$R$3:$AO$3,_xlpm.value,R40:AO40,_xlpm.vf,_xlfn.MAP(_xlpm.size,_xlpm.value,_xlfn.LAMBDA(_xlpm.s,_xlpm.v,IF(_xlpm.v="","",""""&amp;_xlpm.s&amp;""":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6000, "ResY": 4000}, "Size M": {"ResX": 4496, "ResY": 3000}, "Size S": {"ResX": 2992, "ResY": 2000}}}]</v>
      </c>
    </row>
    <row r="41" spans="1:44" ht="33.75" x14ac:dyDescent="0.25">
      <c r="A41" s="26" t="s">
        <v>1226</v>
      </c>
      <c r="B41" s="26" t="s">
        <v>1226</v>
      </c>
      <c r="C41" s="15">
        <v>2016</v>
      </c>
      <c r="D41" s="15" t="s">
        <v>1282</v>
      </c>
      <c r="F41" s="29" t="s">
        <v>1455</v>
      </c>
      <c r="G41" s="27" t="s">
        <v>1277</v>
      </c>
      <c r="I41" s="15">
        <v>14</v>
      </c>
      <c r="J41" s="15">
        <v>6000</v>
      </c>
      <c r="K41" s="15">
        <v>4000</v>
      </c>
      <c r="L41" s="15">
        <v>23.5</v>
      </c>
      <c r="M41" s="15">
        <v>15.6</v>
      </c>
      <c r="N41" s="15">
        <v>3.91</v>
      </c>
      <c r="O41" s="15">
        <v>3.91</v>
      </c>
      <c r="U41" s="29" t="s">
        <v>1366</v>
      </c>
      <c r="V41" s="29" t="s">
        <v>1367</v>
      </c>
      <c r="W41" s="29" t="s">
        <v>1368</v>
      </c>
      <c r="AQ41" s="30" t="str">
        <f t="shared" si="0"/>
        <v>"D5600": {"Name": "D5600", "Year": 2016, "Processor": "EXPEED 4", "Sensor": {"Name": "Sony IMX-193-AQK", "Type": "CMOS (Without AA filter)", "Bayer": "", "BitDepth": 14, "ResX": 6000, "ResY": 4000, "SizeX": 23.5, "SizeY": 15.6, "PixelSizeX": 3.91, "PixelSizeY": 3.91}, "CropSubSampling": [{"Crop": "DX", "Subs": {"Size L": {"ResX": 6000, "ResY": 4000}, "Size M": {"ResX": 4496, "ResY": 3000}, "Size S": {"ResX": 2992, "ResY": 2000}}}]}</v>
      </c>
      <c r="AR41" s="30" t="str" cm="1">
        <f t="array" ref="AR41">_xlfn.LET(_xlpm.crop,$R$2:$AO$2,_xlpm.size,$R$3:$AO$3,_xlpm.value,R41:AO41,_xlpm.vf,_xlfn.MAP(_xlpm.size,_xlpm.value,_xlfn.LAMBDA(_xlpm.s,_xlpm.v,IF(_xlpm.v="","",""""&amp;_xlpm.s&amp;""":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6000, "ResY": 4000}, "Size M": {"ResX": 4496, "ResY": 3000}, "Size S": {"ResX": 2992, "ResY": 2000}}}]</v>
      </c>
    </row>
    <row r="42" spans="1:44" x14ac:dyDescent="0.25">
      <c r="A42" s="26" t="s">
        <v>1227</v>
      </c>
      <c r="B42" s="26" t="s">
        <v>1227</v>
      </c>
      <c r="C42" s="15">
        <v>2010</v>
      </c>
      <c r="D42" s="15" t="s">
        <v>1284</v>
      </c>
      <c r="F42" s="29" t="s">
        <v>1283</v>
      </c>
      <c r="G42" s="27" t="s">
        <v>1272</v>
      </c>
      <c r="I42" s="15">
        <v>14</v>
      </c>
      <c r="J42" s="15">
        <v>4928</v>
      </c>
      <c r="K42" s="15">
        <v>3264</v>
      </c>
      <c r="L42" s="15">
        <v>23.6</v>
      </c>
      <c r="M42" s="15">
        <v>15.6</v>
      </c>
      <c r="N42" s="15">
        <v>4.78</v>
      </c>
      <c r="O42" s="15">
        <v>4.78</v>
      </c>
      <c r="U42" s="29" t="s">
        <v>1372</v>
      </c>
      <c r="V42" s="29" t="s">
        <v>1373</v>
      </c>
      <c r="W42" s="29" t="s">
        <v>1374</v>
      </c>
      <c r="AQ42" s="30" t="str">
        <f t="shared" si="0"/>
        <v>"D7000": {"Name": "D7000", "Year": 2010, "Processor": "EXPEED 2", "Sensor": {"Name": "Sony IMX071", "Type": "CMOS", "Bayer": "", "BitDepth": 14, "ResX": 4928, "ResY": 3264, "SizeX": 23.6, "SizeY": 15.6, "PixelSizeX": 4.78, "PixelSizeY": 4.78}, "CropSubSampling": [{"Crop": "DX", "Subs": {"Size L": {"ResX": 4928, "ResY": 3264}, "Size M": {"ResX": 3696, "ResY": 2448}, "Size S": {"ResX": 2464, "ResY": 1632}}}]}</v>
      </c>
      <c r="AR42" s="30" t="str" cm="1">
        <f t="array" ref="AR42">_xlfn.LET(_xlpm.crop,$R$2:$AO$2,_xlpm.size,$R$3:$AO$3,_xlpm.value,R42:AO42,_xlpm.vf,_xlfn.MAP(_xlpm.size,_xlpm.value,_xlfn.LAMBDA(_xlpm.s,_xlpm.v,IF(_xlpm.v="","",""""&amp;_xlpm.s&amp;""":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4928, "ResY": 3264}, "Size M": {"ResX": 3696, "ResY": 2448}, "Size S": {"ResX": 2464, "ResY": 1632}}}]</v>
      </c>
    </row>
    <row r="43" spans="1:44" ht="33.75" x14ac:dyDescent="0.25">
      <c r="A43" s="26" t="s">
        <v>1228</v>
      </c>
      <c r="B43" s="26" t="s">
        <v>1228</v>
      </c>
      <c r="C43" s="15">
        <v>2013</v>
      </c>
      <c r="D43" s="15" t="s">
        <v>1280</v>
      </c>
      <c r="F43" s="29" t="s">
        <v>1456</v>
      </c>
      <c r="G43" s="27" t="s">
        <v>1277</v>
      </c>
      <c r="I43" s="15">
        <v>14</v>
      </c>
      <c r="J43" s="15">
        <v>6000</v>
      </c>
      <c r="K43" s="15">
        <v>4000</v>
      </c>
      <c r="L43" s="15">
        <v>23.5</v>
      </c>
      <c r="M43" s="15">
        <v>15.6</v>
      </c>
      <c r="N43" s="15">
        <v>3.91</v>
      </c>
      <c r="O43" s="15">
        <v>3.91</v>
      </c>
      <c r="Q43" s="27" t="s">
        <v>1362</v>
      </c>
      <c r="U43" s="29" t="s">
        <v>1366</v>
      </c>
      <c r="V43" s="29" t="s">
        <v>1367</v>
      </c>
      <c r="W43" s="29" t="s">
        <v>1368</v>
      </c>
      <c r="AA43" s="29" t="s">
        <v>1369</v>
      </c>
      <c r="AB43" s="29" t="s">
        <v>1370</v>
      </c>
      <c r="AC43" s="29" t="s">
        <v>1371</v>
      </c>
      <c r="AQ43" s="30" t="str">
        <f t="shared" si="0"/>
        <v>"D7100": {"Name": "D7100", "Year": 2013, "Processor": "EXPEED 3", "Sensor": {"Name": "Toshiba HEZ1 TOS-5105", "Type": "CMOS (Without AA filter)", "Bayer": "", "BitDepth": 14, "ResX": 6000, "ResY": 4000, "SizeX": 23.5, "SizeY": 15.6, "PixelSizeX": 3.91, "PixelSizeY": 3.91}, "CropSubSampling": [{"Crop": "DX", "Subs": {"Size L": {"ResX": 6000, "ResY": 4000}, "Size M": {"ResX": 4496, "ResY": 3000}, "Size S": {"ResX": 2992, "ResY": 2000}}}, {"Crop": "1.3x", "Subs": {"Size L": {"ResX": 4800, "ResY": 3200}, "Size M": {"ResX": 3600, "ResY": 2400}, "Size S": {"ResX": 2400, "ResY": 1600}}}]}</v>
      </c>
      <c r="AR43" s="30" t="str" cm="1">
        <f t="array" ref="AR43">_xlfn.LET(_xlpm.crop,$R$2:$AO$2,_xlpm.size,$R$3:$AO$3,_xlpm.value,R43:AO43,_xlpm.vf,_xlfn.MAP(_xlpm.size,_xlpm.value,_xlfn.LAMBDA(_xlpm.s,_xlpm.v,IF(_xlpm.v="","",""""&amp;_xlpm.s&amp;""":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6000, "ResY": 4000}, "Size M": {"ResX": 4496, "ResY": 3000}, "Size S": {"ResX": 2992, "ResY": 2000}}}, {"Crop": "1.3x", "Subs": {"Size L": {"ResX": 4800, "ResY": 3200}, "Size M": {"ResX": 3600, "ResY": 2400}, "Size S": {"ResX": 2400, "ResY": 1600}}}]</v>
      </c>
    </row>
    <row r="44" spans="1:44" ht="33.75" x14ac:dyDescent="0.25">
      <c r="A44" s="26" t="s">
        <v>1229</v>
      </c>
      <c r="B44" s="26" t="s">
        <v>1229</v>
      </c>
      <c r="C44" s="15">
        <v>2015</v>
      </c>
      <c r="D44" s="15" t="s">
        <v>1282</v>
      </c>
      <c r="F44" s="29" t="s">
        <v>1455</v>
      </c>
      <c r="G44" s="27" t="s">
        <v>1277</v>
      </c>
      <c r="I44" s="15">
        <v>14</v>
      </c>
      <c r="J44" s="15">
        <v>6000</v>
      </c>
      <c r="K44" s="15">
        <v>4000</v>
      </c>
      <c r="L44" s="15">
        <v>23.5</v>
      </c>
      <c r="M44" s="15">
        <v>15.6</v>
      </c>
      <c r="N44" s="15">
        <v>3.91</v>
      </c>
      <c r="O44" s="15">
        <v>3.91</v>
      </c>
      <c r="Q44" s="27" t="s">
        <v>1362</v>
      </c>
      <c r="U44" s="29" t="s">
        <v>1366</v>
      </c>
      <c r="V44" s="29" t="s">
        <v>1367</v>
      </c>
      <c r="W44" s="29" t="s">
        <v>1368</v>
      </c>
      <c r="AA44" s="29" t="s">
        <v>1369</v>
      </c>
      <c r="AB44" s="29" t="s">
        <v>1370</v>
      </c>
      <c r="AC44" s="29" t="s">
        <v>1371</v>
      </c>
      <c r="AQ44" s="30" t="str">
        <f t="shared" si="0"/>
        <v>"D7200": {"Name": "D7200", "Year": 2015, "Processor": "EXPEED 4", "Sensor": {"Name": "Sony IMX-193-AQK", "Type": "CMOS (Without AA filter)", "Bayer": "", "BitDepth": 14, "ResX": 6000, "ResY": 4000, "SizeX": 23.5, "SizeY": 15.6, "PixelSizeX": 3.91, "PixelSizeY": 3.91}, "CropSubSampling": [{"Crop": "DX", "Subs": {"Size L": {"ResX": 6000, "ResY": 4000}, "Size M": {"ResX": 4496, "ResY": 3000}, "Size S": {"ResX": 2992, "ResY": 2000}}}, {"Crop": "1.3x", "Subs": {"Size L": {"ResX": 4800, "ResY": 3200}, "Size M": {"ResX": 3600, "ResY": 2400}, "Size S": {"ResX": 2400, "ResY": 1600}}}]}</v>
      </c>
      <c r="AR44" s="30" t="str" cm="1">
        <f t="array" ref="AR44">_xlfn.LET(_xlpm.crop,$R$2:$AO$2,_xlpm.size,$R$3:$AO$3,_xlpm.value,R44:AO44,_xlpm.vf,_xlfn.MAP(_xlpm.size,_xlpm.value,_xlfn.LAMBDA(_xlpm.s,_xlpm.v,IF(_xlpm.v="","",""""&amp;_xlpm.s&amp;""":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6000, "ResY": 4000}, "Size M": {"ResX": 4496, "ResY": 3000}, "Size S": {"ResX": 2992, "ResY": 2000}}}, {"Crop": "1.3x", "Subs": {"Size L": {"ResX": 4800, "ResY": 3200}, "Size M": {"ResX": 3600, "ResY": 2400}, "Size S": {"ResX": 2400, "ResY": 1600}}}]</v>
      </c>
    </row>
    <row r="45" spans="1:44" ht="33.75" x14ac:dyDescent="0.25">
      <c r="A45" s="26" t="s">
        <v>1230</v>
      </c>
      <c r="B45" s="26" t="s">
        <v>1230</v>
      </c>
      <c r="C45" s="15">
        <v>2017</v>
      </c>
      <c r="D45" s="28" t="s">
        <v>1281</v>
      </c>
      <c r="F45" s="29" t="s">
        <v>1458</v>
      </c>
      <c r="G45" s="27" t="s">
        <v>1277</v>
      </c>
      <c r="I45" s="15">
        <v>14</v>
      </c>
      <c r="J45" s="15">
        <v>5568</v>
      </c>
      <c r="K45" s="15">
        <v>3712</v>
      </c>
      <c r="L45" s="15">
        <v>23.5</v>
      </c>
      <c r="M45" s="15">
        <v>15.7</v>
      </c>
      <c r="N45" s="15">
        <v>4.22</v>
      </c>
      <c r="O45" s="15">
        <v>4.22</v>
      </c>
      <c r="Q45" s="27" t="s">
        <v>1362</v>
      </c>
      <c r="U45" s="29" t="s">
        <v>1324</v>
      </c>
      <c r="V45" s="29" t="s">
        <v>1325</v>
      </c>
      <c r="W45" s="29" t="s">
        <v>1326</v>
      </c>
      <c r="AA45" s="29" t="s">
        <v>1363</v>
      </c>
      <c r="AB45" s="29" t="s">
        <v>1364</v>
      </c>
      <c r="AC45" s="29" t="s">
        <v>1365</v>
      </c>
      <c r="AQ45" s="30" t="str">
        <f t="shared" si="0"/>
        <v>"D7500": {"Name": "D7500", "Year": 2017, "Processor": "EXPEED 5", "Sensor": {"Name": "Sony IMX-321", "Type": "CMOS (Without AA filter)", "Bayer": "", "BitDepth": 14, "ResX": 5568, "ResY": 3712, "SizeX": 23.5, "SizeY": 15.7, "PixelSizeX": 4.22, "PixelSizeY": 4.22}, "CropSubSampling": [{"Crop": "DX", "Subs": {"Size L": {"ResX": 5568, "ResY": 3712}, "Size M": {"ResX": 4176, "ResY": 2784}, "Size S": {"ResX": 2784, "ResY": 1856}}}, {"Crop": "1.3x", "Subs": {"Size L": {"ResX": 4272, "ResY": 2848}, "Size M": {"ResX": 3200, "ResY": 2136}, "Size S": {"ResX": 2128, "ResY": 1424}}}]}</v>
      </c>
      <c r="AR45" s="30" t="str" cm="1">
        <f t="array" ref="AR45">_xlfn.LET(_xlpm.crop,$R$2:$AO$2,_xlpm.size,$R$3:$AO$3,_xlpm.value,R45:AO45,_xlpm.vf,_xlfn.MAP(_xlpm.size,_xlpm.value,_xlfn.LAMBDA(_xlpm.s,_xlpm.v,IF(_xlpm.v="","",""""&amp;_xlpm.s&amp;""":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5568, "ResY": 3712}, "Size M": {"ResX": 4176, "ResY": 2784}, "Size S": {"ResX": 2784, "ResY": 1856}}}, {"Crop": "1.3x", "Subs": {"Size L": {"ResX": 4272, "ResY": 2848}, "Size M": {"ResX": 3200, "ResY": 2136}, "Size S": {"ResX": 2128, "ResY": 1424}}}]</v>
      </c>
    </row>
    <row r="46" spans="1:44" x14ac:dyDescent="0.25">
      <c r="A46" s="26" t="s">
        <v>1231</v>
      </c>
      <c r="B46" s="26" t="s">
        <v>1231</v>
      </c>
      <c r="C46" s="15">
        <v>2013</v>
      </c>
      <c r="D46" s="15" t="s">
        <v>1280</v>
      </c>
      <c r="F46" s="29" t="s">
        <v>1446</v>
      </c>
      <c r="G46" s="27" t="s">
        <v>1272</v>
      </c>
      <c r="I46" s="15">
        <v>14</v>
      </c>
      <c r="J46" s="15">
        <v>4928</v>
      </c>
      <c r="K46" s="15">
        <v>3280</v>
      </c>
      <c r="L46" s="15">
        <v>36</v>
      </c>
      <c r="M46" s="15">
        <v>23.9</v>
      </c>
      <c r="N46" s="15">
        <v>7.29</v>
      </c>
      <c r="O46" s="15">
        <v>7.29</v>
      </c>
      <c r="Q46" s="27" t="s">
        <v>1354</v>
      </c>
      <c r="R46" s="29" t="s">
        <v>1355</v>
      </c>
      <c r="S46" s="29" t="s">
        <v>1356</v>
      </c>
      <c r="T46" s="29" t="s">
        <v>1357</v>
      </c>
      <c r="U46" s="29" t="s">
        <v>1358</v>
      </c>
      <c r="V46" s="29" t="s">
        <v>1359</v>
      </c>
      <c r="W46" s="29" t="s">
        <v>1360</v>
      </c>
      <c r="AQ46" s="30" t="str">
        <f t="shared" si="0"/>
        <v>"DF": {"Name": "DF", "Year": 2013, "Processor": "EXPEED 3", "Sensor": {"Name": "Nikon NC81366W", "Type": "CMOS", "Bayer": "", "BitDepth": 14, "ResX": 4928, "ResY": 3280, "SizeX": 36, "SizeY": 23.9, "PixelSizeX": 7.29, "PixelSizeY": 7.29}, "CropSubSampling": [{"Crop": "FX", "Subs": {"Size L": {"ResX": 4928, "ResY": 3280}, "Size M": {"ResX": 3696, "ResY": 2456}, "Size S": {"ResX": 2464, "ResY": 1640}}}, {"Crop": "DX", "Subs": {"Size L": {"ResX": 3200, "ResY": 2128}, "Size M": {"ResX": 2400, "ResY": 1592}, "Size S": {"ResX": 1600, "ResY": 1064}}}]}</v>
      </c>
      <c r="AR46" s="30" t="str" cm="1">
        <f t="array" ref="AR46">_xlfn.LET(_xlpm.crop,$R$2:$AO$2,_xlpm.size,$R$3:$AO$3,_xlpm.value,R46:AO46,_xlpm.vf,_xlfn.MAP(_xlpm.size,_xlpm.value,_xlfn.LAMBDA(_xlpm.s,_xlpm.v,IF(_xlpm.v="","",""""&amp;_xlpm.s&amp;""":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4928, "ResY": 3280}, "Size M": {"ResX": 3696, "ResY": 2456}, "Size S": {"ResX": 2464, "ResY": 1640}}}, {"Crop": "DX", "Subs": {"Size L": {"ResX": 3200, "ResY": 2128}, "Size M": {"ResX": 2400, "ResY": 1592}, "Size S": {"ResX": 1600, "ResY": 1064}}}]</v>
      </c>
    </row>
    <row r="47" spans="1:44" ht="33.75" x14ac:dyDescent="0.25">
      <c r="A47" s="26" t="s">
        <v>1232</v>
      </c>
      <c r="B47" s="26" t="s">
        <v>1232</v>
      </c>
      <c r="C47" s="15">
        <v>2014</v>
      </c>
      <c r="D47" s="15" t="s">
        <v>1279</v>
      </c>
      <c r="G47" s="27" t="s">
        <v>1277</v>
      </c>
      <c r="I47" s="15">
        <v>12</v>
      </c>
      <c r="J47" s="15">
        <v>5232</v>
      </c>
      <c r="K47" s="15">
        <v>3488</v>
      </c>
      <c r="L47" s="15">
        <v>13.2</v>
      </c>
      <c r="M47" s="15">
        <v>8.8000000000000007</v>
      </c>
      <c r="N47" s="15">
        <v>2.52</v>
      </c>
      <c r="O47" s="15">
        <v>2.52</v>
      </c>
      <c r="X47" s="29" t="s">
        <v>1351</v>
      </c>
      <c r="Y47" s="29" t="s">
        <v>1352</v>
      </c>
      <c r="Z47" s="29" t="s">
        <v>1353</v>
      </c>
      <c r="AQ47" s="30" t="str">
        <f t="shared" si="0"/>
        <v>"1V3": {"Name": "1V3", "Year": 2014, "Processor": "EXPEED 4A", "Sensor": {"Name": "", "Type": "CMOS (Without AA filter)", "Bayer": "", "BitDepth": 12, "ResX": 5232, "ResY": 3488, "SizeX": 13.2, "SizeY": 8.8, "PixelSizeX": 2.52, "PixelSizeY": 2.52}, "CropSubSampling": [{"Crop": "1inch", "Subs": {"Size L": {"ResX": 5232, "ResY": 3488}, "Size M": {"ResX": 3920, "ResY": 2616}, "Size S": {"ResX": 2608, "ResY": 1744}}}]}</v>
      </c>
      <c r="AR47" s="30" t="str" cm="1">
        <f t="array" ref="AR47">_xlfn.LET(_xlpm.crop,$R$2:$AO$2,_xlpm.size,$R$3:$AO$3,_xlpm.value,R47:AO47,_xlpm.vf,_xlfn.MAP(_xlpm.size,_xlpm.value,_xlfn.LAMBDA(_xlpm.s,_xlpm.v,IF(_xlpm.v="","",""""&amp;_xlpm.s&amp;""":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"1inch", "Subs": {"Size L": {"ResX": 5232, "ResY": 3488}, "Size M": {"ResX": 3920, "ResY": 2616}, "Size S": {"ResX": 2608, "ResY": 1744}}}]</v>
      </c>
    </row>
    <row r="48" spans="1:44" ht="22.5" x14ac:dyDescent="0.25">
      <c r="A48" s="26" t="s">
        <v>1233</v>
      </c>
      <c r="B48" s="26" t="s">
        <v>1269</v>
      </c>
      <c r="C48" s="15">
        <v>2020</v>
      </c>
      <c r="D48" s="28" t="s">
        <v>1270</v>
      </c>
      <c r="G48" s="27" t="s">
        <v>1272</v>
      </c>
      <c r="I48" s="15">
        <v>14</v>
      </c>
      <c r="J48" s="15">
        <v>6016</v>
      </c>
      <c r="K48" s="15">
        <v>4016</v>
      </c>
      <c r="L48" s="15">
        <v>35.9</v>
      </c>
      <c r="M48" s="15">
        <v>23.9</v>
      </c>
      <c r="N48" s="15">
        <v>5.97</v>
      </c>
      <c r="O48" s="15">
        <v>5.97</v>
      </c>
      <c r="Q48" s="27" t="s">
        <v>1343</v>
      </c>
      <c r="R48" s="29" t="s">
        <v>1344</v>
      </c>
      <c r="S48" s="29" t="s">
        <v>1345</v>
      </c>
      <c r="T48" s="29" t="s">
        <v>1346</v>
      </c>
      <c r="U48" s="29" t="s">
        <v>1302</v>
      </c>
      <c r="V48" s="29" t="s">
        <v>1303</v>
      </c>
      <c r="W48" s="29" t="s">
        <v>1304</v>
      </c>
      <c r="AJ48" s="29" t="s">
        <v>1305</v>
      </c>
      <c r="AK48" s="29" t="s">
        <v>1306</v>
      </c>
      <c r="AL48" s="29" t="s">
        <v>1307</v>
      </c>
      <c r="AM48" s="29" t="s">
        <v>1347</v>
      </c>
      <c r="AN48" s="29" t="s">
        <v>1348</v>
      </c>
      <c r="AO48" s="29" t="s">
        <v>1349</v>
      </c>
      <c r="AQ48" s="30" t="str">
        <f t="shared" si="0"/>
        <v>"Z 5": {"Name": "Z5", "Year": 2020, "Processor": "EXPEED 6", "Sensor": {"Name": "", "Type": "CMOS", "Bayer": "", "BitDepth": 14, "ResX": 6016, "ResY": 4016, "SizeX": 35.9, "SizeY": 23.9, "PixelSizeX": 5.97, "PixelSizeY": 5.97}, "CropSubSampling": [{"Crop": "FX", "Subs": {"Size L": {"ResX": 6016, "ResY": 4016}, "Size M": {"ResX": 4512, "ResY": 3008}, "Size S": {"ResX": 3008, "ResY": 2008}}}, {"Crop": "DX", "Subs": {"Size L": {"ResX": 3936, "ResY": 2624}, "Size M": {"ResX": 2944, "ResY": 1968}, "Size S": {"ResX": 1968, "ResY": 1312}}}, {"Crop": "1:1", "Subs": {"Size L": {"ResX": 4016, "ResY": 4016}, "Size M": {"ResX": 3008, "ResY": 3008}, "Size S": {"ResX": 2000, "ResY": 2000}}}, {"Crop": "16:9", "Subs": {"Size L": {"ResX": 6016, "ResY": 3384}, "Size M": {"ResX": 4512, "ResY": 2536}, "Size S": {"ResX": 3008, "ResY": 1688}}}]}</v>
      </c>
      <c r="AR48" s="30" t="str" cm="1">
        <f t="array" ref="AR48">_xlfn.LET(_xlpm.crop,$R$2:$AO$2,_xlpm.size,$R$3:$AO$3,_xlpm.value,R48:AO48,_xlpm.vf,_xlfn.MAP(_xlpm.size,_xlpm.value,_xlfn.LAMBDA(_xlpm.s,_xlpm.v,IF(_xlpm.v="","",""""&amp;_xlpm.s&amp;""":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6016, "ResY": 4016}, "Size M": {"ResX": 4512, "ResY": 3008}, "Size S": {"ResX": 3008, "ResY": 2008}}}, {"Crop": "DX", "Subs": {"Size L": {"ResX": 3936, "ResY": 2624}, "Size M": {"ResX": 2944, "ResY": 1968}, "Size S": {"ResX": 1968, "ResY": 1312}}}, {"Crop": "1:1", "Subs": {"Size L": {"ResX": 4016, "ResY": 4016}, "Size M": {"ResX": 3008, "ResY": 3008}, "Size S": {"ResX": 2000, "ResY": 2000}}}, {"Crop": "16:9", "Subs": {"Size L": {"ResX": 6016, "ResY": 3384}, "Size M": {"ResX": 4512, "ResY": 2536}, "Size S": {"ResX": 3008, "ResY": 1688}}}]</v>
      </c>
    </row>
    <row r="49" spans="1:44" x14ac:dyDescent="0.25">
      <c r="A49" s="26" t="s">
        <v>1239</v>
      </c>
      <c r="B49" s="26" t="s">
        <v>1278</v>
      </c>
      <c r="C49" s="15">
        <v>2025</v>
      </c>
      <c r="D49" s="15" t="s">
        <v>1271</v>
      </c>
      <c r="F49" s="29" t="s">
        <v>1252</v>
      </c>
      <c r="G49" s="27" t="s">
        <v>1256</v>
      </c>
      <c r="I49" s="15">
        <v>14</v>
      </c>
      <c r="J49" s="15">
        <v>6048</v>
      </c>
      <c r="K49" s="15">
        <v>4032</v>
      </c>
      <c r="L49" s="15">
        <v>35.9</v>
      </c>
      <c r="M49" s="15">
        <v>23.9</v>
      </c>
      <c r="N49" s="15">
        <v>5.93</v>
      </c>
      <c r="O49" s="15">
        <v>5.93</v>
      </c>
      <c r="R49" s="29" t="s">
        <v>1418</v>
      </c>
      <c r="S49" s="29" t="s">
        <v>1437</v>
      </c>
      <c r="T49" s="29" t="s">
        <v>1299</v>
      </c>
      <c r="U49" s="29" t="s">
        <v>1438</v>
      </c>
      <c r="V49" s="29" t="s">
        <v>1439</v>
      </c>
      <c r="W49" s="29" t="s">
        <v>1440</v>
      </c>
      <c r="AJ49" s="29" t="s">
        <v>1441</v>
      </c>
      <c r="AK49" s="29" t="s">
        <v>1442</v>
      </c>
      <c r="AL49" s="29" t="s">
        <v>1443</v>
      </c>
      <c r="AM49" s="29" t="s">
        <v>1308</v>
      </c>
      <c r="AN49" s="29" t="s">
        <v>1309</v>
      </c>
      <c r="AO49" s="29" t="s">
        <v>1310</v>
      </c>
      <c r="AQ49" s="30" t="str">
        <f t="shared" si="0"/>
        <v>"Z 5_2": {"Name": "Z5II", "Year": 2025, "Processor": "EXPEED 7", "Sensor": {"Name": "Sony ?", "Type": "BSI-CMOS", "Bayer": "", "BitDepth": 14, "ResX": 6048, "ResY": 4032, "SizeX": 35.9, "SizeY": 23.9, "PixelSizeX": 5.93, "PixelSizeY": 5.93}, "CropSubSampling": [{"Crop": "FX", "Subs": {"Size L": {"ResX": 6048, "ResY": 4032}, "Size M": {"ResX": 4528, "ResY": 3024}, "Size S": {"ResX": 3024, "ResY": 2016}}}, {"Crop": "DX", "Subs": {"Size L": {"ResX": 3984, "ResY": 2656}, "Size M": {"ResX": 2976, "ResY": 1992}, "Size S": {"ResX": 1984, "ResY": 1328}}}, {"Crop": "1:1", "Subs": {"Size L": {"ResX": 4032, "ResY": 4032}, "Size M": {"ResX": 3024, "ResY": 3024}, "Size S": {"ResX": 2016, "ResY": 2016}}}, {"Crop": "16:9", "Subs": {"Size L": {"ResX": 6048, "ResY": 3400}, "Size M": {"ResX": 4528, "ResY": 2544}, "Size S": {"ResX": 3024, "ResY": 1696}}}]}</v>
      </c>
      <c r="AR49" s="30" t="str" cm="1">
        <f t="array" ref="AR49">_xlfn.LET(_xlpm.crop,$R$2:$AO$2,_xlpm.size,$R$3:$AO$3,_xlpm.value,R49:AO49,_xlpm.vf,_xlfn.MAP(_xlpm.size,_xlpm.value,_xlfn.LAMBDA(_xlpm.s,_xlpm.v,IF(_xlpm.v="","",""""&amp;_xlpm.s&amp;""":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6048, "ResY": 4032}, "Size M": {"ResX": 4528, "ResY": 3024}, "Size S": {"ResX": 3024, "ResY": 2016}}}, {"Crop": "DX", "Subs": {"Size L": {"ResX": 3984, "ResY": 2656}, "Size M": {"ResX": 2976, "ResY": 1992}, "Size S": {"ResX": 1984, "ResY": 1328}}}, {"Crop": "1:1", "Subs": {"Size L": {"ResX": 4032, "ResY": 4032}, "Size M": {"ResX": 3024, "ResY": 3024}, "Size S": {"ResX": 2016, "ResY": 2016}}}, {"Crop": "16:9", "Subs": {"Size L": {"ResX": 6048, "ResY": 3400}, "Size M": {"ResX": 4528, "ResY": 2544}, "Size S": {"ResX": 3024, "ResY": 1696}}}]</v>
      </c>
    </row>
    <row r="50" spans="1:44" ht="22.5" x14ac:dyDescent="0.25">
      <c r="A50" s="26" t="s">
        <v>1235</v>
      </c>
      <c r="B50" s="26" t="s">
        <v>1262</v>
      </c>
      <c r="C50" s="15">
        <v>2018</v>
      </c>
      <c r="D50" s="28" t="s">
        <v>1270</v>
      </c>
      <c r="F50" s="29" t="s">
        <v>1252</v>
      </c>
      <c r="G50" s="27" t="s">
        <v>1256</v>
      </c>
      <c r="I50" s="15">
        <v>14</v>
      </c>
      <c r="J50" s="15">
        <v>6048</v>
      </c>
      <c r="K50" s="15">
        <v>4024</v>
      </c>
      <c r="L50" s="15">
        <v>35.9</v>
      </c>
      <c r="M50" s="15">
        <v>23.9</v>
      </c>
      <c r="N50" s="15">
        <v>5.94</v>
      </c>
      <c r="O50" s="15">
        <v>5.94</v>
      </c>
      <c r="Q50" s="27" t="s">
        <v>1343</v>
      </c>
      <c r="R50" s="29" t="s">
        <v>1296</v>
      </c>
      <c r="S50" s="29" t="s">
        <v>1297</v>
      </c>
      <c r="T50" s="29" t="s">
        <v>1299</v>
      </c>
      <c r="U50" s="29" t="s">
        <v>1302</v>
      </c>
      <c r="V50" s="29" t="s">
        <v>1303</v>
      </c>
      <c r="W50" s="29" t="s">
        <v>1304</v>
      </c>
      <c r="AJ50" s="29" t="s">
        <v>1305</v>
      </c>
      <c r="AK50" s="29" t="s">
        <v>1306</v>
      </c>
      <c r="AL50" s="29" t="s">
        <v>1307</v>
      </c>
      <c r="AM50" s="29" t="s">
        <v>1308</v>
      </c>
      <c r="AN50" s="29" t="s">
        <v>1309</v>
      </c>
      <c r="AO50" s="29" t="s">
        <v>1310</v>
      </c>
      <c r="AQ50" s="30" t="str">
        <f t="shared" si="0"/>
        <v>"Z 6": {"Name": "Z6", "Year": 2018, "Processor": "EXPEED 6", "Sensor": {"Name": "Sony ?", "Type": "BSI-CMOS", "Bayer": "", "BitDepth": 14, "ResX": 6048, "ResY": 4024, "SizeX": 35.9, "SizeY": 23.9, "PixelSizeX": 5.94, "PixelSizeY": 5.94}, "CropSubSampling": [{"Crop": "FX", "Subs": {"Size L": {"ResX": 6048, "ResY": 4024}, "Size M": {"ResX": 4528, "ResY": 3016}, "Size S": {"ResX": 3024, "ResY": 2016}}}, {"Crop": "DX", "Subs": {"Size L": {"ResX": 3936, "ResY": 2624}, "Size M": {"ResX": 2944, "ResY": 1968}, "Size S": {"ResX": 1968, "ResY": 1312}}}, {"Crop": "1:1", "Subs": {"Size L": {"ResX": 4016, "ResY": 4016}, "Size M": {"ResX": 3008, "ResY": 3008}, "Size S": {"ResX": 2000, "ResY": 2000}}}, {"Crop": "16:9", "Subs": {"Size L": {"ResX": 6048, "ResY": 3400}, "Size M": {"ResX": 4528, "ResY": 2544}, "Size S": {"ResX": 3024, "ResY": 1696}}}]}</v>
      </c>
      <c r="AR50" s="30" t="str" cm="1">
        <f t="array" ref="AR50">_xlfn.LET(_xlpm.crop,$R$2:$AO$2,_xlpm.size,$R$3:$AO$3,_xlpm.value,R50:AO50,_xlpm.vf,_xlfn.MAP(_xlpm.size,_xlpm.value,_xlfn.LAMBDA(_xlpm.s,_xlpm.v,IF(_xlpm.v="","",""""&amp;_xlpm.s&amp;""":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6048, "ResY": 4024}, "Size M": {"ResX": 4528, "ResY": 3016}, "Size S": {"ResX": 3024, "ResY": 2016}}}, {"Crop": "DX", "Subs": {"Size L": {"ResX": 3936, "ResY": 2624}, "Size M": {"ResX": 2944, "ResY": 1968}, "Size S": {"ResX": 1968, "ResY": 1312}}}, {"Crop": "1:1", "Subs": {"Size L": {"ResX": 4016, "ResY": 4016}, "Size M": {"ResX": 3008, "ResY": 3008}, "Size S": {"ResX": 2000, "ResY": 2000}}}, {"Crop": "16:9", "Subs": {"Size L": {"ResX": 6048, "ResY": 3400}, "Size M": {"ResX": 4528, "ResY": 2544}, "Size S": {"ResX": 3024, "ResY": 1696}}}]</v>
      </c>
    </row>
    <row r="51" spans="1:44" ht="22.5" x14ac:dyDescent="0.25">
      <c r="A51" s="26" t="s">
        <v>1234</v>
      </c>
      <c r="B51" s="26" t="s">
        <v>1261</v>
      </c>
      <c r="C51" s="15">
        <v>2020</v>
      </c>
      <c r="D51" s="28" t="s">
        <v>1285</v>
      </c>
      <c r="F51" s="29" t="s">
        <v>1252</v>
      </c>
      <c r="G51" s="27" t="s">
        <v>1256</v>
      </c>
      <c r="H51" s="27" t="s">
        <v>1292</v>
      </c>
      <c r="I51" s="15">
        <v>14</v>
      </c>
      <c r="J51" s="15">
        <v>6048</v>
      </c>
      <c r="K51" s="15">
        <v>4024</v>
      </c>
      <c r="L51" s="15">
        <v>35.9</v>
      </c>
      <c r="M51" s="15">
        <v>23.9</v>
      </c>
      <c r="N51" s="15">
        <v>5.94</v>
      </c>
      <c r="O51" s="15">
        <v>5.94</v>
      </c>
      <c r="Q51" s="27" t="s">
        <v>1333</v>
      </c>
      <c r="R51" s="29" t="s">
        <v>1296</v>
      </c>
      <c r="S51" s="29" t="s">
        <v>1297</v>
      </c>
      <c r="T51" s="29" t="s">
        <v>1299</v>
      </c>
      <c r="U51" s="29" t="s">
        <v>1302</v>
      </c>
      <c r="V51" s="29" t="s">
        <v>1303</v>
      </c>
      <c r="W51" s="29" t="s">
        <v>1304</v>
      </c>
      <c r="AJ51" s="29" t="s">
        <v>1305</v>
      </c>
      <c r="AK51" s="29" t="s">
        <v>1306</v>
      </c>
      <c r="AL51" s="29" t="s">
        <v>1307</v>
      </c>
      <c r="AM51" s="29" t="s">
        <v>1308</v>
      </c>
      <c r="AN51" s="29" t="s">
        <v>1309</v>
      </c>
      <c r="AO51" s="29" t="s">
        <v>1310</v>
      </c>
      <c r="AQ51" s="30" t="str">
        <f t="shared" si="0"/>
        <v>"Z 6_2": {"Name": "Z6II", "Year": 2020, "Processor": "EXPEED 6 Dual", "Sensor": {"Name": "Sony ?", "Type": "BSI-CMOS", "Bayer": "RGGB", "BitDepth": 14, "ResX": 6048, "ResY": 4024, "SizeX": 35.9, "SizeY": 23.9, "PixelSizeX": 5.94, "PixelSizeY": 5.94}, "CropSubSampling": [{"Crop": "FX", "Subs": {"Size L": {"ResX": 6048, "ResY": 4024}, "Size M": {"ResX": 4528, "ResY": 3016}, "Size S": {"ResX": 3024, "ResY": 2016}}}, {"Crop": "DX", "Subs": {"Size L": {"ResX": 3936, "ResY": 2624}, "Size M": {"ResX": 2944, "ResY": 1968}, "Size S": {"ResX": 1968, "ResY": 1312}}}, {"Crop": "1:1", "Subs": {"Size L": {"ResX": 4016, "ResY": 4016}, "Size M": {"ResX": 3008, "ResY": 3008}, "Size S": {"ResX": 2000, "ResY": 2000}}}, {"Crop": "16:9", "Subs": {"Size L": {"ResX": 6048, "ResY": 3400}, "Size M": {"ResX": 4528, "ResY": 2544}, "Size S": {"ResX": 3024, "ResY": 1696}}}]}</v>
      </c>
      <c r="AR51" s="30" t="str" cm="1">
        <f t="array" ref="AR51">_xlfn.LET(_xlpm.crop,$R$2:$AO$2,_xlpm.size,$R$3:$AO$3,_xlpm.value,R51:AO51,_xlpm.vf,_xlfn.MAP(_xlpm.size,_xlpm.value,_xlfn.LAMBDA(_xlpm.s,_xlpm.v,IF(_xlpm.v="","",""""&amp;_xlpm.s&amp;""":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6048, "ResY": 4024}, "Size M": {"ResX": 4528, "ResY": 3016}, "Size S": {"ResX": 3024, "ResY": 2016}}}, {"Crop": "DX", "Subs": {"Size L": {"ResX": 3936, "ResY": 2624}, "Size M": {"ResX": 2944, "ResY": 1968}, "Size S": {"ResX": 1968, "ResY": 1312}}}, {"Crop": "1:1", "Subs": {"Size L": {"ResX": 4016, "ResY": 4016}, "Size M": {"ResX": 3008, "ResY": 3008}, "Size S": {"ResX": 2000, "ResY": 2000}}}, {"Crop": "16:9", "Subs": {"Size L": {"ResX": 6048, "ResY": 3400}, "Size M": {"ResX": 4528, "ResY": 2544}, "Size S": {"ResX": 3024, "ResY": 1696}}}]</v>
      </c>
    </row>
    <row r="52" spans="1:44" ht="33.75" x14ac:dyDescent="0.25">
      <c r="A52" s="26" t="s">
        <v>1238</v>
      </c>
      <c r="B52" s="26" t="s">
        <v>1267</v>
      </c>
      <c r="C52" s="15">
        <v>2024</v>
      </c>
      <c r="D52" s="15" t="s">
        <v>1271</v>
      </c>
      <c r="F52" s="29" t="s">
        <v>1252</v>
      </c>
      <c r="G52" s="27" t="s">
        <v>1257</v>
      </c>
      <c r="I52" s="15">
        <v>14</v>
      </c>
      <c r="J52" s="15">
        <v>6048</v>
      </c>
      <c r="K52" s="15">
        <v>4032</v>
      </c>
      <c r="L52" s="15">
        <v>35.9</v>
      </c>
      <c r="M52" s="15">
        <v>23.9</v>
      </c>
      <c r="N52" s="15">
        <v>5.94</v>
      </c>
      <c r="O52" s="15">
        <v>5.94</v>
      </c>
      <c r="R52" s="29" t="s">
        <v>1418</v>
      </c>
      <c r="S52" s="29" t="s">
        <v>1437</v>
      </c>
      <c r="T52" s="29" t="s">
        <v>1299</v>
      </c>
      <c r="U52" s="29" t="s">
        <v>1438</v>
      </c>
      <c r="V52" s="37" t="s">
        <v>1439</v>
      </c>
      <c r="W52" s="29" t="s">
        <v>1440</v>
      </c>
      <c r="AJ52" s="29" t="s">
        <v>1441</v>
      </c>
      <c r="AK52" s="29" t="s">
        <v>1442</v>
      </c>
      <c r="AL52" s="29" t="s">
        <v>1443</v>
      </c>
      <c r="AM52" s="29" t="s">
        <v>1308</v>
      </c>
      <c r="AN52" s="29" t="s">
        <v>1309</v>
      </c>
      <c r="AO52" s="29" t="s">
        <v>1310</v>
      </c>
      <c r="AQ52" s="30" t="str">
        <f t="shared" si="0"/>
        <v>"Z 6_3": {"Name": "Z6III", "Year": 2024, "Processor": "EXPEED 7", "Sensor": {"Name": "Sony ?", "Type": "Partially Stacked BSI-CMOS", "Bayer": "", "BitDepth": 14, "ResX": 6048, "ResY": 4032, "SizeX": 35.9, "SizeY": 23.9, "PixelSizeX": 5.94, "PixelSizeY": 5.94}, "CropSubSampling": [{"Crop": "FX", "Subs": {"Size L": {"ResX": 6048, "ResY": 4032}, "Size M": {"ResX": 4528, "ResY": 3024}, "Size S": {"ResX": 3024, "ResY": 2016}}}, {"Crop": "DX", "Subs": {"Size L": {"ResX": 3984, "ResY": 2656}, "Size M": {"ResX": 2976, "ResY": 1992}, "Size S": {"ResX": 1984, "ResY": 1328}}}, {"Crop": "1:1", "Subs": {"Size L": {"ResX": 4032, "ResY": 4032}, "Size M": {"ResX": 3024, "ResY": 3024}, "Size S": {"ResX": 2016, "ResY": 2016}}}, {"Crop": "16:9", "Subs": {"Size L": {"ResX": 6048, "ResY": 3400}, "Size M": {"ResX": 4528, "ResY": 2544}, "Size S": {"ResX": 3024, "ResY": 1696}}}]}</v>
      </c>
      <c r="AR52" s="30" t="str" cm="1">
        <f t="array" ref="AR52">_xlfn.LET(_xlpm.crop,$R$2:$AO$2,_xlpm.size,$R$3:$AO$3,_xlpm.value,R52:AO52,_xlpm.vf,_xlfn.MAP(_xlpm.size,_xlpm.value,_xlfn.LAMBDA(_xlpm.s,_xlpm.v,IF(_xlpm.v="","",""""&amp;_xlpm.s&amp;""":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6048, "ResY": 4032}, "Size M": {"ResX": 4528, "ResY": 3024}, "Size S": {"ResX": 3024, "ResY": 2016}}}, {"Crop": "DX", "Subs": {"Size L": {"ResX": 3984, "ResY": 2656}, "Size M": {"ResX": 2976, "ResY": 1992}, "Size S": {"ResX": 1984, "ResY": 1328}}}, {"Crop": "1:1", "Subs": {"Size L": {"ResX": 4032, "ResY": 4032}, "Size M": {"ResX": 3024, "ResY": 3024}, "Size S": {"ResX": 2016, "ResY": 2016}}}, {"Crop": "16:9", "Subs": {"Size L": {"ResX": 6048, "ResY": 3400}, "Size M": {"ResX": 4528, "ResY": 2544}, "Size S": {"ResX": 3024, "ResY": 1696}}}]</v>
      </c>
    </row>
    <row r="53" spans="1:44" ht="33.75" x14ac:dyDescent="0.25">
      <c r="A53" s="26" t="s">
        <v>1236</v>
      </c>
      <c r="B53" s="26" t="s">
        <v>1263</v>
      </c>
      <c r="C53" s="15">
        <v>2018</v>
      </c>
      <c r="D53" s="28" t="s">
        <v>1270</v>
      </c>
      <c r="F53" s="29" t="s">
        <v>1460</v>
      </c>
      <c r="G53" s="27" t="s">
        <v>1258</v>
      </c>
      <c r="I53" s="15">
        <v>14</v>
      </c>
      <c r="J53" s="15">
        <v>8256</v>
      </c>
      <c r="K53" s="15">
        <v>5504</v>
      </c>
      <c r="L53" s="15">
        <v>35.9</v>
      </c>
      <c r="M53" s="15">
        <v>23.9</v>
      </c>
      <c r="N53" s="15">
        <v>4.3499999999999996</v>
      </c>
      <c r="O53" s="15">
        <v>4.3499999999999996</v>
      </c>
      <c r="Q53" s="27" t="s">
        <v>1334</v>
      </c>
      <c r="R53" s="29" t="s">
        <v>1312</v>
      </c>
      <c r="S53" s="29" t="s">
        <v>1313</v>
      </c>
      <c r="T53" s="29" t="s">
        <v>1314</v>
      </c>
      <c r="U53" s="29" t="s">
        <v>1337</v>
      </c>
      <c r="V53" s="29" t="s">
        <v>1338</v>
      </c>
      <c r="W53" s="29" t="s">
        <v>1339</v>
      </c>
      <c r="AD53" s="29" t="s">
        <v>1340</v>
      </c>
      <c r="AE53" s="29" t="s">
        <v>1341</v>
      </c>
      <c r="AF53" s="29" t="s">
        <v>1342</v>
      </c>
      <c r="AJ53" s="29" t="s">
        <v>1318</v>
      </c>
      <c r="AK53" s="29" t="s">
        <v>1319</v>
      </c>
      <c r="AL53" s="29" t="s">
        <v>1320</v>
      </c>
      <c r="AM53" s="29" t="s">
        <v>1321</v>
      </c>
      <c r="AN53" s="29" t="s">
        <v>1322</v>
      </c>
      <c r="AO53" s="29" t="s">
        <v>1323</v>
      </c>
      <c r="AQ53" s="30" t="str">
        <f t="shared" si="0"/>
        <v>"Z 7": {"Name": "Z7", "Year": 2018, "Processor": "EXPEED 6", "Sensor": {"Name": "Sony IMX-309-BQJ", "Type": "BSI-CMOS (without AA filter)", "Bayer": "", "BitDepth": 14, "ResX": 8256, "ResY": 5504, "SizeX": 35.9, "SizeY": 23.9, "PixelSizeX": 4.35, "PixelSizeY": 4.35}, "CropSubSampling": [{"Crop": "FX", "Subs": {"Size L": {"ResX": 8256, "ResY": 5504}, "Size M": {"ResX": 6192, "ResY": 4128}, "Size S": {"ResX": 4128, "ResY": 2752}}}, {"Crop": "DX", "Subs": {"Size L": {"ResX": 5408, "ResY": 3600}, "Size M": {"ResX": 4048, "ResY": 2696}, "Size S": {"ResX": 2704, "ResY": 1800}}}, {"Crop": "5:4", "Subs": {"Size L": {"ResX": 6880, "ResY": 5504}, "Size M": {"ResX": 5152, "ResY": 4120}, "Size S": {"ResX": 3440, "ResY": 2752}}}, {"Crop": "1:1", "Subs": {"Size L": {"ResX": 5504, "ResY": 5504}, "Size M": {"ResX": 4128, "ResY": 4128}, "Size S": {"ResX": 2752, "ResY": 2752}}}, {"Crop": "16:9", "Subs": {"Size L": {"ResX": 8256, "ResY": 4640}, "Size M": {"ResX": 6192, "ResY": 3480}, "Size S": {"ResX": 4128, "ResY": 2320}}}]}</v>
      </c>
      <c r="AR53" s="30" t="str" cm="1">
        <f t="array" ref="AR53">_xlfn.LET(_xlpm.crop,$R$2:$AO$2,_xlpm.size,$R$3:$AO$3,_xlpm.value,R53:AO53,_xlpm.vf,_xlfn.MAP(_xlpm.size,_xlpm.value,_xlfn.LAMBDA(_xlpm.s,_xlpm.v,IF(_xlpm.v="","",""""&amp;_xlpm.s&amp;""":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8256, "ResY": 5504}, "Size M": {"ResX": 6192, "ResY": 4128}, "Size S": {"ResX": 4128, "ResY": 2752}}}, {"Crop": "DX", "Subs": {"Size L": {"ResX": 5408, "ResY": 3600}, "Size M": {"ResX": 4048, "ResY": 2696}, "Size S": {"ResX": 2704, "ResY": 1800}}}, {"Crop": "5:4", "Subs": {"Size L": {"ResX": 6880, "ResY": 5504}, "Size M": {"ResX": 5152, "ResY": 4120}, "Size S": {"ResX": 3440, "ResY": 2752}}}, {"Crop": "1:1", "Subs": {"Size L": {"ResX": 5504, "ResY": 5504}, "Size M": {"ResX": 4128, "ResY": 4128}, "Size S": {"ResX": 2752, "ResY": 2752}}}, {"Crop": "16:9", "Subs": {"Size L": {"ResX": 8256, "ResY": 4640}, "Size M": {"ResX": 6192, "ResY": 3480}, "Size S": {"ResX": 4128, "ResY": 2320}}}]</v>
      </c>
    </row>
    <row r="54" spans="1:44" ht="33.75" x14ac:dyDescent="0.25">
      <c r="A54" s="26" t="s">
        <v>1237</v>
      </c>
      <c r="B54" s="26" t="s">
        <v>1268</v>
      </c>
      <c r="C54" s="15">
        <v>2020</v>
      </c>
      <c r="D54" s="28" t="s">
        <v>1285</v>
      </c>
      <c r="F54" s="29" t="s">
        <v>1460</v>
      </c>
      <c r="G54" s="27" t="s">
        <v>1258</v>
      </c>
      <c r="I54" s="15">
        <v>14</v>
      </c>
      <c r="J54" s="15">
        <v>8256</v>
      </c>
      <c r="K54" s="15">
        <v>5504</v>
      </c>
      <c r="L54" s="15">
        <v>35.9</v>
      </c>
      <c r="M54" s="15">
        <v>23.9</v>
      </c>
      <c r="N54" s="15">
        <v>4.3499999999999996</v>
      </c>
      <c r="O54" s="15">
        <v>4.3499999999999996</v>
      </c>
      <c r="Q54" s="27" t="s">
        <v>1336</v>
      </c>
      <c r="R54" s="29" t="s">
        <v>1312</v>
      </c>
      <c r="S54" s="29" t="s">
        <v>1313</v>
      </c>
      <c r="T54" s="29" t="s">
        <v>1314</v>
      </c>
      <c r="U54" s="29" t="s">
        <v>1337</v>
      </c>
      <c r="V54" s="29" t="s">
        <v>1338</v>
      </c>
      <c r="W54" s="29" t="s">
        <v>1339</v>
      </c>
      <c r="AD54" s="29" t="s">
        <v>1340</v>
      </c>
      <c r="AE54" s="29" t="s">
        <v>1341</v>
      </c>
      <c r="AF54" s="29" t="s">
        <v>1342</v>
      </c>
      <c r="AJ54" s="29" t="s">
        <v>1318</v>
      </c>
      <c r="AK54" s="29" t="s">
        <v>1319</v>
      </c>
      <c r="AL54" s="29" t="s">
        <v>1320</v>
      </c>
      <c r="AM54" s="29" t="s">
        <v>1321</v>
      </c>
      <c r="AN54" s="29" t="s">
        <v>1322</v>
      </c>
      <c r="AO54" s="29" t="s">
        <v>1323</v>
      </c>
      <c r="AQ54" s="30" t="str">
        <f t="shared" si="0"/>
        <v>"Z 7_2": {"Name": "Z7II", "Year": 2020, "Processor": "EXPEED 6 Dual", "Sensor": {"Name": "Sony IMX-309-BQJ", "Type": "BSI-CMOS (without AA filter)", "Bayer": "", "BitDepth": 14, "ResX": 8256, "ResY": 5504, "SizeX": 35.9, "SizeY": 23.9, "PixelSizeX": 4.35, "PixelSizeY": 4.35}, "CropSubSampling": [{"Crop": "FX", "Subs": {"Size L": {"ResX": 8256, "ResY": 5504}, "Size M": {"ResX": 6192, "ResY": 4128}, "Size S": {"ResX": 4128, "ResY": 2752}}}, {"Crop": "DX", "Subs": {"Size L": {"ResX": 5408, "ResY": 3600}, "Size M": {"ResX": 4048, "ResY": 2696}, "Size S": {"ResX": 2704, "ResY": 1800}}}, {"Crop": "5:4", "Subs": {"Size L": {"ResX": 6880, "ResY": 5504}, "Size M": {"ResX": 5152, "ResY": 4120}, "Size S": {"ResX": 3440, "ResY": 2752}}}, {"Crop": "1:1", "Subs": {"Size L": {"ResX": 5504, "ResY": 5504}, "Size M": {"ResX": 4128, "ResY": 4128}, "Size S": {"ResX": 2752, "ResY": 2752}}}, {"Crop": "16:9", "Subs": {"Size L": {"ResX": 8256, "ResY": 4640}, "Size M": {"ResX": 6192, "ResY": 3480}, "Size S": {"ResX": 4128, "ResY": 2320}}}]}</v>
      </c>
      <c r="AR54" s="30" t="str" cm="1">
        <f t="array" ref="AR54">_xlfn.LET(_xlpm.crop,$R$2:$AO$2,_xlpm.size,$R$3:$AO$3,_xlpm.value,R54:AO54,_xlpm.vf,_xlfn.MAP(_xlpm.size,_xlpm.value,_xlfn.LAMBDA(_xlpm.s,_xlpm.v,IF(_xlpm.v="","",""""&amp;_xlpm.s&amp;""":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8256, "ResY": 5504}, "Size M": {"ResX": 6192, "ResY": 4128}, "Size S": {"ResX": 4128, "ResY": 2752}}}, {"Crop": "DX", "Subs": {"Size L": {"ResX": 5408, "ResY": 3600}, "Size M": {"ResX": 4048, "ResY": 2696}, "Size S": {"ResX": 2704, "ResY": 1800}}}, {"Crop": "5:4", "Subs": {"Size L": {"ResX": 6880, "ResY": 5504}, "Size M": {"ResX": 5152, "ResY": 4120}, "Size S": {"ResX": 3440, "ResY": 2752}}}, {"Crop": "1:1", "Subs": {"Size L": {"ResX": 5504, "ResY": 5504}, "Size M": {"ResX": 4128, "ResY": 4128}, "Size S": {"ResX": 2752, "ResY": 2752}}}, {"Crop": "16:9", "Subs": {"Size L": {"ResX": 8256, "ResY": 4640}, "Size M": {"ResX": 6192, "ResY": 3480}, "Size S": {"ResX": 4128, "ResY": 2320}}}]</v>
      </c>
    </row>
    <row r="55" spans="1:44" ht="45" x14ac:dyDescent="0.25">
      <c r="A55" s="26" t="s">
        <v>1240</v>
      </c>
      <c r="B55" s="26" t="s">
        <v>1264</v>
      </c>
      <c r="C55" s="15">
        <v>2023</v>
      </c>
      <c r="D55" s="15" t="s">
        <v>1271</v>
      </c>
      <c r="F55" s="29" t="s">
        <v>1252</v>
      </c>
      <c r="G55" s="27" t="s">
        <v>1259</v>
      </c>
      <c r="I55" s="15">
        <v>14</v>
      </c>
      <c r="J55" s="15">
        <v>8256</v>
      </c>
      <c r="K55" s="15">
        <v>5504</v>
      </c>
      <c r="L55" s="15">
        <v>35.9</v>
      </c>
      <c r="M55" s="15">
        <v>23.9</v>
      </c>
      <c r="N55" s="15">
        <v>4.3499999999999996</v>
      </c>
      <c r="O55" s="15">
        <v>4.3499999999999996</v>
      </c>
      <c r="Q55" s="27" t="s">
        <v>1333</v>
      </c>
      <c r="R55" s="29" t="s">
        <v>1312</v>
      </c>
      <c r="S55" s="29" t="s">
        <v>1313</v>
      </c>
      <c r="T55" s="29" t="s">
        <v>1314</v>
      </c>
      <c r="U55" s="29" t="s">
        <v>1315</v>
      </c>
      <c r="V55" s="29" t="s">
        <v>1316</v>
      </c>
      <c r="W55" s="29" t="s">
        <v>1317</v>
      </c>
      <c r="AJ55" s="29" t="s">
        <v>1318</v>
      </c>
      <c r="AK55" s="29" t="s">
        <v>1319</v>
      </c>
      <c r="AL55" s="29" t="s">
        <v>1320</v>
      </c>
      <c r="AM55" s="29" t="s">
        <v>1321</v>
      </c>
      <c r="AN55" s="29" t="s">
        <v>1322</v>
      </c>
      <c r="AO55" s="29" t="s">
        <v>1323</v>
      </c>
      <c r="AQ55" s="30" t="str">
        <f t="shared" si="0"/>
        <v>"Z 8": {"Name": "Z8", "Year": 2023, "Processor": "EXPEED 7", "Sensor": {"Name": "Sony ?", "Type": "Stacked BSI-CMOS (Without AA filter)", "Bayer": "", "BitDepth": 14, "ResX": 8256, "ResY": 5504, "SizeX": 35.9, "SizeY": 23.9, "PixelSizeX": 4.35, "PixelSizeY": 4.35}, "CropSubSampling": [{"Crop": "FX", "Subs": {"Size L": {"ResX": 8256, "ResY": 5504}, "Size M": {"ResX": 6192, "ResY": 4128}, "Size S": {"ResX": 4128, "ResY": 2752}}}, {"Crop": "DX", "Subs": {"Size L": {"ResX": 5392, "ResY": 3592}, "Size M": {"ResX": 4032, "ResY": 2688}, "Size S": {"ResX": 2688, "ResY": 1792}}}, {"Crop": "1:1", "Subs": {"Size L": {"ResX": 5504, "ResY": 5504}, "Size M": {"ResX": 4128, "ResY": 4128}, "Size S": {"ResX": 2752, "ResY": 2752}}}, {"Crop": "16:9", "Subs": {"Size L": {"ResX": 8256, "ResY": 4640}, "Size M": {"ResX": 6192, "ResY": 3480}, "Size S": {"ResX": 4128, "ResY": 2320}}}]}</v>
      </c>
      <c r="AR55" s="30" t="str" cm="1">
        <f t="array" ref="AR55">_xlfn.LET(_xlpm.crop,$R$2:$AO$2,_xlpm.size,$R$3:$AO$3,_xlpm.value,R55:AO55,_xlpm.vf,_xlfn.MAP(_xlpm.size,_xlpm.value,_xlfn.LAMBDA(_xlpm.s,_xlpm.v,IF(_xlpm.v="","",""""&amp;_xlpm.s&amp;""":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8256, "ResY": 5504}, "Size M": {"ResX": 6192, "ResY": 4128}, "Size S": {"ResX": 4128, "ResY": 2752}}}, {"Crop": "DX", "Subs": {"Size L": {"ResX": 5392, "ResY": 3592}, "Size M": {"ResX": 4032, "ResY": 2688}, "Size S": {"ResX": 2688, "ResY": 1792}}}, {"Crop": "1:1", "Subs": {"Size L": {"ResX": 5504, "ResY": 5504}, "Size M": {"ResX": 4128, "ResY": 4128}, "Size S": {"ResX": 2752, "ResY": 2752}}}, {"Crop": "16:9", "Subs": {"Size L": {"ResX": 8256, "ResY": 4640}, "Size M": {"ResX": 6192, "ResY": 3480}, "Size S": {"ResX": 4128, "ResY": 2320}}}]</v>
      </c>
    </row>
    <row r="56" spans="1:44" ht="45" x14ac:dyDescent="0.25">
      <c r="A56" s="26" t="s">
        <v>1241</v>
      </c>
      <c r="B56" s="26" t="s">
        <v>1265</v>
      </c>
      <c r="C56" s="15">
        <v>2023</v>
      </c>
      <c r="D56" s="15" t="s">
        <v>1271</v>
      </c>
      <c r="F56" s="29" t="s">
        <v>1252</v>
      </c>
      <c r="G56" s="27" t="s">
        <v>1259</v>
      </c>
      <c r="I56" s="15">
        <v>14</v>
      </c>
      <c r="J56" s="15">
        <v>8256</v>
      </c>
      <c r="K56" s="15">
        <v>5504</v>
      </c>
      <c r="L56" s="15">
        <v>35.9</v>
      </c>
      <c r="M56" s="15">
        <v>23.9</v>
      </c>
      <c r="N56" s="15">
        <v>4.3499999999999996</v>
      </c>
      <c r="O56" s="15">
        <v>4.3499999999999996</v>
      </c>
      <c r="Q56" s="27" t="s">
        <v>1333</v>
      </c>
      <c r="R56" s="29" t="s">
        <v>1312</v>
      </c>
      <c r="S56" s="29" t="s">
        <v>1313</v>
      </c>
      <c r="T56" s="29" t="s">
        <v>1314</v>
      </c>
      <c r="U56" s="29" t="s">
        <v>1315</v>
      </c>
      <c r="V56" s="29" t="s">
        <v>1316</v>
      </c>
      <c r="W56" s="29" t="s">
        <v>1317</v>
      </c>
      <c r="AJ56" s="29" t="s">
        <v>1318</v>
      </c>
      <c r="AK56" s="29" t="s">
        <v>1319</v>
      </c>
      <c r="AL56" s="29" t="s">
        <v>1320</v>
      </c>
      <c r="AM56" s="29" t="s">
        <v>1321</v>
      </c>
      <c r="AN56" s="29" t="s">
        <v>1322</v>
      </c>
      <c r="AO56" s="29" t="s">
        <v>1323</v>
      </c>
      <c r="AQ56" s="30" t="str">
        <f t="shared" si="0"/>
        <v>"Z 9": {"Name": "Z9", "Year": 2023, "Processor": "EXPEED 7", "Sensor": {"Name": "Sony ?", "Type": "Stacked BSI-CMOS (Without AA filter)", "Bayer": "", "BitDepth": 14, "ResX": 8256, "ResY": 5504, "SizeX": 35.9, "SizeY": 23.9, "PixelSizeX": 4.35, "PixelSizeY": 4.35}, "CropSubSampling": [{"Crop": "FX", "Subs": {"Size L": {"ResX": 8256, "ResY": 5504}, "Size M": {"ResX": 6192, "ResY": 4128}, "Size S": {"ResX": 4128, "ResY": 2752}}}, {"Crop": "DX", "Subs": {"Size L": {"ResX": 5392, "ResY": 3592}, "Size M": {"ResX": 4032, "ResY": 2688}, "Size S": {"ResX": 2688, "ResY": 1792}}}, {"Crop": "1:1", "Subs": {"Size L": {"ResX": 5504, "ResY": 5504}, "Size M": {"ResX": 4128, "ResY": 4128}, "Size S": {"ResX": 2752, "ResY": 2752}}}, {"Crop": "16:9", "Subs": {"Size L": {"ResX": 8256, "ResY": 4640}, "Size M": {"ResX": 6192, "ResY": 3480}, "Size S": {"ResX": 4128, "ResY": 2320}}}]}</v>
      </c>
      <c r="AR56" s="30" t="str" cm="1">
        <f t="array" ref="AR56">_xlfn.LET(_xlpm.crop,$R$2:$AO$2,_xlpm.size,$R$3:$AO$3,_xlpm.value,R56:AO56,_xlpm.vf,_xlfn.MAP(_xlpm.size,_xlpm.value,_xlfn.LAMBDA(_xlpm.s,_xlpm.v,IF(_xlpm.v="","",""""&amp;_xlpm.s&amp;""":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8256, "ResY": 5504}, "Size M": {"ResX": 6192, "ResY": 4128}, "Size S": {"ResX": 4128, "ResY": 2752}}}, {"Crop": "DX", "Subs": {"Size L": {"ResX": 5392, "ResY": 3592}, "Size M": {"ResX": 4032, "ResY": 2688}, "Size S": {"ResX": 2688, "ResY": 1792}}}, {"Crop": "1:1", "Subs": {"Size L": {"ResX": 5504, "ResY": 5504}, "Size M": {"ResX": 4128, "ResY": 4128}, "Size S": {"ResX": 2752, "ResY": 2752}}}, {"Crop": "16:9", "Subs": {"Size L": {"ResX": 8256, "ResY": 4640}, "Size M": {"ResX": 6192, "ResY": 3480}, "Size S": {"ResX": 4128, "ResY": 2320}}}]</v>
      </c>
    </row>
    <row r="57" spans="1:44" ht="22.5" x14ac:dyDescent="0.25">
      <c r="A57" s="26" t="s">
        <v>1242</v>
      </c>
      <c r="B57" s="26" t="s">
        <v>1266</v>
      </c>
      <c r="C57" s="15">
        <v>2019</v>
      </c>
      <c r="D57" s="28" t="s">
        <v>1270</v>
      </c>
      <c r="G57" s="27" t="s">
        <v>1272</v>
      </c>
      <c r="I57" s="15">
        <v>14</v>
      </c>
      <c r="J57" s="15">
        <v>5568</v>
      </c>
      <c r="K57" s="15">
        <v>3712</v>
      </c>
      <c r="L57" s="15">
        <v>23.5</v>
      </c>
      <c r="M57" s="15">
        <v>15.7</v>
      </c>
      <c r="N57" s="15">
        <v>4.22</v>
      </c>
      <c r="O57" s="15">
        <v>4.22</v>
      </c>
      <c r="Q57" s="27" t="s">
        <v>1426</v>
      </c>
      <c r="U57" s="29" t="s">
        <v>1324</v>
      </c>
      <c r="V57" s="29" t="s">
        <v>1325</v>
      </c>
      <c r="W57" s="29" t="s">
        <v>1326</v>
      </c>
      <c r="AJ57" s="29" t="s">
        <v>1327</v>
      </c>
      <c r="AK57" s="29" t="s">
        <v>1328</v>
      </c>
      <c r="AL57" s="29" t="s">
        <v>1329</v>
      </c>
      <c r="AM57" s="29" t="s">
        <v>1330</v>
      </c>
      <c r="AN57" s="29" t="s">
        <v>1331</v>
      </c>
      <c r="AO57" s="29" t="s">
        <v>1332</v>
      </c>
      <c r="AQ57" s="30" t="str">
        <f t="shared" si="0"/>
        <v>"Z 50": {"Name": "Z50", "Year": 2019, "Processor": "EXPEED 6", "Sensor": {"Name": "", "Type": "CMOS", "Bayer": "", "BitDepth": 14, "ResX": 5568, "ResY": 3712, "SizeX": 23.5, "SizeY": 15.7, "PixelSizeX": 4.22, "PixelSizeY": 4.22}, "CropSubSampling": [{"Crop": "DX", "Subs": {"Size L": {"ResX": 5568, "ResY": 3712}, "Size M": {"ResX": 4176, "ResY": 2784}, "Size S": {"ResX": 2784, "ResY": 1856}}}, {"Crop": "1:1", "Subs": {"Size L": {"ResX": 3712, "ResY": 3712}, "Size M": {"ResX": 2784, "ResY": 2784}, "Size S": {"ResX": 1856, "ResY": 1856}}}, {"Crop": "16:9", "Subs": {"Size L": {"ResX": 5568, "ResY": 3128}, "Size M": {"ResX": 4176, "ResY": 2344}, "Size S": {"ResX": 2784, "ResY": 1560}}}]}</v>
      </c>
      <c r="AR57" s="30" t="str" cm="1">
        <f t="array" ref="AR57">_xlfn.LET(_xlpm.crop,$R$2:$AO$2,_xlpm.size,$R$3:$AO$3,_xlpm.value,R57:AO57,_xlpm.vf,_xlfn.MAP(_xlpm.size,_xlpm.value,_xlfn.LAMBDA(_xlpm.s,_xlpm.v,IF(_xlpm.v="","",""""&amp;_xlpm.s&amp;""":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5568, "ResY": 3712}, "Size M": {"ResX": 4176, "ResY": 2784}, "Size S": {"ResX": 2784, "ResY": 1856}}}, {"Crop": "1:1", "Subs": {"Size L": {"ResX": 3712, "ResY": 3712}, "Size M": {"ResX": 2784, "ResY": 2784}, "Size S": {"ResX": 1856, "ResY": 1856}}}, {"Crop": "16:9", "Subs": {"Size L": {"ResX": 5568, "ResY": 3128}, "Size M": {"ResX": 4176, "ResY": 2344}, "Size S": {"ResX": 2784, "ResY": 1560}}}]</v>
      </c>
    </row>
    <row r="58" spans="1:44" ht="33.75" x14ac:dyDescent="0.25">
      <c r="A58" s="26" t="s">
        <v>1243</v>
      </c>
      <c r="B58" s="26" t="s">
        <v>1462</v>
      </c>
      <c r="C58" s="15">
        <v>2024</v>
      </c>
      <c r="D58" s="15" t="s">
        <v>1271</v>
      </c>
      <c r="F58" s="29" t="s">
        <v>1252</v>
      </c>
      <c r="G58" s="27" t="s">
        <v>1277</v>
      </c>
      <c r="I58" s="15">
        <v>14</v>
      </c>
      <c r="J58" s="15">
        <v>5568</v>
      </c>
      <c r="K58" s="15">
        <v>3712</v>
      </c>
      <c r="L58" s="15">
        <v>23.5</v>
      </c>
      <c r="M58" s="15">
        <v>15.7</v>
      </c>
      <c r="N58" s="15">
        <v>4.22</v>
      </c>
      <c r="O58" s="15">
        <v>4.22</v>
      </c>
      <c r="U58" s="29" t="s">
        <v>1324</v>
      </c>
      <c r="V58" s="29" t="s">
        <v>1325</v>
      </c>
      <c r="W58" s="29" t="s">
        <v>1326</v>
      </c>
      <c r="AJ58" s="29" t="s">
        <v>1327</v>
      </c>
      <c r="AK58" s="29" t="s">
        <v>1328</v>
      </c>
      <c r="AL58" s="29" t="s">
        <v>1329</v>
      </c>
      <c r="AM58" s="29" t="s">
        <v>1330</v>
      </c>
      <c r="AN58" s="29" t="s">
        <v>1331</v>
      </c>
      <c r="AO58" s="29" t="s">
        <v>1332</v>
      </c>
      <c r="AQ58" s="30" t="str">
        <f t="shared" si="0"/>
        <v>"Z50_2": {"Name": "Z50II", "Year": 2024, "Processor": "EXPEED 7", "Sensor": {"Name": "Sony ?", "Type": "CMOS (Without AA filter)", "Bayer": "", "BitDepth": 14, "ResX": 5568, "ResY": 3712, "SizeX": 23.5, "SizeY": 15.7, "PixelSizeX": 4.22, "PixelSizeY": 4.22}, "CropSubSampling": [{"Crop": "DX", "Subs": {"Size L": {"ResX": 5568, "ResY": 3712}, "Size M": {"ResX": 4176, "ResY": 2784}, "Size S": {"ResX": 2784, "ResY": 1856}}}, {"Crop": "1:1", "Subs": {"Size L": {"ResX": 3712, "ResY": 3712}, "Size M": {"ResX": 2784, "ResY": 2784}, "Size S": {"ResX": 1856, "ResY": 1856}}}, {"Crop": "16:9", "Subs": {"Size L": {"ResX": 5568, "ResY": 3128}, "Size M": {"ResX": 4176, "ResY": 2344}, "Size S": {"ResX": 2784, "ResY": 1560}}}]}</v>
      </c>
      <c r="AR58" s="30" t="str" cm="1">
        <f t="array" ref="AR58">_xlfn.LET(_xlpm.crop,$R$2:$AO$2,_xlpm.size,$R$3:$AO$3,_xlpm.value,R58:AO58,_xlpm.vf,_xlfn.MAP(_xlpm.size,_xlpm.value,_xlfn.LAMBDA(_xlpm.s,_xlpm.v,IF(_xlpm.v="","",""""&amp;_xlpm.s&amp;""":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5568, "ResY": 3712}, "Size M": {"ResX": 4176, "ResY": 2784}, "Size S": {"ResX": 2784, "ResY": 1856}}}, {"Crop": "1:1", "Subs": {"Size L": {"ResX": 3712, "ResY": 3712}, "Size M": {"ResX": 2784, "ResY": 2784}, "Size S": {"ResX": 1856, "ResY": 1856}}}, {"Crop": "16:9", "Subs": {"Size L": {"ResX": 5568, "ResY": 3128}, "Size M": {"ResX": 4176, "ResY": 2344}, "Size S": {"ResX": 2784, "ResY": 1560}}}]</v>
      </c>
    </row>
    <row r="59" spans="1:44" x14ac:dyDescent="0.25">
      <c r="A59" s="26" t="s">
        <v>1274</v>
      </c>
      <c r="B59" s="26" t="s">
        <v>1273</v>
      </c>
      <c r="C59" s="15">
        <v>2023</v>
      </c>
      <c r="D59" s="15" t="s">
        <v>1271</v>
      </c>
      <c r="F59" s="29" t="s">
        <v>1252</v>
      </c>
      <c r="G59" s="27" t="s">
        <v>1256</v>
      </c>
      <c r="I59" s="15">
        <v>14</v>
      </c>
      <c r="J59" s="15">
        <v>6048</v>
      </c>
      <c r="K59" s="15">
        <v>4032</v>
      </c>
      <c r="L59" s="15">
        <v>35.9</v>
      </c>
      <c r="M59" s="15">
        <v>23.9</v>
      </c>
      <c r="N59" s="15">
        <v>5.94</v>
      </c>
      <c r="O59" s="15">
        <v>5.94</v>
      </c>
      <c r="R59" s="29" t="s">
        <v>1418</v>
      </c>
      <c r="S59" s="29" t="s">
        <v>1437</v>
      </c>
      <c r="T59" s="29" t="s">
        <v>1299</v>
      </c>
      <c r="U59" s="29" t="s">
        <v>1438</v>
      </c>
      <c r="V59" s="29" t="s">
        <v>1439</v>
      </c>
      <c r="W59" s="29" t="s">
        <v>1440</v>
      </c>
      <c r="AJ59" s="29" t="s">
        <v>1441</v>
      </c>
      <c r="AK59" s="29" t="s">
        <v>1442</v>
      </c>
      <c r="AL59" s="29" t="s">
        <v>1443</v>
      </c>
      <c r="AM59" s="29" t="s">
        <v>1308</v>
      </c>
      <c r="AN59" s="29" t="s">
        <v>1309</v>
      </c>
      <c r="AO59" s="29" t="s">
        <v>1310</v>
      </c>
      <c r="AQ59" s="30" t="str">
        <f t="shared" si="0"/>
        <v>"Z f": {"Name": "Zf", "Year": 2023, "Processor": "EXPEED 7", "Sensor": {"Name": "Sony ?", "Type": "BSI-CMOS", "Bayer": "", "BitDepth": 14, "ResX": 6048, "ResY": 4032, "SizeX": 35.9, "SizeY": 23.9, "PixelSizeX": 5.94, "PixelSizeY": 5.94}, "CropSubSampling": [{"Crop": "FX", "Subs": {"Size L": {"ResX": 6048, "ResY": 4032}, "Size M": {"ResX": 4528, "ResY": 3024}, "Size S": {"ResX": 3024, "ResY": 2016}}}, {"Crop": "DX", "Subs": {"Size L": {"ResX": 3984, "ResY": 2656}, "Size M": {"ResX": 2976, "ResY": 1992}, "Size S": {"ResX": 1984, "ResY": 1328}}}, {"Crop": "1:1", "Subs": {"Size L": {"ResX": 4032, "ResY": 4032}, "Size M": {"ResX": 3024, "ResY": 3024}, "Size S": {"ResX": 2016, "ResY": 2016}}}, {"Crop": "16:9", "Subs": {"Size L": {"ResX": 6048, "ResY": 3400}, "Size M": {"ResX": 4528, "ResY": 2544}, "Size S": {"ResX": 3024, "ResY": 1696}}}]}</v>
      </c>
      <c r="AR59" s="30" t="str" cm="1">
        <f t="array" ref="AR59">_xlfn.LET(_xlpm.crop,$R$2:$AO$2,_xlpm.size,$R$3:$AO$3,_xlpm.value,R59:AO59,_xlpm.vf,_xlfn.MAP(_xlpm.size,_xlpm.value,_xlfn.LAMBDA(_xlpm.s,_xlpm.v,IF(_xlpm.v="","",""""&amp;_xlpm.s&amp;""":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6048, "ResY": 4032}, "Size M": {"ResX": 4528, "ResY": 3024}, "Size S": {"ResX": 3024, "ResY": 2016}}}, {"Crop": "DX", "Subs": {"Size L": {"ResX": 3984, "ResY": 2656}, "Size M": {"ResX": 2976, "ResY": 1992}, "Size S": {"ResX": 1984, "ResY": 1328}}}, {"Crop": "1:1", "Subs": {"Size L": {"ResX": 4032, "ResY": 4032}, "Size M": {"ResX": 3024, "ResY": 3024}, "Size S": {"ResX": 2016, "ResY": 2016}}}, {"Crop": "16:9", "Subs": {"Size L": {"ResX": 6048, "ResY": 3400}, "Size M": {"ResX": 4528, "ResY": 2544}, "Size S": {"ResX": 3024, "ResY": 1696}}}]</v>
      </c>
    </row>
    <row r="60" spans="1:44" ht="33.75" x14ac:dyDescent="0.25">
      <c r="A60" s="26" t="s">
        <v>1275</v>
      </c>
      <c r="B60" s="26" t="s">
        <v>1276</v>
      </c>
      <c r="C60" s="15">
        <v>2021</v>
      </c>
      <c r="D60" s="28" t="s">
        <v>1270</v>
      </c>
      <c r="F60" s="29" t="s">
        <v>1252</v>
      </c>
      <c r="G60" s="27" t="s">
        <v>1277</v>
      </c>
      <c r="I60" s="15">
        <v>14</v>
      </c>
      <c r="J60" s="15">
        <v>5568</v>
      </c>
      <c r="K60" s="15">
        <v>3712</v>
      </c>
      <c r="L60" s="15">
        <v>23.5</v>
      </c>
      <c r="M60" s="15">
        <v>15.7</v>
      </c>
      <c r="N60" s="15">
        <v>4.22</v>
      </c>
      <c r="O60" s="15">
        <v>4.22</v>
      </c>
      <c r="U60" s="29" t="s">
        <v>1324</v>
      </c>
      <c r="V60" s="29" t="s">
        <v>1325</v>
      </c>
      <c r="W60" s="29" t="s">
        <v>1326</v>
      </c>
      <c r="AJ60" s="29" t="s">
        <v>1327</v>
      </c>
      <c r="AK60" s="29" t="s">
        <v>1328</v>
      </c>
      <c r="AL60" s="29" t="s">
        <v>1329</v>
      </c>
      <c r="AM60" s="29" t="s">
        <v>1330</v>
      </c>
      <c r="AN60" s="29" t="s">
        <v>1331</v>
      </c>
      <c r="AO60" s="29" t="s">
        <v>1332</v>
      </c>
      <c r="AQ60" s="30" t="str">
        <f t="shared" si="0"/>
        <v>"Z fc": {"Name": "Zfc", "Year": 2021, "Processor": "EXPEED 6", "Sensor": {"Name": "Sony ?", "Type": "CMOS (Without AA filter)", "Bayer": "", "BitDepth": 14, "ResX": 5568, "ResY": 3712, "SizeX": 23.5, "SizeY": 15.7, "PixelSizeX": 4.22, "PixelSizeY": 4.22}, "CropSubSampling": [{"Crop": "DX", "Subs": {"Size L": {"ResX": 5568, "ResY": 3712}, "Size M": {"ResX": 4176, "ResY": 2784}, "Size S": {"ResX": 2784, "ResY": 1856}}}, {"Crop": "1:1", "Subs": {"Size L": {"ResX": 3712, "ResY": 3712}, "Size M": {"ResX": 2784, "ResY": 2784}, "Size S": {"ResX": 1856, "ResY": 1856}}}, {"Crop": "16:9", "Subs": {"Size L": {"ResX": 5568, "ResY": 3128}, "Size M": {"ResX": 4176, "ResY": 2344}, "Size S": {"ResX": 2784, "ResY": 1560}}}]}</v>
      </c>
      <c r="AR60" s="30" t="str" cm="1">
        <f t="array" ref="AR60">_xlfn.LET(_xlpm.crop,$R$2:$AO$2,_xlpm.size,$R$3:$AO$3,_xlpm.value,R60:AO60,_xlpm.vf,_xlfn.MAP(_xlpm.size,_xlpm.value,_xlfn.LAMBDA(_xlpm.s,_xlpm.v,IF(_xlpm.v="","",""""&amp;_xlpm.s&amp;""":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5568, "ResY": 3712}, "Size M": {"ResX": 4176, "ResY": 2784}, "Size S": {"ResX": 2784, "ResY": 1856}}}, {"Crop": "1:1", "Subs": {"Size L": {"ResX": 3712, "ResY": 3712}, "Size M": {"ResX": 2784, "ResY": 2784}, "Size S": {"ResX": 1856, "ResY": 1856}}}, {"Crop": "16:9", "Subs": {"Size L": {"ResX": 5568, "ResY": 3128}, "Size M": {"ResX": 4176, "ResY": 2344}, "Size S": {"ResX": 2784, "ResY": 1560}}}]</v>
      </c>
    </row>
  </sheetData>
  <mergeCells count="17">
    <mergeCell ref="A1:A3"/>
    <mergeCell ref="B1:B3"/>
    <mergeCell ref="C1:C3"/>
    <mergeCell ref="D1:D3"/>
    <mergeCell ref="F2:F3"/>
    <mergeCell ref="N2:N3"/>
    <mergeCell ref="O2:O3"/>
    <mergeCell ref="Q1:AO1"/>
    <mergeCell ref="Q2:Q3"/>
    <mergeCell ref="F1:O1"/>
    <mergeCell ref="G2:G3"/>
    <mergeCell ref="H2:H3"/>
    <mergeCell ref="I2:I3"/>
    <mergeCell ref="J2:J3"/>
    <mergeCell ref="K2:K3"/>
    <mergeCell ref="L2:L3"/>
    <mergeCell ref="M2:M3"/>
  </mergeCells>
  <conditionalFormatting sqref="R1:AO1048576">
    <cfRule type="cellIs" dxfId="0" priority="1" operator="equal">
      <formula>_xlfn.SINGLE($J:$J)&amp;"x"&amp;_xlfn.SINGLE($K:$K)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1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I27" sqref="H27:I28"/>
    </sheetView>
  </sheetViews>
  <sheetFormatPr defaultRowHeight="15" x14ac:dyDescent="0.25"/>
  <cols>
    <col min="1" max="1" width="15.140625" bestFit="1" customWidth="1"/>
    <col min="2" max="2" width="25.28515625" bestFit="1" customWidth="1"/>
    <col min="3" max="3" width="11.42578125" bestFit="1" customWidth="1"/>
  </cols>
  <sheetData>
    <row r="1" spans="1:11" x14ac:dyDescent="0.25">
      <c r="D1" s="1" t="s">
        <v>993</v>
      </c>
    </row>
    <row r="2" spans="1:11" x14ac:dyDescent="0.25">
      <c r="A2" s="1" t="s">
        <v>147</v>
      </c>
      <c r="B2" s="1" t="s">
        <v>0</v>
      </c>
      <c r="D2" s="21" t="s">
        <v>994</v>
      </c>
    </row>
    <row r="3" spans="1:11" x14ac:dyDescent="0.25">
      <c r="A3" t="s">
        <v>1</v>
      </c>
      <c r="B3" t="s">
        <v>16</v>
      </c>
      <c r="C3" t="str">
        <f>B3&amp;" = "&amp;A3&amp;","</f>
        <v>GetDeviceInfo = 0x1001,</v>
      </c>
      <c r="D3" s="21" t="s">
        <v>970</v>
      </c>
      <c r="J3" s="2" t="s">
        <v>220</v>
      </c>
      <c r="K3" t="str">
        <f>"enum NikonMtpOperationCode {"&amp;CHAR(10)&amp;_xlfn.TEXTJOIN(","&amp;CHAR(10),TRUE,_xlfn.BYROW(A3:B111,_xlfn.LAMBDA(_xlpm.x,INDEX(_xlpm.x,1,2)&amp;" = "&amp;INDEX(_xlpm.x,1,1))))&amp;CHAR(10)&amp;"};"</f>
        <v>enum NikonMtpOperationCode {
GetDeviceInfo = 0x1001,
OpenSession = 0x1002,
CloseSession = 0x1003,
GetStorageIDs = 0x1004,
GetStorageInfo = 0x1005,
GetNumObjects = 0x1006,
GetObjectHandles = 0x1007,
GetObjectInfo = 0x1008,
GetObject = 0x1009,
GetThumb = 0x100A,
DeleteObject = 0x100B,
SendObjectInfo = 0x100C,
SendObject = 0x100D,
InitiateCapture = 0x100E,
FormatStore = 0x100F,
GetDevicePropDesc = 0x1014,
GetDevicePropValue = 0x1015,
SetDevicePropValue = 0x1016,
GetPartialObject = 0x101B,
InitiateCaptureRecInSdram = 0x90C0,
AfDrive = 0x90C1,
ChangeCameraMode = 0x90C2,
DeleteImagesInSdram = 0x90C3,
GetLargeThumb = 0x90C4,
GetEvent = 0x90C7,
DeviceReady = 0x90C8,
SetPreWbData = 0x90C9,
AfAndCaptureRecInSdram = 0x90CB,
GetPicCtrlData = 0x90CC,
SetPicCtrlData = 0x90CD,
DeleteCustomPicCtrl = 0x90CE,
GetPicCtrlCapability = 0x90CF,
StartLiveView = 0x9201,
EndLiveView = 0x9202,
GetLiveViewImage = 0x9203,
MfDrive = 0x9204,
ChangeAfArea = 0x9205,
AfDriveCancel = 0x9206,
InitiateCaptureRecInMedia = 0x9207,
GetVendorStorageIDs = 0x9209,
StartMovieRecord = 0x920A,
EndMovieRecord = 0x920B,
TerminateCapture = 0x920C,
GetFhdPicture = 0x920F,
GetPartialObjectHighSpeed = 0x9400,
GetIPTCInfo = 0x9401,
StartSpotWb = 0x9402,
EndSpotWb = 0x9403,
ChangeSpotWbArea = 0x9404,
MeasureSpotWb = 0x9405,
EndSpotWbResultDisp = 0x9406,
CancelImagesInSdram = 0x940C,
GetIPTCPresetInfo = 0x9412,
SetIPTCPresetInfo = 0x9413,
GetSBHandles = 0x9414,
GetSBAttrDesc = 0x9415,
GetSBAttrValue = 0x9416,
SetSBAttrValue = 0x9417,
GetSBGroupAttrDesc = 0x9418,
GetSBGroupAttrValue = 0x9419,
SetSBGroupAttrValue = 0x941A,
TestFlash = 0x941B,
GetEventEx = 0x941C,
SaveCameraSetting = 0x9420,
GetObjectSize = 0x9421,
ChangeMonitorOff = 0x9422,
GetLiveViewCompressedSize = 0x9423,
StartTracking = 0x9424,
EndTracking = 0x9425,
ChangeAELock = 0x9426,
GetLiveViewImageEx = 0x9428,
GetHLGQualityData = 0x942E,
SetHLGQualityData = 0x942F,
GetPartialObjectEx = 0x9431,
InitiatePixelMapping = 0x9433,
GetObjectsMetaData = 0x9434,
ChangeApplicationMode = 0x9435,
ResetMenu = 0x9436,
GetVendorCodes = 0x9439,
GetDevicePropDescEx = 0x943A,
GetDevicePropValueEx = 0x943B,
SetDevicePropValueEx = 0x943C,
RegisterDevicePropGroup = 0x943D,
GetDevicePropDescList = 0x943E,
GetDevicePropValueList = 0x943F,
OperationDataNone = 0x9440,
OperationReceiveData = 0x9441,
OperationSendData = 0x9442,
GetPicCtrlDataList = 0x9443,
GetPicCtrlCapabilityList = 0x9444,
InitiateOpenCaptureV = 0x9445,
TerminateOpenCaptureV = 0x9446,
GetOpenCaptureInfo = 0x9447,
GetCommandFeature = 0x944C,
GetPicCtrlHlgDataList = 0x944D,
SetPicCtrlHlgData = 0x944E,
GetPicCtrlHlgCapabilityList = 0x944F,
SetPortraitImpressionBalanceData = 0x9453,
GetPortraitImpressionBalanceDataList = 0x9454,
ClearEvent = 0x9461,
SetFlickerReductionShutterSpeed = 0x9463,
PowerZoomDrive = 0x9464,
GetCameraSettingData = 0x946D,
SendCameraSettingData = 0x946E,
GetManualSettingLensData2 = 0x9470,
GetObjectPropsSupported = 0x9801,
GetObjectPropDesc = 0x9802,
GetObjectPropValue = 0x9803,
GetObjectPropList = 0x9805
};</v>
      </c>
    </row>
    <row r="4" spans="1:11" x14ac:dyDescent="0.25">
      <c r="A4" t="s">
        <v>2</v>
      </c>
      <c r="B4" t="s">
        <v>17</v>
      </c>
      <c r="C4" t="str">
        <f t="shared" ref="C4:C67" si="0">B4&amp;" = "&amp;A4&amp;","</f>
        <v>OpenSession = 0x1002,</v>
      </c>
      <c r="D4" s="21" t="s">
        <v>970</v>
      </c>
    </row>
    <row r="5" spans="1:11" x14ac:dyDescent="0.25">
      <c r="A5" t="s">
        <v>3</v>
      </c>
      <c r="B5" t="s">
        <v>24</v>
      </c>
      <c r="C5" t="str">
        <f t="shared" si="0"/>
        <v>CloseSession = 0x1003,</v>
      </c>
      <c r="D5" s="21" t="s">
        <v>970</v>
      </c>
      <c r="K5" s="22"/>
    </row>
    <row r="6" spans="1:11" x14ac:dyDescent="0.25">
      <c r="A6" t="s">
        <v>4</v>
      </c>
      <c r="B6" t="s">
        <v>18</v>
      </c>
      <c r="C6" t="str">
        <f t="shared" si="0"/>
        <v>GetStorageIDs = 0x1004,</v>
      </c>
      <c r="D6" s="21" t="s">
        <v>970</v>
      </c>
    </row>
    <row r="7" spans="1:11" x14ac:dyDescent="0.25">
      <c r="A7" t="s">
        <v>5</v>
      </c>
      <c r="B7" t="s">
        <v>19</v>
      </c>
      <c r="C7" t="str">
        <f t="shared" si="0"/>
        <v>GetStorageInfo = 0x1005,</v>
      </c>
      <c r="D7" s="21" t="s">
        <v>970</v>
      </c>
    </row>
    <row r="8" spans="1:11" x14ac:dyDescent="0.25">
      <c r="A8" t="s">
        <v>6</v>
      </c>
      <c r="B8" t="s">
        <v>20</v>
      </c>
      <c r="C8" t="str">
        <f t="shared" si="0"/>
        <v>GetNumObjects = 0x1006,</v>
      </c>
      <c r="D8" s="21" t="s">
        <v>970</v>
      </c>
    </row>
    <row r="9" spans="1:11" x14ac:dyDescent="0.25">
      <c r="A9" t="s">
        <v>7</v>
      </c>
      <c r="B9" t="s">
        <v>21</v>
      </c>
      <c r="C9" t="str">
        <f t="shared" si="0"/>
        <v>GetObjectHandles = 0x1007,</v>
      </c>
      <c r="D9" s="21" t="s">
        <v>970</v>
      </c>
    </row>
    <row r="10" spans="1:11" x14ac:dyDescent="0.25">
      <c r="A10" t="s">
        <v>8</v>
      </c>
      <c r="B10" t="s">
        <v>22</v>
      </c>
      <c r="C10" t="str">
        <f t="shared" si="0"/>
        <v>GetObjectInfo = 0x1008,</v>
      </c>
      <c r="D10" s="21" t="s">
        <v>970</v>
      </c>
    </row>
    <row r="11" spans="1:11" x14ac:dyDescent="0.25">
      <c r="A11" t="s">
        <v>9</v>
      </c>
      <c r="B11" t="s">
        <v>23</v>
      </c>
      <c r="C11" t="str">
        <f t="shared" si="0"/>
        <v>GetObject = 0x1009,</v>
      </c>
      <c r="D11" s="21" t="s">
        <v>970</v>
      </c>
    </row>
    <row r="12" spans="1:11" x14ac:dyDescent="0.25">
      <c r="A12" t="s">
        <v>10</v>
      </c>
      <c r="B12" t="s">
        <v>25</v>
      </c>
      <c r="C12" t="str">
        <f t="shared" si="0"/>
        <v>GetThumb = 0x100A,</v>
      </c>
      <c r="D12" s="21" t="s">
        <v>970</v>
      </c>
    </row>
    <row r="13" spans="1:11" x14ac:dyDescent="0.25">
      <c r="A13" t="s">
        <v>11</v>
      </c>
      <c r="B13" t="s">
        <v>26</v>
      </c>
      <c r="C13" t="str">
        <f t="shared" si="0"/>
        <v>DeleteObject = 0x100B,</v>
      </c>
      <c r="D13" s="21" t="s">
        <v>970</v>
      </c>
    </row>
    <row r="14" spans="1:11" x14ac:dyDescent="0.25">
      <c r="A14" t="s">
        <v>12</v>
      </c>
      <c r="B14" t="s">
        <v>27</v>
      </c>
      <c r="C14" t="str">
        <f t="shared" si="0"/>
        <v>SendObjectInfo = 0x100C,</v>
      </c>
      <c r="D14" s="21" t="s">
        <v>970</v>
      </c>
    </row>
    <row r="15" spans="1:11" x14ac:dyDescent="0.25">
      <c r="A15" t="s">
        <v>13</v>
      </c>
      <c r="B15" t="s">
        <v>28</v>
      </c>
      <c r="C15" t="str">
        <f t="shared" si="0"/>
        <v>SendObject = 0x100D,</v>
      </c>
      <c r="D15" s="21" t="s">
        <v>970</v>
      </c>
    </row>
    <row r="16" spans="1:11" x14ac:dyDescent="0.25">
      <c r="A16" t="s">
        <v>14</v>
      </c>
      <c r="B16" t="s">
        <v>29</v>
      </c>
      <c r="C16" t="str">
        <f t="shared" si="0"/>
        <v>InitiateCapture = 0x100E,</v>
      </c>
      <c r="D16" s="21" t="s">
        <v>970</v>
      </c>
    </row>
    <row r="17" spans="1:4" x14ac:dyDescent="0.25">
      <c r="A17" t="s">
        <v>15</v>
      </c>
      <c r="B17" t="s">
        <v>30</v>
      </c>
      <c r="C17" t="str">
        <f t="shared" si="0"/>
        <v>FormatStore = 0x100F,</v>
      </c>
      <c r="D17" s="21" t="s">
        <v>970</v>
      </c>
    </row>
    <row r="18" spans="1:4" x14ac:dyDescent="0.25">
      <c r="A18" t="s">
        <v>31</v>
      </c>
      <c r="B18" t="s">
        <v>35</v>
      </c>
      <c r="C18" t="str">
        <f t="shared" si="0"/>
        <v>GetDevicePropDesc = 0x1014,</v>
      </c>
      <c r="D18" s="21" t="s">
        <v>970</v>
      </c>
    </row>
    <row r="19" spans="1:4" x14ac:dyDescent="0.25">
      <c r="A19" t="s">
        <v>32</v>
      </c>
      <c r="B19" t="s">
        <v>36</v>
      </c>
      <c r="C19" t="str">
        <f t="shared" si="0"/>
        <v>GetDevicePropValue = 0x1015,</v>
      </c>
      <c r="D19" s="21" t="s">
        <v>970</v>
      </c>
    </row>
    <row r="20" spans="1:4" x14ac:dyDescent="0.25">
      <c r="A20" t="s">
        <v>33</v>
      </c>
      <c r="B20" t="s">
        <v>37</v>
      </c>
      <c r="C20" t="str">
        <f t="shared" si="0"/>
        <v>SetDevicePropValue = 0x1016,</v>
      </c>
      <c r="D20" s="21" t="s">
        <v>970</v>
      </c>
    </row>
    <row r="21" spans="1:4" x14ac:dyDescent="0.25">
      <c r="A21" t="s">
        <v>34</v>
      </c>
      <c r="B21" t="s">
        <v>38</v>
      </c>
      <c r="C21" t="str">
        <f t="shared" si="0"/>
        <v>GetPartialObject = 0x101B,</v>
      </c>
      <c r="D21" s="21" t="s">
        <v>970</v>
      </c>
    </row>
    <row r="22" spans="1:4" x14ac:dyDescent="0.25">
      <c r="A22" t="s">
        <v>40</v>
      </c>
      <c r="B22" t="s">
        <v>39</v>
      </c>
      <c r="C22" t="str">
        <f t="shared" si="0"/>
        <v>InitiateCaptureRecInSdram = 0x90C0,</v>
      </c>
      <c r="D22" s="21" t="s">
        <v>970</v>
      </c>
    </row>
    <row r="23" spans="1:4" x14ac:dyDescent="0.25">
      <c r="A23" t="s">
        <v>42</v>
      </c>
      <c r="B23" t="s">
        <v>56</v>
      </c>
      <c r="C23" t="str">
        <f t="shared" si="0"/>
        <v>AfDrive = 0x90C1,</v>
      </c>
      <c r="D23" s="21" t="s">
        <v>970</v>
      </c>
    </row>
    <row r="24" spans="1:4" x14ac:dyDescent="0.25">
      <c r="A24" t="s">
        <v>41</v>
      </c>
      <c r="B24" t="s">
        <v>57</v>
      </c>
      <c r="C24" t="str">
        <f t="shared" si="0"/>
        <v>ChangeCameraMode = 0x90C2,</v>
      </c>
      <c r="D24" s="21" t="s">
        <v>970</v>
      </c>
    </row>
    <row r="25" spans="1:4" x14ac:dyDescent="0.25">
      <c r="A25" t="s">
        <v>43</v>
      </c>
      <c r="B25" t="s">
        <v>58</v>
      </c>
      <c r="C25" t="str">
        <f t="shared" si="0"/>
        <v>DeleteImagesInSdram = 0x90C3,</v>
      </c>
      <c r="D25" s="21" t="s">
        <v>970</v>
      </c>
    </row>
    <row r="26" spans="1:4" x14ac:dyDescent="0.25">
      <c r="A26" t="s">
        <v>44</v>
      </c>
      <c r="B26" t="s">
        <v>59</v>
      </c>
      <c r="C26" t="str">
        <f t="shared" si="0"/>
        <v>GetLargeThumb = 0x90C4,</v>
      </c>
      <c r="D26" s="21" t="s">
        <v>970</v>
      </c>
    </row>
    <row r="27" spans="1:4" x14ac:dyDescent="0.25">
      <c r="A27" t="s">
        <v>45</v>
      </c>
      <c r="B27" t="s">
        <v>60</v>
      </c>
      <c r="C27" t="str">
        <f t="shared" si="0"/>
        <v>GetEvent = 0x90C7,</v>
      </c>
      <c r="D27" s="21" t="s">
        <v>970</v>
      </c>
    </row>
    <row r="28" spans="1:4" x14ac:dyDescent="0.25">
      <c r="A28" t="s">
        <v>46</v>
      </c>
      <c r="B28" t="s">
        <v>61</v>
      </c>
      <c r="C28" t="str">
        <f t="shared" si="0"/>
        <v>DeviceReady = 0x90C8,</v>
      </c>
      <c r="D28" s="21" t="s">
        <v>970</v>
      </c>
    </row>
    <row r="29" spans="1:4" x14ac:dyDescent="0.25">
      <c r="A29" t="s">
        <v>47</v>
      </c>
      <c r="B29" t="s">
        <v>62</v>
      </c>
      <c r="C29" t="str">
        <f t="shared" si="0"/>
        <v>SetPreWbData = 0x90C9,</v>
      </c>
      <c r="D29" s="21" t="s">
        <v>970</v>
      </c>
    </row>
    <row r="30" spans="1:4" x14ac:dyDescent="0.25">
      <c r="A30" t="s">
        <v>48</v>
      </c>
      <c r="B30" t="s">
        <v>63</v>
      </c>
      <c r="C30" t="str">
        <f t="shared" si="0"/>
        <v>AfAndCaptureRecInSdram = 0x90CB,</v>
      </c>
      <c r="D30" s="21" t="s">
        <v>970</v>
      </c>
    </row>
    <row r="31" spans="1:4" x14ac:dyDescent="0.25">
      <c r="A31" t="s">
        <v>49</v>
      </c>
      <c r="B31" t="s">
        <v>64</v>
      </c>
      <c r="C31" t="str">
        <f t="shared" si="0"/>
        <v>GetPicCtrlData = 0x90CC,</v>
      </c>
      <c r="D31" s="21" t="s">
        <v>970</v>
      </c>
    </row>
    <row r="32" spans="1:4" x14ac:dyDescent="0.25">
      <c r="A32" t="s">
        <v>50</v>
      </c>
      <c r="B32" t="s">
        <v>65</v>
      </c>
      <c r="C32" t="str">
        <f t="shared" si="0"/>
        <v>SetPicCtrlData = 0x90CD,</v>
      </c>
      <c r="D32" s="21" t="s">
        <v>970</v>
      </c>
    </row>
    <row r="33" spans="1:4" x14ac:dyDescent="0.25">
      <c r="A33" t="s">
        <v>51</v>
      </c>
      <c r="B33" t="s">
        <v>66</v>
      </c>
      <c r="C33" t="str">
        <f t="shared" si="0"/>
        <v>DeleteCustomPicCtrl = 0x90CE,</v>
      </c>
      <c r="D33" s="21" t="s">
        <v>970</v>
      </c>
    </row>
    <row r="34" spans="1:4" x14ac:dyDescent="0.25">
      <c r="A34" t="s">
        <v>52</v>
      </c>
      <c r="B34" t="s">
        <v>67</v>
      </c>
      <c r="C34" t="str">
        <f t="shared" si="0"/>
        <v>GetPicCtrlCapability = 0x90CF,</v>
      </c>
      <c r="D34" s="21" t="s">
        <v>970</v>
      </c>
    </row>
    <row r="35" spans="1:4" x14ac:dyDescent="0.25">
      <c r="A35" t="s">
        <v>53</v>
      </c>
      <c r="B35" t="s">
        <v>68</v>
      </c>
      <c r="C35" t="str">
        <f t="shared" si="0"/>
        <v>StartLiveView = 0x9201,</v>
      </c>
      <c r="D35" s="21" t="s">
        <v>970</v>
      </c>
    </row>
    <row r="36" spans="1:4" x14ac:dyDescent="0.25">
      <c r="A36" t="s">
        <v>54</v>
      </c>
      <c r="B36" t="s">
        <v>69</v>
      </c>
      <c r="C36" t="str">
        <f t="shared" si="0"/>
        <v>EndLiveView = 0x9202,</v>
      </c>
      <c r="D36" s="21" t="s">
        <v>970</v>
      </c>
    </row>
    <row r="37" spans="1:4" x14ac:dyDescent="0.25">
      <c r="A37" t="s">
        <v>55</v>
      </c>
      <c r="B37" t="s">
        <v>70</v>
      </c>
      <c r="C37" t="str">
        <f t="shared" si="0"/>
        <v>GetLiveViewImage = 0x9203,</v>
      </c>
      <c r="D37" s="21" t="s">
        <v>970</v>
      </c>
    </row>
    <row r="38" spans="1:4" x14ac:dyDescent="0.25">
      <c r="A38" t="s">
        <v>72</v>
      </c>
      <c r="B38" t="s">
        <v>71</v>
      </c>
      <c r="C38" t="str">
        <f t="shared" si="0"/>
        <v>MfDrive = 0x9204,</v>
      </c>
      <c r="D38" s="21" t="s">
        <v>970</v>
      </c>
    </row>
    <row r="39" spans="1:4" x14ac:dyDescent="0.25">
      <c r="A39" t="s">
        <v>73</v>
      </c>
      <c r="B39" t="s">
        <v>77</v>
      </c>
      <c r="C39" t="str">
        <f t="shared" si="0"/>
        <v>ChangeAfArea = 0x9205,</v>
      </c>
      <c r="D39" s="21" t="s">
        <v>970</v>
      </c>
    </row>
    <row r="40" spans="1:4" x14ac:dyDescent="0.25">
      <c r="A40" t="s">
        <v>74</v>
      </c>
      <c r="B40" t="s">
        <v>78</v>
      </c>
      <c r="C40" t="str">
        <f t="shared" si="0"/>
        <v>AfDriveCancel = 0x9206,</v>
      </c>
      <c r="D40" s="21" t="s">
        <v>970</v>
      </c>
    </row>
    <row r="41" spans="1:4" x14ac:dyDescent="0.25">
      <c r="A41" t="s">
        <v>75</v>
      </c>
      <c r="B41" t="s">
        <v>79</v>
      </c>
      <c r="C41" t="str">
        <f t="shared" si="0"/>
        <v>InitiateCaptureRecInMedia = 0x9207,</v>
      </c>
      <c r="D41" s="21" t="s">
        <v>970</v>
      </c>
    </row>
    <row r="42" spans="1:4" x14ac:dyDescent="0.25">
      <c r="A42" t="s">
        <v>76</v>
      </c>
      <c r="B42" t="s">
        <v>80</v>
      </c>
      <c r="C42" t="str">
        <f t="shared" si="0"/>
        <v>GetVendorStorageIDs = 0x9209,</v>
      </c>
      <c r="D42" s="21" t="s">
        <v>970</v>
      </c>
    </row>
    <row r="43" spans="1:4" x14ac:dyDescent="0.25">
      <c r="A43" t="s">
        <v>81</v>
      </c>
      <c r="B43" t="s">
        <v>86</v>
      </c>
      <c r="C43" t="str">
        <f t="shared" si="0"/>
        <v>StartMovieRecord = 0x920A,</v>
      </c>
      <c r="D43" s="21" t="s">
        <v>970</v>
      </c>
    </row>
    <row r="44" spans="1:4" x14ac:dyDescent="0.25">
      <c r="A44" t="s">
        <v>82</v>
      </c>
      <c r="B44" t="s">
        <v>85</v>
      </c>
      <c r="C44" t="str">
        <f t="shared" si="0"/>
        <v>EndMovieRecord = 0x920B,</v>
      </c>
      <c r="D44" s="21" t="s">
        <v>970</v>
      </c>
    </row>
    <row r="45" spans="1:4" x14ac:dyDescent="0.25">
      <c r="A45" t="s">
        <v>83</v>
      </c>
      <c r="B45" t="s">
        <v>87</v>
      </c>
      <c r="C45" t="str">
        <f t="shared" si="0"/>
        <v>TerminateCapture = 0x920C,</v>
      </c>
      <c r="D45" s="21" t="s">
        <v>970</v>
      </c>
    </row>
    <row r="46" spans="1:4" x14ac:dyDescent="0.25">
      <c r="A46" t="s">
        <v>84</v>
      </c>
      <c r="B46" t="s">
        <v>88</v>
      </c>
      <c r="C46" t="str">
        <f t="shared" si="0"/>
        <v>GetFhdPicture = 0x920F,</v>
      </c>
      <c r="D46" s="21" t="s">
        <v>970</v>
      </c>
    </row>
    <row r="47" spans="1:4" x14ac:dyDescent="0.25">
      <c r="A47" t="s">
        <v>96</v>
      </c>
      <c r="B47" t="s">
        <v>89</v>
      </c>
      <c r="C47" t="str">
        <f t="shared" si="0"/>
        <v>GetPartialObjectHighSpeed = 0x9400,</v>
      </c>
      <c r="D47" s="21" t="s">
        <v>970</v>
      </c>
    </row>
    <row r="48" spans="1:4" x14ac:dyDescent="0.25">
      <c r="A48" t="s">
        <v>97</v>
      </c>
      <c r="B48" t="s">
        <v>90</v>
      </c>
      <c r="C48" t="str">
        <f t="shared" si="0"/>
        <v>GetIPTCInfo = 0x9401,</v>
      </c>
      <c r="D48" s="21" t="s">
        <v>970</v>
      </c>
    </row>
    <row r="49" spans="1:4" x14ac:dyDescent="0.25">
      <c r="A49" t="s">
        <v>98</v>
      </c>
      <c r="B49" t="s">
        <v>91</v>
      </c>
      <c r="C49" t="str">
        <f t="shared" si="0"/>
        <v>StartSpotWb = 0x9402,</v>
      </c>
      <c r="D49" s="21" t="s">
        <v>970</v>
      </c>
    </row>
    <row r="50" spans="1:4" x14ac:dyDescent="0.25">
      <c r="A50" t="s">
        <v>99</v>
      </c>
      <c r="B50" t="s">
        <v>92</v>
      </c>
      <c r="C50" t="str">
        <f t="shared" si="0"/>
        <v>EndSpotWb = 0x9403,</v>
      </c>
      <c r="D50" s="21" t="s">
        <v>970</v>
      </c>
    </row>
    <row r="51" spans="1:4" x14ac:dyDescent="0.25">
      <c r="A51" t="s">
        <v>100</v>
      </c>
      <c r="B51" t="s">
        <v>93</v>
      </c>
      <c r="C51" t="str">
        <f t="shared" si="0"/>
        <v>ChangeSpotWbArea = 0x9404,</v>
      </c>
      <c r="D51" s="21" t="s">
        <v>970</v>
      </c>
    </row>
    <row r="52" spans="1:4" x14ac:dyDescent="0.25">
      <c r="A52" t="s">
        <v>101</v>
      </c>
      <c r="B52" t="s">
        <v>94</v>
      </c>
      <c r="C52" t="str">
        <f t="shared" si="0"/>
        <v>MeasureSpotWb = 0x9405,</v>
      </c>
      <c r="D52" s="21" t="s">
        <v>970</v>
      </c>
    </row>
    <row r="53" spans="1:4" x14ac:dyDescent="0.25">
      <c r="A53" t="s">
        <v>102</v>
      </c>
      <c r="B53" t="s">
        <v>95</v>
      </c>
      <c r="C53" t="str">
        <f t="shared" si="0"/>
        <v>EndSpotWbResultDisp = 0x9406,</v>
      </c>
      <c r="D53" s="21" t="s">
        <v>970</v>
      </c>
    </row>
    <row r="54" spans="1:4" x14ac:dyDescent="0.25">
      <c r="A54" t="s">
        <v>103</v>
      </c>
      <c r="B54" t="s">
        <v>104</v>
      </c>
      <c r="C54" t="str">
        <f t="shared" si="0"/>
        <v>CancelImagesInSdram = 0x940C,</v>
      </c>
      <c r="D54" s="21" t="s">
        <v>970</v>
      </c>
    </row>
    <row r="55" spans="1:4" x14ac:dyDescent="0.25">
      <c r="A55" t="s">
        <v>105</v>
      </c>
      <c r="B55" t="s">
        <v>107</v>
      </c>
      <c r="C55" t="str">
        <f t="shared" si="0"/>
        <v>GetIPTCPresetInfo = 0x9412,</v>
      </c>
      <c r="D55" s="21" t="s">
        <v>970</v>
      </c>
    </row>
    <row r="56" spans="1:4" x14ac:dyDescent="0.25">
      <c r="A56" t="s">
        <v>106</v>
      </c>
      <c r="B56" t="s">
        <v>108</v>
      </c>
      <c r="C56" t="str">
        <f t="shared" si="0"/>
        <v>SetIPTCPresetInfo = 0x9413,</v>
      </c>
      <c r="D56" s="21" t="s">
        <v>970</v>
      </c>
    </row>
    <row r="57" spans="1:4" x14ac:dyDescent="0.25">
      <c r="A57" t="s">
        <v>109</v>
      </c>
      <c r="B57" t="s">
        <v>118</v>
      </c>
      <c r="C57" t="str">
        <f t="shared" si="0"/>
        <v>GetSBHandles = 0x9414,</v>
      </c>
      <c r="D57" s="21" t="s">
        <v>970</v>
      </c>
    </row>
    <row r="58" spans="1:4" x14ac:dyDescent="0.25">
      <c r="A58" t="s">
        <v>110</v>
      </c>
      <c r="B58" t="s">
        <v>119</v>
      </c>
      <c r="C58" t="str">
        <f t="shared" si="0"/>
        <v>GetSBAttrDesc = 0x9415,</v>
      </c>
      <c r="D58" s="21" t="s">
        <v>970</v>
      </c>
    </row>
    <row r="59" spans="1:4" x14ac:dyDescent="0.25">
      <c r="A59" t="s">
        <v>111</v>
      </c>
      <c r="B59" t="s">
        <v>120</v>
      </c>
      <c r="C59" t="str">
        <f t="shared" si="0"/>
        <v>GetSBAttrValue = 0x9416,</v>
      </c>
      <c r="D59" s="21" t="s">
        <v>970</v>
      </c>
    </row>
    <row r="60" spans="1:4" x14ac:dyDescent="0.25">
      <c r="A60" t="s">
        <v>112</v>
      </c>
      <c r="B60" t="s">
        <v>121</v>
      </c>
      <c r="C60" t="str">
        <f t="shared" si="0"/>
        <v>SetSBAttrValue = 0x9417,</v>
      </c>
      <c r="D60" s="21" t="s">
        <v>970</v>
      </c>
    </row>
    <row r="61" spans="1:4" x14ac:dyDescent="0.25">
      <c r="A61" t="s">
        <v>113</v>
      </c>
      <c r="B61" t="s">
        <v>122</v>
      </c>
      <c r="C61" t="str">
        <f t="shared" si="0"/>
        <v>GetSBGroupAttrDesc = 0x9418,</v>
      </c>
      <c r="D61" s="21" t="s">
        <v>970</v>
      </c>
    </row>
    <row r="62" spans="1:4" x14ac:dyDescent="0.25">
      <c r="A62" t="s">
        <v>114</v>
      </c>
      <c r="B62" t="s">
        <v>123</v>
      </c>
      <c r="C62" t="str">
        <f t="shared" si="0"/>
        <v>GetSBGroupAttrValue = 0x9419,</v>
      </c>
      <c r="D62" s="21" t="s">
        <v>970</v>
      </c>
    </row>
    <row r="63" spans="1:4" x14ac:dyDescent="0.25">
      <c r="A63" t="s">
        <v>115</v>
      </c>
      <c r="B63" t="s">
        <v>124</v>
      </c>
      <c r="C63" t="str">
        <f t="shared" si="0"/>
        <v>SetSBGroupAttrValue = 0x941A,</v>
      </c>
      <c r="D63" s="21" t="s">
        <v>970</v>
      </c>
    </row>
    <row r="64" spans="1:4" x14ac:dyDescent="0.25">
      <c r="A64" t="s">
        <v>116</v>
      </c>
      <c r="B64" t="s">
        <v>125</v>
      </c>
      <c r="C64" t="str">
        <f t="shared" si="0"/>
        <v>TestFlash = 0x941B,</v>
      </c>
      <c r="D64" s="21" t="s">
        <v>970</v>
      </c>
    </row>
    <row r="65" spans="1:4" x14ac:dyDescent="0.25">
      <c r="A65" t="s">
        <v>117</v>
      </c>
      <c r="B65" t="s">
        <v>126</v>
      </c>
      <c r="C65" t="str">
        <f t="shared" si="0"/>
        <v>GetEventEx = 0x941C,</v>
      </c>
      <c r="D65" s="21" t="s">
        <v>970</v>
      </c>
    </row>
    <row r="66" spans="1:4" x14ac:dyDescent="0.25">
      <c r="A66" t="s">
        <v>127</v>
      </c>
      <c r="B66" t="s">
        <v>136</v>
      </c>
      <c r="C66" t="str">
        <f t="shared" si="0"/>
        <v>SaveCameraSetting = 0x9420,</v>
      </c>
      <c r="D66" s="21" t="s">
        <v>970</v>
      </c>
    </row>
    <row r="67" spans="1:4" x14ac:dyDescent="0.25">
      <c r="A67" t="s">
        <v>128</v>
      </c>
      <c r="B67" t="s">
        <v>135</v>
      </c>
      <c r="C67" t="str">
        <f t="shared" si="0"/>
        <v>GetObjectSize = 0x9421,</v>
      </c>
      <c r="D67" s="21" t="s">
        <v>970</v>
      </c>
    </row>
    <row r="68" spans="1:4" x14ac:dyDescent="0.25">
      <c r="A68" t="s">
        <v>129</v>
      </c>
      <c r="B68" t="s">
        <v>137</v>
      </c>
      <c r="C68" t="str">
        <f t="shared" ref="C68:C111" si="1">B68&amp;" = "&amp;A68&amp;","</f>
        <v>ChangeMonitorOff = 0x9422,</v>
      </c>
      <c r="D68" s="21" t="s">
        <v>970</v>
      </c>
    </row>
    <row r="69" spans="1:4" x14ac:dyDescent="0.25">
      <c r="A69" t="s">
        <v>130</v>
      </c>
      <c r="B69" t="s">
        <v>138</v>
      </c>
      <c r="C69" t="str">
        <f t="shared" si="1"/>
        <v>GetLiveViewCompressedSize = 0x9423,</v>
      </c>
      <c r="D69" s="21" t="s">
        <v>970</v>
      </c>
    </row>
    <row r="70" spans="1:4" x14ac:dyDescent="0.25">
      <c r="A70" t="s">
        <v>131</v>
      </c>
      <c r="B70" t="s">
        <v>139</v>
      </c>
      <c r="C70" t="str">
        <f t="shared" si="1"/>
        <v>StartTracking = 0x9424,</v>
      </c>
      <c r="D70" s="21" t="s">
        <v>970</v>
      </c>
    </row>
    <row r="71" spans="1:4" x14ac:dyDescent="0.25">
      <c r="A71" t="s">
        <v>132</v>
      </c>
      <c r="B71" t="s">
        <v>140</v>
      </c>
      <c r="C71" t="str">
        <f t="shared" si="1"/>
        <v>EndTracking = 0x9425,</v>
      </c>
      <c r="D71" s="21" t="s">
        <v>970</v>
      </c>
    </row>
    <row r="72" spans="1:4" x14ac:dyDescent="0.25">
      <c r="A72" t="s">
        <v>133</v>
      </c>
      <c r="B72" t="s">
        <v>141</v>
      </c>
      <c r="C72" t="str">
        <f t="shared" si="1"/>
        <v>ChangeAELock = 0x9426,</v>
      </c>
      <c r="D72" s="21" t="s">
        <v>970</v>
      </c>
    </row>
    <row r="73" spans="1:4" x14ac:dyDescent="0.25">
      <c r="A73" t="s">
        <v>134</v>
      </c>
      <c r="B73" t="s">
        <v>142</v>
      </c>
      <c r="C73" t="str">
        <f t="shared" si="1"/>
        <v>GetLiveViewImageEx = 0x9428,</v>
      </c>
      <c r="D73" s="21" t="s">
        <v>970</v>
      </c>
    </row>
    <row r="74" spans="1:4" x14ac:dyDescent="0.25">
      <c r="A74" t="s">
        <v>145</v>
      </c>
      <c r="B74" t="s">
        <v>143</v>
      </c>
      <c r="C74" t="str">
        <f t="shared" si="1"/>
        <v>GetHLGQualityData = 0x942E,</v>
      </c>
      <c r="D74" s="21" t="s">
        <v>970</v>
      </c>
    </row>
    <row r="75" spans="1:4" x14ac:dyDescent="0.25">
      <c r="A75" t="s">
        <v>146</v>
      </c>
      <c r="B75" t="s">
        <v>144</v>
      </c>
      <c r="C75" t="str">
        <f t="shared" si="1"/>
        <v>SetHLGQualityData = 0x942F,</v>
      </c>
      <c r="D75" s="21" t="s">
        <v>970</v>
      </c>
    </row>
    <row r="76" spans="1:4" x14ac:dyDescent="0.25">
      <c r="A76" t="s">
        <v>148</v>
      </c>
      <c r="B76" t="s">
        <v>154</v>
      </c>
      <c r="C76" t="str">
        <f t="shared" si="1"/>
        <v>GetPartialObjectEx = 0x9431,</v>
      </c>
      <c r="D76" s="21" t="s">
        <v>970</v>
      </c>
    </row>
    <row r="77" spans="1:4" x14ac:dyDescent="0.25">
      <c r="A77" t="s">
        <v>149</v>
      </c>
      <c r="B77" t="s">
        <v>155</v>
      </c>
      <c r="C77" t="str">
        <f t="shared" si="1"/>
        <v>InitiatePixelMapping = 0x9433,</v>
      </c>
      <c r="D77" s="21" t="s">
        <v>970</v>
      </c>
    </row>
    <row r="78" spans="1:4" x14ac:dyDescent="0.25">
      <c r="A78" t="s">
        <v>150</v>
      </c>
      <c r="B78" t="s">
        <v>156</v>
      </c>
      <c r="C78" t="str">
        <f t="shared" si="1"/>
        <v>GetObjectsMetaData = 0x9434,</v>
      </c>
      <c r="D78" s="21" t="s">
        <v>970</v>
      </c>
    </row>
    <row r="79" spans="1:4" x14ac:dyDescent="0.25">
      <c r="A79" t="s">
        <v>151</v>
      </c>
      <c r="B79" t="s">
        <v>157</v>
      </c>
      <c r="C79" t="str">
        <f t="shared" si="1"/>
        <v>ChangeApplicationMode = 0x9435,</v>
      </c>
      <c r="D79" s="21" t="s">
        <v>970</v>
      </c>
    </row>
    <row r="80" spans="1:4" x14ac:dyDescent="0.25">
      <c r="A80" t="s">
        <v>152</v>
      </c>
      <c r="B80" t="s">
        <v>158</v>
      </c>
      <c r="C80" t="str">
        <f t="shared" si="1"/>
        <v>ResetMenu = 0x9436,</v>
      </c>
      <c r="D80" s="21" t="s">
        <v>970</v>
      </c>
    </row>
    <row r="81" spans="1:4" x14ac:dyDescent="0.25">
      <c r="A81" t="s">
        <v>153</v>
      </c>
      <c r="B81" t="s">
        <v>159</v>
      </c>
      <c r="C81" t="str">
        <f t="shared" si="1"/>
        <v>GetVendorCodes = 0x9439,</v>
      </c>
      <c r="D81" s="21" t="s">
        <v>970</v>
      </c>
    </row>
    <row r="82" spans="1:4" x14ac:dyDescent="0.25">
      <c r="A82" t="s">
        <v>160</v>
      </c>
      <c r="B82" t="s">
        <v>164</v>
      </c>
      <c r="C82" t="str">
        <f t="shared" si="1"/>
        <v>GetDevicePropDescEx = 0x943A,</v>
      </c>
      <c r="D82" s="21" t="s">
        <v>970</v>
      </c>
    </row>
    <row r="83" spans="1:4" x14ac:dyDescent="0.25">
      <c r="A83" t="s">
        <v>161</v>
      </c>
      <c r="B83" t="s">
        <v>165</v>
      </c>
      <c r="C83" t="str">
        <f t="shared" si="1"/>
        <v>GetDevicePropValueEx = 0x943B,</v>
      </c>
      <c r="D83" s="21" t="s">
        <v>970</v>
      </c>
    </row>
    <row r="84" spans="1:4" x14ac:dyDescent="0.25">
      <c r="A84" t="s">
        <v>162</v>
      </c>
      <c r="B84" t="s">
        <v>166</v>
      </c>
      <c r="C84" t="str">
        <f t="shared" si="1"/>
        <v>SetDevicePropValueEx = 0x943C,</v>
      </c>
      <c r="D84" s="21" t="s">
        <v>970</v>
      </c>
    </row>
    <row r="85" spans="1:4" x14ac:dyDescent="0.25">
      <c r="A85" t="s">
        <v>163</v>
      </c>
      <c r="B85" t="s">
        <v>167</v>
      </c>
      <c r="C85" t="str">
        <f t="shared" si="1"/>
        <v>RegisterDevicePropGroup = 0x943D,</v>
      </c>
      <c r="D85" s="21" t="s">
        <v>970</v>
      </c>
    </row>
    <row r="86" spans="1:4" x14ac:dyDescent="0.25">
      <c r="A86" t="s">
        <v>168</v>
      </c>
      <c r="B86" t="s">
        <v>178</v>
      </c>
      <c r="C86" t="str">
        <f t="shared" si="1"/>
        <v>GetDevicePropDescList = 0x943E,</v>
      </c>
      <c r="D86" s="21" t="s">
        <v>970</v>
      </c>
    </row>
    <row r="87" spans="1:4" x14ac:dyDescent="0.25">
      <c r="A87" t="s">
        <v>169</v>
      </c>
      <c r="B87" t="s">
        <v>179</v>
      </c>
      <c r="C87" t="str">
        <f t="shared" si="1"/>
        <v>GetDevicePropValueList = 0x943F,</v>
      </c>
      <c r="D87" s="21" t="s">
        <v>970</v>
      </c>
    </row>
    <row r="88" spans="1:4" x14ac:dyDescent="0.25">
      <c r="A88" t="s">
        <v>170</v>
      </c>
      <c r="B88" t="s">
        <v>180</v>
      </c>
      <c r="C88" t="str">
        <f t="shared" si="1"/>
        <v>OperationDataNone = 0x9440,</v>
      </c>
      <c r="D88" s="21" t="s">
        <v>970</v>
      </c>
    </row>
    <row r="89" spans="1:4" x14ac:dyDescent="0.25">
      <c r="A89" t="s">
        <v>171</v>
      </c>
      <c r="B89" t="s">
        <v>181</v>
      </c>
      <c r="C89" t="str">
        <f t="shared" si="1"/>
        <v>OperationReceiveData = 0x9441,</v>
      </c>
      <c r="D89" s="21" t="s">
        <v>970</v>
      </c>
    </row>
    <row r="90" spans="1:4" x14ac:dyDescent="0.25">
      <c r="A90" t="s">
        <v>172</v>
      </c>
      <c r="B90" t="s">
        <v>182</v>
      </c>
      <c r="C90" t="str">
        <f t="shared" si="1"/>
        <v>OperationSendData = 0x9442,</v>
      </c>
      <c r="D90" s="21" t="s">
        <v>970</v>
      </c>
    </row>
    <row r="91" spans="1:4" x14ac:dyDescent="0.25">
      <c r="A91" t="s">
        <v>173</v>
      </c>
      <c r="B91" t="s">
        <v>183</v>
      </c>
      <c r="C91" t="str">
        <f t="shared" si="1"/>
        <v>GetPicCtrlDataList = 0x9443,</v>
      </c>
      <c r="D91" s="21" t="s">
        <v>970</v>
      </c>
    </row>
    <row r="92" spans="1:4" x14ac:dyDescent="0.25">
      <c r="A92" t="s">
        <v>174</v>
      </c>
      <c r="B92" t="s">
        <v>184</v>
      </c>
      <c r="C92" t="str">
        <f t="shared" si="1"/>
        <v>GetPicCtrlCapabilityList = 0x9444,</v>
      </c>
      <c r="D92" s="21" t="s">
        <v>970</v>
      </c>
    </row>
    <row r="93" spans="1:4" x14ac:dyDescent="0.25">
      <c r="A93" t="s">
        <v>175</v>
      </c>
      <c r="B93" t="s">
        <v>185</v>
      </c>
      <c r="C93" t="str">
        <f t="shared" si="1"/>
        <v>InitiateOpenCaptureV = 0x9445,</v>
      </c>
      <c r="D93" s="21" t="s">
        <v>970</v>
      </c>
    </row>
    <row r="94" spans="1:4" x14ac:dyDescent="0.25">
      <c r="A94" t="s">
        <v>176</v>
      </c>
      <c r="B94" t="s">
        <v>186</v>
      </c>
      <c r="C94" t="str">
        <f t="shared" si="1"/>
        <v>TerminateOpenCaptureV = 0x9446,</v>
      </c>
      <c r="D94" s="21" t="s">
        <v>970</v>
      </c>
    </row>
    <row r="95" spans="1:4" x14ac:dyDescent="0.25">
      <c r="A95" t="s">
        <v>177</v>
      </c>
      <c r="B95" t="s">
        <v>187</v>
      </c>
      <c r="C95" t="str">
        <f t="shared" si="1"/>
        <v>GetOpenCaptureInfo = 0x9447,</v>
      </c>
      <c r="D95" s="21" t="s">
        <v>970</v>
      </c>
    </row>
    <row r="96" spans="1:4" x14ac:dyDescent="0.25">
      <c r="A96" t="s">
        <v>188</v>
      </c>
      <c r="B96" t="s">
        <v>189</v>
      </c>
      <c r="C96" t="str">
        <f t="shared" si="1"/>
        <v>GetCommandFeature = 0x944C,</v>
      </c>
      <c r="D96" s="21" t="s">
        <v>970</v>
      </c>
    </row>
    <row r="97" spans="1:4" x14ac:dyDescent="0.25">
      <c r="A97" t="s">
        <v>190</v>
      </c>
      <c r="B97" t="s">
        <v>191</v>
      </c>
      <c r="C97" t="str">
        <f t="shared" si="1"/>
        <v>GetPicCtrlHlgDataList = 0x944D,</v>
      </c>
      <c r="D97" s="21" t="s">
        <v>970</v>
      </c>
    </row>
    <row r="98" spans="1:4" x14ac:dyDescent="0.25">
      <c r="A98" t="s">
        <v>192</v>
      </c>
      <c r="B98" t="s">
        <v>193</v>
      </c>
      <c r="C98" t="str">
        <f t="shared" si="1"/>
        <v>SetPicCtrlHlgData = 0x944E,</v>
      </c>
      <c r="D98" s="21" t="s">
        <v>970</v>
      </c>
    </row>
    <row r="99" spans="1:4" x14ac:dyDescent="0.25">
      <c r="A99" t="s">
        <v>194</v>
      </c>
      <c r="B99" t="s">
        <v>195</v>
      </c>
      <c r="C99" t="str">
        <f t="shared" si="1"/>
        <v>GetPicCtrlHlgCapabilityList = 0x944F,</v>
      </c>
      <c r="D99" s="21" t="s">
        <v>970</v>
      </c>
    </row>
    <row r="100" spans="1:4" x14ac:dyDescent="0.25">
      <c r="A100" t="s">
        <v>196</v>
      </c>
      <c r="B100" t="s">
        <v>197</v>
      </c>
      <c r="C100" t="str">
        <f t="shared" si="1"/>
        <v>SetPortraitImpressionBalanceData = 0x9453,</v>
      </c>
      <c r="D100" s="21" t="s">
        <v>970</v>
      </c>
    </row>
    <row r="101" spans="1:4" x14ac:dyDescent="0.25">
      <c r="A101" t="s">
        <v>198</v>
      </c>
      <c r="B101" t="s">
        <v>199</v>
      </c>
      <c r="C101" t="str">
        <f t="shared" si="1"/>
        <v>GetPortraitImpressionBalanceDataList = 0x9454,</v>
      </c>
      <c r="D101" s="21" t="s">
        <v>970</v>
      </c>
    </row>
    <row r="102" spans="1:4" x14ac:dyDescent="0.25">
      <c r="A102" t="s">
        <v>200</v>
      </c>
      <c r="B102" t="s">
        <v>201</v>
      </c>
      <c r="C102" t="str">
        <f t="shared" si="1"/>
        <v>ClearEvent = 0x9461,</v>
      </c>
      <c r="D102" s="21" t="s">
        <v>970</v>
      </c>
    </row>
    <row r="103" spans="1:4" x14ac:dyDescent="0.25">
      <c r="A103" t="s">
        <v>202</v>
      </c>
      <c r="B103" t="s">
        <v>203</v>
      </c>
      <c r="C103" t="str">
        <f t="shared" si="1"/>
        <v>SetFlickerReductionShutterSpeed = 0x9463,</v>
      </c>
      <c r="D103" s="21" t="s">
        <v>970</v>
      </c>
    </row>
    <row r="104" spans="1:4" x14ac:dyDescent="0.25">
      <c r="A104" t="s">
        <v>204</v>
      </c>
      <c r="B104" t="s">
        <v>205</v>
      </c>
      <c r="C104" t="str">
        <f t="shared" si="1"/>
        <v>PowerZoomDrive = 0x9464,</v>
      </c>
      <c r="D104" s="21" t="s">
        <v>970</v>
      </c>
    </row>
    <row r="105" spans="1:4" x14ac:dyDescent="0.25">
      <c r="A105" t="s">
        <v>206</v>
      </c>
      <c r="B105" t="s">
        <v>207</v>
      </c>
      <c r="C105" t="str">
        <f t="shared" si="1"/>
        <v>GetCameraSettingData = 0x946D,</v>
      </c>
      <c r="D105" s="21" t="s">
        <v>970</v>
      </c>
    </row>
    <row r="106" spans="1:4" x14ac:dyDescent="0.25">
      <c r="A106" t="s">
        <v>208</v>
      </c>
      <c r="B106" t="s">
        <v>209</v>
      </c>
      <c r="C106" t="str">
        <f t="shared" si="1"/>
        <v>SendCameraSettingData = 0x946E,</v>
      </c>
      <c r="D106" s="21" t="s">
        <v>970</v>
      </c>
    </row>
    <row r="107" spans="1:4" x14ac:dyDescent="0.25">
      <c r="A107" t="s">
        <v>210</v>
      </c>
      <c r="B107" t="s">
        <v>211</v>
      </c>
      <c r="C107" t="str">
        <f t="shared" si="1"/>
        <v>GetManualSettingLensData2 = 0x9470,</v>
      </c>
      <c r="D107" s="21" t="s">
        <v>970</v>
      </c>
    </row>
    <row r="108" spans="1:4" x14ac:dyDescent="0.25">
      <c r="A108" t="s">
        <v>212</v>
      </c>
      <c r="B108" t="s">
        <v>213</v>
      </c>
      <c r="C108" t="str">
        <f t="shared" si="1"/>
        <v>GetObjectPropsSupported = 0x9801,</v>
      </c>
      <c r="D108" s="21" t="s">
        <v>970</v>
      </c>
    </row>
    <row r="109" spans="1:4" x14ac:dyDescent="0.25">
      <c r="A109" t="s">
        <v>214</v>
      </c>
      <c r="B109" t="s">
        <v>215</v>
      </c>
      <c r="C109" t="str">
        <f t="shared" si="1"/>
        <v>GetObjectPropDesc = 0x9802,</v>
      </c>
      <c r="D109" s="21" t="s">
        <v>970</v>
      </c>
    </row>
    <row r="110" spans="1:4" x14ac:dyDescent="0.25">
      <c r="A110" t="s">
        <v>216</v>
      </c>
      <c r="B110" t="s">
        <v>217</v>
      </c>
      <c r="C110" t="str">
        <f t="shared" si="1"/>
        <v>GetObjectPropValue = 0x9803,</v>
      </c>
      <c r="D110" s="21" t="s">
        <v>970</v>
      </c>
    </row>
    <row r="111" spans="1:4" x14ac:dyDescent="0.25">
      <c r="A111" t="s">
        <v>218</v>
      </c>
      <c r="B111" t="s">
        <v>219</v>
      </c>
      <c r="C111" t="str">
        <f t="shared" si="1"/>
        <v>GetObjectPropList = 0x9805,</v>
      </c>
      <c r="D111" s="21" t="s">
        <v>970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D83C6-3732-4996-A7D3-C4BE6DC8E678}">
  <dimension ref="A1:I54"/>
  <sheetViews>
    <sheetView workbookViewId="0">
      <pane xSplit="2" ySplit="2" topLeftCell="C3" activePane="bottomRight" state="frozen"/>
      <selection pane="topRight" activeCell="C1" sqref="C1"/>
      <selection pane="bottomLeft" activeCell="A2" sqref="A2"/>
      <selection pane="bottomRight" activeCell="C3" sqref="C3:C54"/>
    </sheetView>
  </sheetViews>
  <sheetFormatPr defaultRowHeight="15" x14ac:dyDescent="0.25"/>
  <cols>
    <col min="1" max="1" width="15.140625" bestFit="1" customWidth="1"/>
    <col min="2" max="2" width="40.140625" bestFit="1" customWidth="1"/>
    <col min="3" max="3" width="11.42578125" bestFit="1" customWidth="1"/>
  </cols>
  <sheetData>
    <row r="1" spans="1:9" x14ac:dyDescent="0.25">
      <c r="D1" s="2" t="s">
        <v>993</v>
      </c>
    </row>
    <row r="2" spans="1:9" x14ac:dyDescent="0.25">
      <c r="A2" s="1" t="s">
        <v>325</v>
      </c>
      <c r="B2" s="1" t="s">
        <v>0</v>
      </c>
      <c r="D2" s="21" t="s">
        <v>994</v>
      </c>
    </row>
    <row r="3" spans="1:9" x14ac:dyDescent="0.25">
      <c r="A3" t="s">
        <v>221</v>
      </c>
      <c r="B3" t="s">
        <v>230</v>
      </c>
      <c r="C3" t="str">
        <f>B3&amp;" = "&amp;A3&amp;","</f>
        <v>OK = 0x2001,</v>
      </c>
      <c r="D3" s="21" t="s">
        <v>970</v>
      </c>
      <c r="I3" s="2"/>
    </row>
    <row r="4" spans="1:9" x14ac:dyDescent="0.25">
      <c r="A4" t="s">
        <v>222</v>
      </c>
      <c r="B4" t="s">
        <v>231</v>
      </c>
      <c r="C4" t="str">
        <f t="shared" ref="C4:C54" si="0">B4&amp;" = "&amp;A4&amp;","</f>
        <v>General_Error = 0x2002,</v>
      </c>
      <c r="D4" s="21" t="s">
        <v>970</v>
      </c>
    </row>
    <row r="5" spans="1:9" x14ac:dyDescent="0.25">
      <c r="A5" t="s">
        <v>223</v>
      </c>
      <c r="B5" t="s">
        <v>232</v>
      </c>
      <c r="C5" t="str">
        <f t="shared" si="0"/>
        <v>Session_Not_Open = 0x2003,</v>
      </c>
      <c r="D5" s="21" t="s">
        <v>970</v>
      </c>
    </row>
    <row r="6" spans="1:9" x14ac:dyDescent="0.25">
      <c r="A6" t="s">
        <v>224</v>
      </c>
      <c r="B6" t="s">
        <v>233</v>
      </c>
      <c r="C6" t="str">
        <f t="shared" si="0"/>
        <v>Invalid_TransactionID = 0x2004,</v>
      </c>
      <c r="D6" s="21" t="s">
        <v>970</v>
      </c>
    </row>
    <row r="7" spans="1:9" x14ac:dyDescent="0.25">
      <c r="A7" t="s">
        <v>225</v>
      </c>
      <c r="B7" t="s">
        <v>234</v>
      </c>
      <c r="C7" t="str">
        <f t="shared" si="0"/>
        <v>Operation_Not_Supported = 0x2005,</v>
      </c>
      <c r="D7" s="21" t="s">
        <v>970</v>
      </c>
    </row>
    <row r="8" spans="1:9" x14ac:dyDescent="0.25">
      <c r="A8" t="s">
        <v>226</v>
      </c>
      <c r="B8" t="s">
        <v>235</v>
      </c>
      <c r="C8" t="str">
        <f t="shared" si="0"/>
        <v>Parameter_Not_Supported = 0x2006,</v>
      </c>
      <c r="D8" s="21" t="s">
        <v>970</v>
      </c>
    </row>
    <row r="9" spans="1:9" x14ac:dyDescent="0.25">
      <c r="A9" t="s">
        <v>227</v>
      </c>
      <c r="B9" t="s">
        <v>236</v>
      </c>
      <c r="C9" t="str">
        <f t="shared" si="0"/>
        <v>Incomplete_Transfer = 0x2007,</v>
      </c>
      <c r="D9" s="21" t="s">
        <v>970</v>
      </c>
    </row>
    <row r="10" spans="1:9" x14ac:dyDescent="0.25">
      <c r="A10" t="s">
        <v>228</v>
      </c>
      <c r="B10" t="s">
        <v>237</v>
      </c>
      <c r="C10" t="str">
        <f t="shared" si="0"/>
        <v>Invalid_StorageID = 0x2008,</v>
      </c>
      <c r="D10" s="21" t="s">
        <v>970</v>
      </c>
    </row>
    <row r="11" spans="1:9" x14ac:dyDescent="0.25">
      <c r="A11" t="s">
        <v>229</v>
      </c>
      <c r="B11" t="s">
        <v>238</v>
      </c>
      <c r="C11" t="str">
        <f t="shared" si="0"/>
        <v>Invalid_Object_Handle = 0x2009,</v>
      </c>
      <c r="D11" s="21" t="s">
        <v>970</v>
      </c>
    </row>
    <row r="12" spans="1:9" x14ac:dyDescent="0.25">
      <c r="A12" t="s">
        <v>245</v>
      </c>
      <c r="B12" t="s">
        <v>239</v>
      </c>
      <c r="C12" t="str">
        <f t="shared" si="0"/>
        <v>DeviceProp_Not_Supported = 0x200A,</v>
      </c>
      <c r="D12" s="21" t="s">
        <v>970</v>
      </c>
    </row>
    <row r="13" spans="1:9" x14ac:dyDescent="0.25">
      <c r="A13" t="s">
        <v>246</v>
      </c>
      <c r="B13" t="s">
        <v>240</v>
      </c>
      <c r="C13" t="str">
        <f t="shared" si="0"/>
        <v>Invalid_ObjectFormatCode = 0x200B,</v>
      </c>
      <c r="D13" s="21" t="s">
        <v>970</v>
      </c>
    </row>
    <row r="14" spans="1:9" x14ac:dyDescent="0.25">
      <c r="A14" t="s">
        <v>247</v>
      </c>
      <c r="B14" t="s">
        <v>241</v>
      </c>
      <c r="C14" t="str">
        <f t="shared" si="0"/>
        <v>Store_Full = 0x200C,</v>
      </c>
      <c r="D14" s="21" t="s">
        <v>970</v>
      </c>
    </row>
    <row r="15" spans="1:9" x14ac:dyDescent="0.25">
      <c r="A15" t="s">
        <v>248</v>
      </c>
      <c r="B15" t="s">
        <v>242</v>
      </c>
      <c r="C15" t="str">
        <f t="shared" si="0"/>
        <v>Object_Write_Protect = 0x200D,</v>
      </c>
      <c r="D15" s="21" t="s">
        <v>970</v>
      </c>
    </row>
    <row r="16" spans="1:9" x14ac:dyDescent="0.25">
      <c r="A16" t="s">
        <v>249</v>
      </c>
      <c r="B16" t="s">
        <v>243</v>
      </c>
      <c r="C16" t="str">
        <f t="shared" si="0"/>
        <v>Store_Read_Only = 0x200E,</v>
      </c>
      <c r="D16" s="21" t="s">
        <v>970</v>
      </c>
    </row>
    <row r="17" spans="1:4" x14ac:dyDescent="0.25">
      <c r="A17" t="s">
        <v>250</v>
      </c>
      <c r="B17" t="s">
        <v>244</v>
      </c>
      <c r="C17" t="str">
        <f t="shared" si="0"/>
        <v>Access_Denied = 0x200F,</v>
      </c>
      <c r="D17" s="21" t="s">
        <v>970</v>
      </c>
    </row>
    <row r="18" spans="1:4" x14ac:dyDescent="0.25">
      <c r="A18" t="s">
        <v>251</v>
      </c>
      <c r="B18" t="s">
        <v>264</v>
      </c>
      <c r="C18" t="str">
        <f t="shared" si="0"/>
        <v>No_Thumbnail_Present = 0x2010,</v>
      </c>
      <c r="D18" s="21" t="s">
        <v>970</v>
      </c>
    </row>
    <row r="19" spans="1:4" x14ac:dyDescent="0.25">
      <c r="A19" t="s">
        <v>252</v>
      </c>
      <c r="B19" t="s">
        <v>265</v>
      </c>
      <c r="C19" t="str">
        <f t="shared" si="0"/>
        <v>Partial_Deletion = 0x2012,</v>
      </c>
      <c r="D19" s="21" t="s">
        <v>970</v>
      </c>
    </row>
    <row r="20" spans="1:4" x14ac:dyDescent="0.25">
      <c r="A20" t="s">
        <v>253</v>
      </c>
      <c r="B20" t="s">
        <v>266</v>
      </c>
      <c r="C20" t="str">
        <f t="shared" si="0"/>
        <v>Store_Not_Available = 0x2013,</v>
      </c>
      <c r="D20" s="21" t="s">
        <v>970</v>
      </c>
    </row>
    <row r="21" spans="1:4" x14ac:dyDescent="0.25">
      <c r="A21" t="s">
        <v>254</v>
      </c>
      <c r="B21" t="s">
        <v>267</v>
      </c>
      <c r="C21" t="str">
        <f t="shared" si="0"/>
        <v>Specification_By_Format_Unsupported = 0x2014,</v>
      </c>
      <c r="D21" s="21" t="s">
        <v>970</v>
      </c>
    </row>
    <row r="22" spans="1:4" x14ac:dyDescent="0.25">
      <c r="A22" t="s">
        <v>255</v>
      </c>
      <c r="B22" t="s">
        <v>268</v>
      </c>
      <c r="C22" t="str">
        <f t="shared" si="0"/>
        <v>No_Valid_ObjectInfo = 0x2015,</v>
      </c>
      <c r="D22" s="21" t="s">
        <v>970</v>
      </c>
    </row>
    <row r="23" spans="1:4" x14ac:dyDescent="0.25">
      <c r="A23" t="s">
        <v>256</v>
      </c>
      <c r="B23" t="s">
        <v>269</v>
      </c>
      <c r="C23" t="str">
        <f t="shared" si="0"/>
        <v>Capture_Already_Terminated = 0x2018,</v>
      </c>
      <c r="D23" s="21" t="s">
        <v>970</v>
      </c>
    </row>
    <row r="24" spans="1:4" x14ac:dyDescent="0.25">
      <c r="A24" t="s">
        <v>257</v>
      </c>
      <c r="B24" t="s">
        <v>270</v>
      </c>
      <c r="C24" t="str">
        <f t="shared" si="0"/>
        <v>Device_Busy = 0x2019,</v>
      </c>
      <c r="D24" s="21" t="s">
        <v>970</v>
      </c>
    </row>
    <row r="25" spans="1:4" x14ac:dyDescent="0.25">
      <c r="A25" t="s">
        <v>258</v>
      </c>
      <c r="B25" t="s">
        <v>271</v>
      </c>
      <c r="C25" t="str">
        <f t="shared" si="0"/>
        <v>Invalid_Parent_Object = 0x201A,</v>
      </c>
      <c r="D25" s="21" t="s">
        <v>970</v>
      </c>
    </row>
    <row r="26" spans="1:4" x14ac:dyDescent="0.25">
      <c r="A26" t="s">
        <v>259</v>
      </c>
      <c r="B26" t="s">
        <v>272</v>
      </c>
      <c r="C26" t="str">
        <f t="shared" si="0"/>
        <v>Invalid_DeviceProp_Format = 0x201B,</v>
      </c>
      <c r="D26" s="21" t="s">
        <v>970</v>
      </c>
    </row>
    <row r="27" spans="1:4" x14ac:dyDescent="0.25">
      <c r="A27" t="s">
        <v>260</v>
      </c>
      <c r="B27" t="s">
        <v>273</v>
      </c>
      <c r="C27" t="str">
        <f t="shared" si="0"/>
        <v>Invalid_DeviceProp_Value = 0x201C,</v>
      </c>
      <c r="D27" s="21" t="s">
        <v>970</v>
      </c>
    </row>
    <row r="28" spans="1:4" x14ac:dyDescent="0.25">
      <c r="A28" t="s">
        <v>261</v>
      </c>
      <c r="B28" t="s">
        <v>274</v>
      </c>
      <c r="C28" t="str">
        <f t="shared" si="0"/>
        <v>Invalid_Parameter = 0x201D,</v>
      </c>
      <c r="D28" s="21" t="s">
        <v>970</v>
      </c>
    </row>
    <row r="29" spans="1:4" x14ac:dyDescent="0.25">
      <c r="A29" t="s">
        <v>262</v>
      </c>
      <c r="B29" t="s">
        <v>275</v>
      </c>
      <c r="C29" t="str">
        <f t="shared" si="0"/>
        <v>Session_Already_Open = 0x201E,</v>
      </c>
      <c r="D29" s="21" t="s">
        <v>970</v>
      </c>
    </row>
    <row r="30" spans="1:4" x14ac:dyDescent="0.25">
      <c r="A30" t="s">
        <v>263</v>
      </c>
      <c r="B30" t="s">
        <v>276</v>
      </c>
      <c r="C30" t="str">
        <f t="shared" si="0"/>
        <v>Transaction_Cancelled = 0x201F,</v>
      </c>
      <c r="D30" s="21" t="s">
        <v>970</v>
      </c>
    </row>
    <row r="31" spans="1:4" x14ac:dyDescent="0.25">
      <c r="A31" t="s">
        <v>277</v>
      </c>
      <c r="B31" t="s">
        <v>278</v>
      </c>
      <c r="C31" t="str">
        <f t="shared" si="0"/>
        <v>Specification_of_Destination_Unsupported = 0x2020,</v>
      </c>
      <c r="D31" s="21" t="s">
        <v>970</v>
      </c>
    </row>
    <row r="32" spans="1:4" x14ac:dyDescent="0.25">
      <c r="A32" t="s">
        <v>279</v>
      </c>
      <c r="B32" t="s">
        <v>280</v>
      </c>
      <c r="C32" t="str">
        <f t="shared" si="0"/>
        <v>Hardware_Error = 0xA001,</v>
      </c>
      <c r="D32" s="21" t="s">
        <v>970</v>
      </c>
    </row>
    <row r="33" spans="1:4" x14ac:dyDescent="0.25">
      <c r="A33" t="s">
        <v>281</v>
      </c>
      <c r="B33" t="s">
        <v>282</v>
      </c>
      <c r="C33" t="str">
        <f t="shared" si="0"/>
        <v>Out_of_Focus = 0xA002,</v>
      </c>
      <c r="D33" s="21" t="s">
        <v>970</v>
      </c>
    </row>
    <row r="34" spans="1:4" x14ac:dyDescent="0.25">
      <c r="A34" t="s">
        <v>283</v>
      </c>
      <c r="B34" t="s">
        <v>284</v>
      </c>
      <c r="C34" t="str">
        <f t="shared" si="0"/>
        <v>Change_CameraMode_Failed = 0xA003,</v>
      </c>
      <c r="D34" s="21" t="s">
        <v>970</v>
      </c>
    </row>
    <row r="35" spans="1:4" x14ac:dyDescent="0.25">
      <c r="A35" t="s">
        <v>285</v>
      </c>
      <c r="B35" t="s">
        <v>286</v>
      </c>
      <c r="C35" t="str">
        <f t="shared" si="0"/>
        <v>Invalid_Status = 0xA004,</v>
      </c>
      <c r="D35" s="21" t="s">
        <v>970</v>
      </c>
    </row>
    <row r="36" spans="1:4" x14ac:dyDescent="0.25">
      <c r="A36" t="s">
        <v>287</v>
      </c>
      <c r="B36" t="s">
        <v>288</v>
      </c>
      <c r="C36" t="str">
        <f t="shared" si="0"/>
        <v>Wb_Preset_Error = 0xA006,</v>
      </c>
      <c r="D36" s="21" t="s">
        <v>970</v>
      </c>
    </row>
    <row r="37" spans="1:4" x14ac:dyDescent="0.25">
      <c r="A37" t="s">
        <v>289</v>
      </c>
      <c r="B37" t="s">
        <v>290</v>
      </c>
      <c r="C37" t="str">
        <f t="shared" si="0"/>
        <v>Dust_Reference_Error = 0xA007,</v>
      </c>
      <c r="D37" s="21" t="s">
        <v>970</v>
      </c>
    </row>
    <row r="38" spans="1:4" x14ac:dyDescent="0.25">
      <c r="A38" t="s">
        <v>291</v>
      </c>
      <c r="B38" t="s">
        <v>292</v>
      </c>
      <c r="C38" t="str">
        <f t="shared" si="0"/>
        <v>Shutter_Speed_Bulb = 0xA008,</v>
      </c>
      <c r="D38" s="21" t="s">
        <v>970</v>
      </c>
    </row>
    <row r="39" spans="1:4" x14ac:dyDescent="0.25">
      <c r="A39" t="s">
        <v>293</v>
      </c>
      <c r="B39" t="s">
        <v>294</v>
      </c>
      <c r="C39" t="str">
        <f t="shared" si="0"/>
        <v>CameraMode_Not_Adjust_Fnumber = 0xA00A,</v>
      </c>
      <c r="D39" s="21" t="s">
        <v>970</v>
      </c>
    </row>
    <row r="40" spans="1:4" x14ac:dyDescent="0.25">
      <c r="A40" t="s">
        <v>295</v>
      </c>
      <c r="B40" t="s">
        <v>296</v>
      </c>
      <c r="C40" t="str">
        <f t="shared" si="0"/>
        <v>Not_LiveView = 0xA00B,</v>
      </c>
      <c r="D40" s="21" t="s">
        <v>970</v>
      </c>
    </row>
    <row r="41" spans="1:4" x14ac:dyDescent="0.25">
      <c r="A41" t="s">
        <v>297</v>
      </c>
      <c r="B41" t="s">
        <v>298</v>
      </c>
      <c r="C41" t="str">
        <f t="shared" si="0"/>
        <v>MfDrive_Step_End = 0xA00C,</v>
      </c>
      <c r="D41" s="21" t="s">
        <v>970</v>
      </c>
    </row>
    <row r="42" spans="1:4" x14ac:dyDescent="0.25">
      <c r="A42" t="s">
        <v>299</v>
      </c>
      <c r="B42" t="s">
        <v>300</v>
      </c>
      <c r="C42" t="str">
        <f t="shared" si="0"/>
        <v>MfDrive_Step_Insufficiency = 0xA00E,</v>
      </c>
      <c r="D42" s="21" t="s">
        <v>970</v>
      </c>
    </row>
    <row r="43" spans="1:4" x14ac:dyDescent="0.25">
      <c r="A43" t="s">
        <v>301</v>
      </c>
      <c r="B43" t="s">
        <v>302</v>
      </c>
      <c r="C43" t="str">
        <f t="shared" si="0"/>
        <v>No_FullHD_Present = 0xA00F,</v>
      </c>
      <c r="D43" s="21" t="s">
        <v>970</v>
      </c>
    </row>
    <row r="44" spans="1:4" x14ac:dyDescent="0.25">
      <c r="A44" t="s">
        <v>303</v>
      </c>
      <c r="B44" t="s">
        <v>304</v>
      </c>
      <c r="C44" t="str">
        <f t="shared" si="0"/>
        <v>Store_Error = 0xA021,</v>
      </c>
      <c r="D44" s="21" t="s">
        <v>970</v>
      </c>
    </row>
    <row r="45" spans="1:4" x14ac:dyDescent="0.25">
      <c r="A45" t="s">
        <v>305</v>
      </c>
      <c r="B45" t="s">
        <v>306</v>
      </c>
      <c r="C45" t="str">
        <f t="shared" si="0"/>
        <v>Store_Unformatted = 0xA022,</v>
      </c>
      <c r="D45" s="21" t="s">
        <v>970</v>
      </c>
    </row>
    <row r="46" spans="1:4" x14ac:dyDescent="0.25">
      <c r="A46" t="s">
        <v>307</v>
      </c>
      <c r="B46" t="s">
        <v>308</v>
      </c>
      <c r="C46" t="str">
        <f t="shared" si="0"/>
        <v>Bulb_Release_Busy = 0xA200,</v>
      </c>
      <c r="D46" s="21" t="s">
        <v>970</v>
      </c>
    </row>
    <row r="47" spans="1:4" x14ac:dyDescent="0.25">
      <c r="A47" t="s">
        <v>309</v>
      </c>
      <c r="B47" t="s">
        <v>310</v>
      </c>
      <c r="C47" t="str">
        <f t="shared" si="0"/>
        <v>Silent_Release_Busy = 0xA201,</v>
      </c>
      <c r="D47" s="21" t="s">
        <v>970</v>
      </c>
    </row>
    <row r="48" spans="1:4" x14ac:dyDescent="0.25">
      <c r="A48" t="s">
        <v>311</v>
      </c>
      <c r="B48" t="s">
        <v>312</v>
      </c>
      <c r="C48" t="str">
        <f t="shared" si="0"/>
        <v>MovieFrame_Release_Busy = 0xA202,</v>
      </c>
      <c r="D48" s="21" t="s">
        <v>970</v>
      </c>
    </row>
    <row r="49" spans="1:4" x14ac:dyDescent="0.25">
      <c r="A49" t="s">
        <v>313</v>
      </c>
      <c r="B49" t="s">
        <v>314</v>
      </c>
      <c r="C49" t="str">
        <f t="shared" si="0"/>
        <v>Shutter_Speed_Time = 0xA204,</v>
      </c>
      <c r="D49" s="21" t="s">
        <v>970</v>
      </c>
    </row>
    <row r="50" spans="1:4" x14ac:dyDescent="0.25">
      <c r="A50" t="s">
        <v>315</v>
      </c>
      <c r="B50" t="s">
        <v>316</v>
      </c>
      <c r="C50" t="str">
        <f t="shared" si="0"/>
        <v>Invalid_SBAttribute_Value = 0xA209,</v>
      </c>
      <c r="D50" s="21" t="s">
        <v>970</v>
      </c>
    </row>
    <row r="51" spans="1:4" x14ac:dyDescent="0.25">
      <c r="A51" t="s">
        <v>317</v>
      </c>
      <c r="B51" t="s">
        <v>318</v>
      </c>
      <c r="C51" t="str">
        <f t="shared" si="0"/>
        <v>Invalid_Data = 0xA210,</v>
      </c>
      <c r="D51" s="21" t="s">
        <v>970</v>
      </c>
    </row>
    <row r="52" spans="1:4" x14ac:dyDescent="0.25">
      <c r="A52" t="s">
        <v>319</v>
      </c>
      <c r="B52" t="s">
        <v>320</v>
      </c>
      <c r="C52" t="str">
        <f t="shared" si="0"/>
        <v>Invalid_ObjectPropCode = 0xA801,</v>
      </c>
      <c r="D52" s="21" t="s">
        <v>970</v>
      </c>
    </row>
    <row r="53" spans="1:4" x14ac:dyDescent="0.25">
      <c r="A53" t="s">
        <v>321</v>
      </c>
      <c r="B53" t="s">
        <v>322</v>
      </c>
      <c r="C53" t="str">
        <f t="shared" si="0"/>
        <v>Invalid_ObjectProp_Format = 0xA802,</v>
      </c>
      <c r="D53" s="21" t="s">
        <v>970</v>
      </c>
    </row>
    <row r="54" spans="1:4" x14ac:dyDescent="0.25">
      <c r="A54" t="s">
        <v>323</v>
      </c>
      <c r="B54" t="s">
        <v>324</v>
      </c>
      <c r="C54" t="str">
        <f t="shared" si="0"/>
        <v>ObjectProp_Not_Supported = 0xA80A,</v>
      </c>
      <c r="D54" s="21" t="s">
        <v>970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5A85-2736-4082-8F42-563D5475536A}">
  <dimension ref="A1:J32"/>
  <sheetViews>
    <sheetView workbookViewId="0">
      <pane xSplit="2" ySplit="2" topLeftCell="C3" activePane="bottomRight" state="frozen"/>
      <selection pane="topRight" activeCell="C1" sqref="C1"/>
      <selection pane="bottomLeft" activeCell="A2" sqref="A2"/>
      <selection pane="bottomRight" activeCell="C3" sqref="C3:C32"/>
    </sheetView>
  </sheetViews>
  <sheetFormatPr defaultRowHeight="15" x14ac:dyDescent="0.25"/>
  <cols>
    <col min="1" max="1" width="10.5703125" bestFit="1" customWidth="1"/>
    <col min="2" max="2" width="38.85546875" bestFit="1" customWidth="1"/>
    <col min="3" max="3" width="11.42578125" bestFit="1" customWidth="1"/>
  </cols>
  <sheetData>
    <row r="1" spans="1:10" x14ac:dyDescent="0.25">
      <c r="D1" s="2" t="s">
        <v>993</v>
      </c>
    </row>
    <row r="2" spans="1:10" x14ac:dyDescent="0.25">
      <c r="A2" s="1" t="s">
        <v>326</v>
      </c>
      <c r="B2" s="1" t="s">
        <v>0</v>
      </c>
      <c r="D2" s="21" t="s">
        <v>994</v>
      </c>
    </row>
    <row r="3" spans="1:10" x14ac:dyDescent="0.25">
      <c r="A3" t="s">
        <v>327</v>
      </c>
      <c r="B3" t="s">
        <v>339</v>
      </c>
      <c r="C3" t="str">
        <f>B3&amp;" = "&amp;A3&amp;","</f>
        <v>CancelTransaction = 0x4001,</v>
      </c>
      <c r="D3" s="21" t="s">
        <v>970</v>
      </c>
      <c r="I3" s="2" t="s">
        <v>220</v>
      </c>
      <c r="J3" t="str">
        <f>"enum NikonMtpEventCode {"&amp;CHAR(10)&amp;_xlfn.TEXTJOIN(","&amp;CHAR(10),TRUE,_xlfn.BYROW(A3:B32,_xlfn.LAMBDA(_xlpm.x,INDEX(_xlpm.x,1,2)&amp;" = "&amp;INDEX(_xlpm.x,1,1))))&amp;CHAR(10)&amp;"};"</f>
        <v>enum NikonMtpEventCode {
CancelTransaction = 0x4001,
ObjectAdded = 0x4002,
ObjectRemoved = 0x4003,
StoreAdded = 0x4004,
StoreRemoved = 0x4005,
DevicePropChanged = 0x4006,
ObjectInfoChanged = 0x4007,
DeviceInfoChanged = 0x4008,
RequestObjectTransfer = 0x4009,
StoreFull = 0x400A,
StorageInfoChanged = 0x400C,
CaptureComplete = 0x400D,
ObjectAddedInSdram = 0xC101,
CaptureCompleteRecInSdram = 0xC102,
CaptureSkip = 0xC103,
MovieRecordInterrupted = 0xC105,
MovieRecordComplete = 0xC108,
MovieRecordStarted = 0xC10A,
PictureControlAdjustChanged = 0xC10B,
LiveViewStateChanged = 0xC10C,
PixelMappingComplete = 0xC10D,
ManualSettingLensDataChanged = 0xC10E,
OpenCaptureComplete = 0xC10F,
SBAdded = 0xC120,
SBRemoved = 0xC121,
SBAttrChanged = 0xC122,
SBGroupAttrChanged = 0xC123,
HlgQualityAdjustChanged = 0xC125,
PortraitImpressionBalanceAdjustChanged = 0xC126,
PictureControlHlgAdjustChanged = 0xC127
};</v>
      </c>
    </row>
    <row r="4" spans="1:10" x14ac:dyDescent="0.25">
      <c r="A4" t="s">
        <v>328</v>
      </c>
      <c r="B4" t="s">
        <v>340</v>
      </c>
      <c r="C4" t="str">
        <f t="shared" ref="C4:C32" si="0">B4&amp;" = "&amp;A4&amp;","</f>
        <v>ObjectAdded = 0x4002,</v>
      </c>
      <c r="D4" s="21" t="s">
        <v>970</v>
      </c>
    </row>
    <row r="5" spans="1:10" x14ac:dyDescent="0.25">
      <c r="A5" t="s">
        <v>329</v>
      </c>
      <c r="B5" t="s">
        <v>341</v>
      </c>
      <c r="C5" t="str">
        <f t="shared" si="0"/>
        <v>ObjectRemoved = 0x4003,</v>
      </c>
      <c r="D5" s="21" t="s">
        <v>970</v>
      </c>
    </row>
    <row r="6" spans="1:10" x14ac:dyDescent="0.25">
      <c r="A6" t="s">
        <v>330</v>
      </c>
      <c r="B6" t="s">
        <v>342</v>
      </c>
      <c r="C6" t="str">
        <f t="shared" si="0"/>
        <v>StoreAdded = 0x4004,</v>
      </c>
      <c r="D6" s="21" t="s">
        <v>970</v>
      </c>
    </row>
    <row r="7" spans="1:10" x14ac:dyDescent="0.25">
      <c r="A7" t="s">
        <v>331</v>
      </c>
      <c r="B7" t="s">
        <v>343</v>
      </c>
      <c r="C7" t="str">
        <f t="shared" si="0"/>
        <v>StoreRemoved = 0x4005,</v>
      </c>
      <c r="D7" s="21" t="s">
        <v>970</v>
      </c>
    </row>
    <row r="8" spans="1:10" x14ac:dyDescent="0.25">
      <c r="A8" t="s">
        <v>332</v>
      </c>
      <c r="B8" t="s">
        <v>344</v>
      </c>
      <c r="C8" t="str">
        <f t="shared" si="0"/>
        <v>DevicePropChanged = 0x4006,</v>
      </c>
      <c r="D8" s="21" t="s">
        <v>970</v>
      </c>
    </row>
    <row r="9" spans="1:10" x14ac:dyDescent="0.25">
      <c r="A9" t="s">
        <v>333</v>
      </c>
      <c r="B9" t="s">
        <v>345</v>
      </c>
      <c r="C9" t="str">
        <f t="shared" si="0"/>
        <v>ObjectInfoChanged = 0x4007,</v>
      </c>
      <c r="D9" s="21" t="s">
        <v>970</v>
      </c>
    </row>
    <row r="10" spans="1:10" x14ac:dyDescent="0.25">
      <c r="A10" t="s">
        <v>334</v>
      </c>
      <c r="B10" t="s">
        <v>346</v>
      </c>
      <c r="C10" t="str">
        <f t="shared" si="0"/>
        <v>DeviceInfoChanged = 0x4008,</v>
      </c>
      <c r="D10" s="21" t="s">
        <v>970</v>
      </c>
    </row>
    <row r="11" spans="1:10" x14ac:dyDescent="0.25">
      <c r="A11" t="s">
        <v>335</v>
      </c>
      <c r="B11" t="s">
        <v>347</v>
      </c>
      <c r="C11" t="str">
        <f t="shared" si="0"/>
        <v>RequestObjectTransfer = 0x4009,</v>
      </c>
      <c r="D11" s="21" t="s">
        <v>970</v>
      </c>
    </row>
    <row r="12" spans="1:10" x14ac:dyDescent="0.25">
      <c r="A12" t="s">
        <v>336</v>
      </c>
      <c r="B12" t="s">
        <v>348</v>
      </c>
      <c r="C12" t="str">
        <f t="shared" si="0"/>
        <v>StoreFull = 0x400A,</v>
      </c>
      <c r="D12" s="21" t="s">
        <v>970</v>
      </c>
    </row>
    <row r="13" spans="1:10" x14ac:dyDescent="0.25">
      <c r="A13" t="s">
        <v>337</v>
      </c>
      <c r="B13" t="s">
        <v>349</v>
      </c>
      <c r="C13" t="str">
        <f t="shared" si="0"/>
        <v>StorageInfoChanged = 0x400C,</v>
      </c>
      <c r="D13" s="21" t="s">
        <v>970</v>
      </c>
    </row>
    <row r="14" spans="1:10" x14ac:dyDescent="0.25">
      <c r="A14" t="s">
        <v>338</v>
      </c>
      <c r="B14" t="s">
        <v>350</v>
      </c>
      <c r="C14" t="str">
        <f t="shared" si="0"/>
        <v>CaptureComplete = 0x400D,</v>
      </c>
      <c r="D14" s="21" t="s">
        <v>970</v>
      </c>
    </row>
    <row r="15" spans="1:10" x14ac:dyDescent="0.25">
      <c r="A15" t="s">
        <v>369</v>
      </c>
      <c r="B15" t="s">
        <v>351</v>
      </c>
      <c r="C15" t="str">
        <f t="shared" si="0"/>
        <v>ObjectAddedInSdram = 0xC101,</v>
      </c>
      <c r="D15" s="21" t="s">
        <v>970</v>
      </c>
    </row>
    <row r="16" spans="1:10" x14ac:dyDescent="0.25">
      <c r="A16" t="s">
        <v>370</v>
      </c>
      <c r="B16" t="s">
        <v>352</v>
      </c>
      <c r="C16" t="str">
        <f t="shared" si="0"/>
        <v>CaptureCompleteRecInSdram = 0xC102,</v>
      </c>
      <c r="D16" s="21" t="s">
        <v>970</v>
      </c>
    </row>
    <row r="17" spans="1:4" x14ac:dyDescent="0.25">
      <c r="A17" t="s">
        <v>371</v>
      </c>
      <c r="B17" t="s">
        <v>353</v>
      </c>
      <c r="C17" t="str">
        <f t="shared" si="0"/>
        <v>CaptureSkip = 0xC103,</v>
      </c>
      <c r="D17" s="21" t="s">
        <v>970</v>
      </c>
    </row>
    <row r="18" spans="1:4" x14ac:dyDescent="0.25">
      <c r="A18" t="s">
        <v>372</v>
      </c>
      <c r="B18" t="s">
        <v>354</v>
      </c>
      <c r="C18" t="str">
        <f t="shared" si="0"/>
        <v>MovieRecordInterrupted = 0xC105,</v>
      </c>
      <c r="D18" s="21" t="s">
        <v>970</v>
      </c>
    </row>
    <row r="19" spans="1:4" x14ac:dyDescent="0.25">
      <c r="A19" t="s">
        <v>373</v>
      </c>
      <c r="B19" t="s">
        <v>355</v>
      </c>
      <c r="C19" t="str">
        <f t="shared" si="0"/>
        <v>MovieRecordComplete = 0xC108,</v>
      </c>
      <c r="D19" s="21" t="s">
        <v>970</v>
      </c>
    </row>
    <row r="20" spans="1:4" x14ac:dyDescent="0.25">
      <c r="A20" t="s">
        <v>374</v>
      </c>
      <c r="B20" t="s">
        <v>356</v>
      </c>
      <c r="C20" t="str">
        <f t="shared" si="0"/>
        <v>MovieRecordStarted = 0xC10A,</v>
      </c>
      <c r="D20" s="21" t="s">
        <v>970</v>
      </c>
    </row>
    <row r="21" spans="1:4" x14ac:dyDescent="0.25">
      <c r="A21" t="s">
        <v>375</v>
      </c>
      <c r="B21" t="s">
        <v>357</v>
      </c>
      <c r="C21" t="str">
        <f t="shared" si="0"/>
        <v>PictureControlAdjustChanged = 0xC10B,</v>
      </c>
      <c r="D21" s="21" t="s">
        <v>970</v>
      </c>
    </row>
    <row r="22" spans="1:4" x14ac:dyDescent="0.25">
      <c r="A22" t="s">
        <v>376</v>
      </c>
      <c r="B22" t="s">
        <v>358</v>
      </c>
      <c r="C22" t="str">
        <f t="shared" si="0"/>
        <v>LiveViewStateChanged = 0xC10C,</v>
      </c>
      <c r="D22" s="21" t="s">
        <v>970</v>
      </c>
    </row>
    <row r="23" spans="1:4" x14ac:dyDescent="0.25">
      <c r="A23" t="s">
        <v>377</v>
      </c>
      <c r="B23" t="s">
        <v>359</v>
      </c>
      <c r="C23" t="str">
        <f t="shared" si="0"/>
        <v>PixelMappingComplete = 0xC10D,</v>
      </c>
      <c r="D23" s="21" t="s">
        <v>970</v>
      </c>
    </row>
    <row r="24" spans="1:4" x14ac:dyDescent="0.25">
      <c r="A24" t="s">
        <v>378</v>
      </c>
      <c r="B24" t="s">
        <v>360</v>
      </c>
      <c r="C24" t="str">
        <f t="shared" si="0"/>
        <v>ManualSettingLensDataChanged = 0xC10E,</v>
      </c>
      <c r="D24" s="21" t="s">
        <v>970</v>
      </c>
    </row>
    <row r="25" spans="1:4" x14ac:dyDescent="0.25">
      <c r="A25" t="s">
        <v>380</v>
      </c>
      <c r="B25" t="s">
        <v>361</v>
      </c>
      <c r="C25" t="str">
        <f t="shared" si="0"/>
        <v>OpenCaptureComplete = 0xC10F,</v>
      </c>
      <c r="D25" s="21" t="s">
        <v>970</v>
      </c>
    </row>
    <row r="26" spans="1:4" x14ac:dyDescent="0.25">
      <c r="A26" t="s">
        <v>379</v>
      </c>
      <c r="B26" t="s">
        <v>362</v>
      </c>
      <c r="C26" t="str">
        <f t="shared" si="0"/>
        <v>SBAdded = 0xC120,</v>
      </c>
      <c r="D26" s="21" t="s">
        <v>970</v>
      </c>
    </row>
    <row r="27" spans="1:4" x14ac:dyDescent="0.25">
      <c r="A27" t="s">
        <v>381</v>
      </c>
      <c r="B27" t="s">
        <v>363</v>
      </c>
      <c r="C27" t="str">
        <f t="shared" si="0"/>
        <v>SBRemoved = 0xC121,</v>
      </c>
      <c r="D27" s="21" t="s">
        <v>970</v>
      </c>
    </row>
    <row r="28" spans="1:4" x14ac:dyDescent="0.25">
      <c r="A28" t="s">
        <v>382</v>
      </c>
      <c r="B28" t="s">
        <v>364</v>
      </c>
      <c r="C28" t="str">
        <f t="shared" si="0"/>
        <v>SBAttrChanged = 0xC122,</v>
      </c>
      <c r="D28" s="21" t="s">
        <v>970</v>
      </c>
    </row>
    <row r="29" spans="1:4" x14ac:dyDescent="0.25">
      <c r="A29" t="s">
        <v>383</v>
      </c>
      <c r="B29" t="s">
        <v>365</v>
      </c>
      <c r="C29" t="str">
        <f t="shared" si="0"/>
        <v>SBGroupAttrChanged = 0xC123,</v>
      </c>
      <c r="D29" s="21" t="s">
        <v>970</v>
      </c>
    </row>
    <row r="30" spans="1:4" x14ac:dyDescent="0.25">
      <c r="A30" t="s">
        <v>384</v>
      </c>
      <c r="B30" t="s">
        <v>366</v>
      </c>
      <c r="C30" t="str">
        <f t="shared" si="0"/>
        <v>HlgQualityAdjustChanged = 0xC125,</v>
      </c>
      <c r="D30" s="21" t="s">
        <v>970</v>
      </c>
    </row>
    <row r="31" spans="1:4" x14ac:dyDescent="0.25">
      <c r="A31" t="s">
        <v>385</v>
      </c>
      <c r="B31" t="s">
        <v>367</v>
      </c>
      <c r="C31" t="str">
        <f t="shared" si="0"/>
        <v>PortraitImpressionBalanceAdjustChanged = 0xC126,</v>
      </c>
      <c r="D31" s="21" t="s">
        <v>970</v>
      </c>
    </row>
    <row r="32" spans="1:4" x14ac:dyDescent="0.25">
      <c r="A32" t="s">
        <v>386</v>
      </c>
      <c r="B32" t="s">
        <v>368</v>
      </c>
      <c r="C32" t="str">
        <f t="shared" si="0"/>
        <v>PictureControlHlgAdjustChanged = 0xC127,</v>
      </c>
      <c r="D32" s="21" t="s">
        <v>970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6AF64-B9E2-45F4-ADFE-399FCBAFE80E}">
  <sheetPr codeName="Sheet1"/>
  <dimension ref="A1:I334"/>
  <sheetViews>
    <sheetView workbookViewId="0">
      <pane xSplit="1" ySplit="2" topLeftCell="B3" activePane="bottomRight" state="frozen"/>
      <selection pane="topRight" activeCell="C1" sqref="C1"/>
      <selection pane="bottomLeft" activeCell="A2" sqref="A2"/>
      <selection pane="bottomRight" activeCell="C3" sqref="C3"/>
    </sheetView>
  </sheetViews>
  <sheetFormatPr defaultRowHeight="15" x14ac:dyDescent="0.25"/>
  <cols>
    <col min="1" max="1" width="15.85546875" bestFit="1" customWidth="1"/>
    <col min="2" max="2" width="35.5703125" bestFit="1" customWidth="1"/>
    <col min="3" max="3" width="11.42578125" bestFit="1" customWidth="1"/>
    <col min="4" max="4" width="8.85546875" bestFit="1" customWidth="1"/>
    <col min="8" max="8" width="11.42578125" bestFit="1" customWidth="1"/>
  </cols>
  <sheetData>
    <row r="1" spans="1:9" x14ac:dyDescent="0.25">
      <c r="D1" s="2" t="s">
        <v>993</v>
      </c>
    </row>
    <row r="2" spans="1:9" x14ac:dyDescent="0.25">
      <c r="A2" s="1" t="s">
        <v>387</v>
      </c>
      <c r="B2" s="1" t="s">
        <v>0</v>
      </c>
      <c r="D2" s="21" t="s">
        <v>994</v>
      </c>
    </row>
    <row r="3" spans="1:9" x14ac:dyDescent="0.25">
      <c r="A3" t="s">
        <v>388</v>
      </c>
      <c r="B3" t="s">
        <v>389</v>
      </c>
      <c r="C3" t="str">
        <f>B3&amp;" = "&amp;A3&amp;","</f>
        <v>BatteryLevel = 0x5001,</v>
      </c>
      <c r="D3" s="21" t="s">
        <v>970</v>
      </c>
      <c r="H3" s="2"/>
    </row>
    <row r="4" spans="1:9" x14ac:dyDescent="0.25">
      <c r="A4" t="s">
        <v>390</v>
      </c>
      <c r="B4" t="s">
        <v>391</v>
      </c>
      <c r="C4" t="str">
        <f t="shared" ref="C4:C67" si="0">B4&amp;" = "&amp;A4&amp;","</f>
        <v>ImageSize = 0x5003,</v>
      </c>
      <c r="D4" s="21" t="s">
        <v>970</v>
      </c>
    </row>
    <row r="5" spans="1:9" x14ac:dyDescent="0.25">
      <c r="A5" t="s">
        <v>392</v>
      </c>
      <c r="B5" t="s">
        <v>393</v>
      </c>
      <c r="C5" t="str">
        <f t="shared" si="0"/>
        <v>CompressionSetting = 0x5004,</v>
      </c>
      <c r="D5" s="21" t="s">
        <v>970</v>
      </c>
    </row>
    <row r="6" spans="1:9" x14ac:dyDescent="0.25">
      <c r="A6" t="s">
        <v>394</v>
      </c>
      <c r="B6" t="s">
        <v>395</v>
      </c>
      <c r="C6" t="str">
        <f t="shared" si="0"/>
        <v>WhiteBalance = 0x5005,</v>
      </c>
      <c r="D6" s="21" t="s">
        <v>970</v>
      </c>
      <c r="I6" s="22"/>
    </row>
    <row r="7" spans="1:9" x14ac:dyDescent="0.25">
      <c r="A7" t="s">
        <v>396</v>
      </c>
      <c r="B7" t="s">
        <v>397</v>
      </c>
      <c r="C7" t="str">
        <f t="shared" si="0"/>
        <v>Fnumber = 0x5007,</v>
      </c>
      <c r="D7" s="21" t="s">
        <v>970</v>
      </c>
    </row>
    <row r="8" spans="1:9" x14ac:dyDescent="0.25">
      <c r="A8" t="s">
        <v>398</v>
      </c>
      <c r="B8" t="s">
        <v>399</v>
      </c>
      <c r="C8" t="str">
        <f t="shared" si="0"/>
        <v>FocalLength = 0x5008,</v>
      </c>
      <c r="D8" s="21" t="s">
        <v>970</v>
      </c>
    </row>
    <row r="9" spans="1:9" x14ac:dyDescent="0.25">
      <c r="A9" t="s">
        <v>400</v>
      </c>
      <c r="B9" t="s">
        <v>401</v>
      </c>
      <c r="C9" t="str">
        <f t="shared" si="0"/>
        <v>FocusMode = 0x500A,</v>
      </c>
      <c r="D9" s="21" t="s">
        <v>970</v>
      </c>
    </row>
    <row r="10" spans="1:9" x14ac:dyDescent="0.25">
      <c r="A10" t="s">
        <v>402</v>
      </c>
      <c r="B10" t="s">
        <v>403</v>
      </c>
      <c r="C10" t="str">
        <f t="shared" si="0"/>
        <v>ExposureMeteringMode = 0x500B,</v>
      </c>
      <c r="D10" s="21" t="s">
        <v>970</v>
      </c>
    </row>
    <row r="11" spans="1:9" x14ac:dyDescent="0.25">
      <c r="A11" t="s">
        <v>404</v>
      </c>
      <c r="B11" t="s">
        <v>405</v>
      </c>
      <c r="C11" t="str">
        <f t="shared" si="0"/>
        <v>FlashMode = 0x500C,</v>
      </c>
      <c r="D11" s="21" t="s">
        <v>970</v>
      </c>
    </row>
    <row r="12" spans="1:9" x14ac:dyDescent="0.25">
      <c r="A12" t="s">
        <v>406</v>
      </c>
      <c r="B12" t="s">
        <v>407</v>
      </c>
      <c r="C12" t="str">
        <f t="shared" si="0"/>
        <v>ExposureTime = 0x500D,</v>
      </c>
      <c r="D12" s="21" t="s">
        <v>970</v>
      </c>
    </row>
    <row r="13" spans="1:9" x14ac:dyDescent="0.25">
      <c r="A13" t="s">
        <v>408</v>
      </c>
      <c r="B13" t="s">
        <v>409</v>
      </c>
      <c r="C13" t="str">
        <f t="shared" si="0"/>
        <v>ExposureProgramMode = 0x500E,</v>
      </c>
      <c r="D13" s="21" t="s">
        <v>970</v>
      </c>
    </row>
    <row r="14" spans="1:9" x14ac:dyDescent="0.25">
      <c r="A14" t="s">
        <v>410</v>
      </c>
      <c r="B14" t="s">
        <v>411</v>
      </c>
      <c r="C14" t="str">
        <f t="shared" si="0"/>
        <v>ExposureIndex = 0x500F,</v>
      </c>
      <c r="D14" s="21" t="s">
        <v>970</v>
      </c>
    </row>
    <row r="15" spans="1:9" x14ac:dyDescent="0.25">
      <c r="A15" t="s">
        <v>412</v>
      </c>
      <c r="B15" t="s">
        <v>413</v>
      </c>
      <c r="C15" t="str">
        <f t="shared" si="0"/>
        <v>ExposureBiasCompensation = 0x5010,</v>
      </c>
      <c r="D15" s="21" t="s">
        <v>970</v>
      </c>
    </row>
    <row r="16" spans="1:9" x14ac:dyDescent="0.25">
      <c r="A16" t="s">
        <v>414</v>
      </c>
      <c r="B16" t="s">
        <v>415</v>
      </c>
      <c r="C16" t="str">
        <f t="shared" si="0"/>
        <v>DateTime = 0x5011,</v>
      </c>
      <c r="D16" s="21" t="s">
        <v>970</v>
      </c>
    </row>
    <row r="17" spans="1:4" x14ac:dyDescent="0.25">
      <c r="A17" t="s">
        <v>416</v>
      </c>
      <c r="B17" t="s">
        <v>417</v>
      </c>
      <c r="C17" t="str">
        <f t="shared" si="0"/>
        <v>StillCaptureMode = 0x5013,</v>
      </c>
      <c r="D17" s="21" t="s">
        <v>970</v>
      </c>
    </row>
    <row r="18" spans="1:4" x14ac:dyDescent="0.25">
      <c r="A18" t="s">
        <v>418</v>
      </c>
      <c r="B18" t="s">
        <v>419</v>
      </c>
      <c r="C18" t="str">
        <f t="shared" si="0"/>
        <v>BurstNumber = 0x5018,</v>
      </c>
      <c r="D18" s="21" t="s">
        <v>970</v>
      </c>
    </row>
    <row r="19" spans="1:4" x14ac:dyDescent="0.25">
      <c r="A19" t="s">
        <v>420</v>
      </c>
      <c r="B19" t="s">
        <v>421</v>
      </c>
      <c r="C19" t="str">
        <f t="shared" si="0"/>
        <v>Artist = 0x501E,</v>
      </c>
      <c r="D19" s="21" t="s">
        <v>970</v>
      </c>
    </row>
    <row r="20" spans="1:4" x14ac:dyDescent="0.25">
      <c r="A20" t="s">
        <v>422</v>
      </c>
      <c r="B20" t="s">
        <v>423</v>
      </c>
      <c r="C20" t="str">
        <f t="shared" si="0"/>
        <v>Copyright = 0x501F,</v>
      </c>
      <c r="D20" s="21" t="s">
        <v>970</v>
      </c>
    </row>
    <row r="21" spans="1:4" x14ac:dyDescent="0.25">
      <c r="A21" t="s">
        <v>424</v>
      </c>
      <c r="B21" t="s">
        <v>425</v>
      </c>
      <c r="C21" t="str">
        <f t="shared" si="0"/>
        <v>ShootingMenuBank = 0xD010,</v>
      </c>
      <c r="D21" s="21" t="s">
        <v>970</v>
      </c>
    </row>
    <row r="22" spans="1:4" x14ac:dyDescent="0.25">
      <c r="A22" t="s">
        <v>426</v>
      </c>
      <c r="B22" t="s">
        <v>427</v>
      </c>
      <c r="C22" t="str">
        <f t="shared" si="0"/>
        <v>ShootingBankNameA = 0xD011,</v>
      </c>
      <c r="D22" s="21" t="s">
        <v>970</v>
      </c>
    </row>
    <row r="23" spans="1:4" x14ac:dyDescent="0.25">
      <c r="A23" t="s">
        <v>428</v>
      </c>
      <c r="B23" t="s">
        <v>429</v>
      </c>
      <c r="C23" t="str">
        <f t="shared" si="0"/>
        <v>ShootingBankNameB = 0xD012,</v>
      </c>
      <c r="D23" s="21" t="s">
        <v>970</v>
      </c>
    </row>
    <row r="24" spans="1:4" x14ac:dyDescent="0.25">
      <c r="A24" t="s">
        <v>430</v>
      </c>
      <c r="B24" t="s">
        <v>431</v>
      </c>
      <c r="C24" t="str">
        <f t="shared" si="0"/>
        <v>ShootingBankNameC = 0xD013,</v>
      </c>
      <c r="D24" s="21" t="s">
        <v>970</v>
      </c>
    </row>
    <row r="25" spans="1:4" x14ac:dyDescent="0.25">
      <c r="A25" t="s">
        <v>432</v>
      </c>
      <c r="B25" t="s">
        <v>433</v>
      </c>
      <c r="C25" t="str">
        <f t="shared" si="0"/>
        <v>ShootingBankNameD = 0xD014,</v>
      </c>
      <c r="D25" s="21" t="s">
        <v>970</v>
      </c>
    </row>
    <row r="26" spans="1:4" x14ac:dyDescent="0.25">
      <c r="A26" t="s">
        <v>434</v>
      </c>
      <c r="B26" t="s">
        <v>435</v>
      </c>
      <c r="C26" t="str">
        <f t="shared" si="0"/>
        <v>RawCompressionType = 0xD016,</v>
      </c>
      <c r="D26" s="21" t="s">
        <v>970</v>
      </c>
    </row>
    <row r="27" spans="1:4" x14ac:dyDescent="0.25">
      <c r="A27" t="s">
        <v>436</v>
      </c>
      <c r="B27" t="s">
        <v>437</v>
      </c>
      <c r="C27" t="str">
        <f t="shared" si="0"/>
        <v>WbTuneAuto = 0xD017,</v>
      </c>
      <c r="D27" s="21" t="s">
        <v>970</v>
      </c>
    </row>
    <row r="28" spans="1:4" x14ac:dyDescent="0.25">
      <c r="A28" t="s">
        <v>438</v>
      </c>
      <c r="B28" t="s">
        <v>439</v>
      </c>
      <c r="C28" t="str">
        <f t="shared" si="0"/>
        <v>WbTuneIncandescent = 0xD018,</v>
      </c>
      <c r="D28" s="21" t="s">
        <v>970</v>
      </c>
    </row>
    <row r="29" spans="1:4" x14ac:dyDescent="0.25">
      <c r="A29" t="s">
        <v>440</v>
      </c>
      <c r="B29" t="s">
        <v>441</v>
      </c>
      <c r="C29" t="str">
        <f t="shared" si="0"/>
        <v>WbTuneFluorescent = 0xD019,</v>
      </c>
      <c r="D29" s="21" t="s">
        <v>970</v>
      </c>
    </row>
    <row r="30" spans="1:4" x14ac:dyDescent="0.25">
      <c r="A30" t="s">
        <v>442</v>
      </c>
      <c r="B30" t="s">
        <v>443</v>
      </c>
      <c r="C30" t="str">
        <f t="shared" si="0"/>
        <v>WbTuneSunny = 0xD01A,</v>
      </c>
      <c r="D30" s="21" t="s">
        <v>970</v>
      </c>
    </row>
    <row r="31" spans="1:4" x14ac:dyDescent="0.25">
      <c r="A31" t="s">
        <v>444</v>
      </c>
      <c r="B31" t="s">
        <v>445</v>
      </c>
      <c r="C31" t="str">
        <f t="shared" si="0"/>
        <v>WbTuneFlash = 0xD01B,</v>
      </c>
      <c r="D31" s="21" t="s">
        <v>970</v>
      </c>
    </row>
    <row r="32" spans="1:4" x14ac:dyDescent="0.25">
      <c r="A32" t="s">
        <v>446</v>
      </c>
      <c r="B32" t="s">
        <v>447</v>
      </c>
      <c r="C32" t="str">
        <f t="shared" si="0"/>
        <v>WbTuneCloudy = 0xD01C,</v>
      </c>
      <c r="D32" s="21" t="s">
        <v>970</v>
      </c>
    </row>
    <row r="33" spans="1:4" x14ac:dyDescent="0.25">
      <c r="A33" t="s">
        <v>448</v>
      </c>
      <c r="B33" t="s">
        <v>449</v>
      </c>
      <c r="C33" t="str">
        <f t="shared" si="0"/>
        <v>WbTuneShade = 0xD01D,</v>
      </c>
      <c r="D33" s="21" t="s">
        <v>970</v>
      </c>
    </row>
    <row r="34" spans="1:4" x14ac:dyDescent="0.25">
      <c r="A34" t="s">
        <v>450</v>
      </c>
      <c r="B34" t="s">
        <v>451</v>
      </c>
      <c r="C34" t="str">
        <f t="shared" si="0"/>
        <v>WbColorTemp = 0xD01E,</v>
      </c>
      <c r="D34" s="21" t="s">
        <v>970</v>
      </c>
    </row>
    <row r="35" spans="1:4" x14ac:dyDescent="0.25">
      <c r="A35" t="s">
        <v>452</v>
      </c>
      <c r="B35" t="s">
        <v>453</v>
      </c>
      <c r="C35" t="str">
        <f t="shared" si="0"/>
        <v>WbPresetDataNo = 0xD01F,</v>
      </c>
      <c r="D35" s="21" t="s">
        <v>970</v>
      </c>
    </row>
    <row r="36" spans="1:4" x14ac:dyDescent="0.25">
      <c r="A36" t="s">
        <v>1038</v>
      </c>
      <c r="B36" t="s">
        <v>1140</v>
      </c>
      <c r="C36" t="str">
        <f t="shared" si="0"/>
        <v>WbPresetDataComment1 = 0xD021,</v>
      </c>
      <c r="D36" s="21" t="s">
        <v>970</v>
      </c>
    </row>
    <row r="37" spans="1:4" x14ac:dyDescent="0.25">
      <c r="A37" t="s">
        <v>1039</v>
      </c>
      <c r="B37" t="s">
        <v>1141</v>
      </c>
      <c r="C37" t="str">
        <f t="shared" si="0"/>
        <v>WbPresetDataComment2 = 0xD022,</v>
      </c>
      <c r="D37" s="21" t="s">
        <v>970</v>
      </c>
    </row>
    <row r="38" spans="1:4" x14ac:dyDescent="0.25">
      <c r="A38" t="s">
        <v>1040</v>
      </c>
      <c r="B38" t="s">
        <v>1142</v>
      </c>
      <c r="C38" t="str">
        <f t="shared" si="0"/>
        <v>WbPresetDataComment3 = 0xD023,</v>
      </c>
      <c r="D38" s="21" t="s">
        <v>970</v>
      </c>
    </row>
    <row r="39" spans="1:4" x14ac:dyDescent="0.25">
      <c r="A39" t="s">
        <v>1041</v>
      </c>
      <c r="B39" t="s">
        <v>1143</v>
      </c>
      <c r="C39" t="str">
        <f t="shared" si="0"/>
        <v>WbPresetDataComment4 = 0xD024,</v>
      </c>
      <c r="D39" s="21" t="s">
        <v>970</v>
      </c>
    </row>
    <row r="40" spans="1:4" x14ac:dyDescent="0.25">
      <c r="A40" t="s">
        <v>1042</v>
      </c>
      <c r="B40" t="s">
        <v>1144</v>
      </c>
      <c r="C40" t="str">
        <f t="shared" si="0"/>
        <v>WbPresetDataValue1 = 0xD026,</v>
      </c>
      <c r="D40" s="21" t="s">
        <v>970</v>
      </c>
    </row>
    <row r="41" spans="1:4" x14ac:dyDescent="0.25">
      <c r="A41" t="s">
        <v>1043</v>
      </c>
      <c r="B41" t="s">
        <v>1145</v>
      </c>
      <c r="C41" t="str">
        <f t="shared" si="0"/>
        <v>WbPresetDataValue2 = 0xD027,</v>
      </c>
      <c r="D41" s="21" t="s">
        <v>970</v>
      </c>
    </row>
    <row r="42" spans="1:4" x14ac:dyDescent="0.25">
      <c r="A42" t="s">
        <v>1044</v>
      </c>
      <c r="B42" t="s">
        <v>1146</v>
      </c>
      <c r="C42" t="str">
        <f t="shared" si="0"/>
        <v>WbPresetDataValue3 = 0xD028,</v>
      </c>
      <c r="D42" s="21" t="s">
        <v>970</v>
      </c>
    </row>
    <row r="43" spans="1:4" x14ac:dyDescent="0.25">
      <c r="A43" t="s">
        <v>1045</v>
      </c>
      <c r="B43" t="s">
        <v>1147</v>
      </c>
      <c r="C43" t="str">
        <f t="shared" si="0"/>
        <v>WbPresetDataValue4 = 0xD029,</v>
      </c>
      <c r="D43" s="21" t="s">
        <v>970</v>
      </c>
    </row>
    <row r="44" spans="1:4" x14ac:dyDescent="0.25">
      <c r="A44" t="s">
        <v>454</v>
      </c>
      <c r="B44" t="s">
        <v>455</v>
      </c>
      <c r="C44" t="str">
        <f t="shared" si="0"/>
        <v>CaptureAreaCrop = 0xD030,</v>
      </c>
      <c r="D44" s="21" t="s">
        <v>970</v>
      </c>
    </row>
    <row r="45" spans="1:4" x14ac:dyDescent="0.25">
      <c r="A45" t="s">
        <v>456</v>
      </c>
      <c r="B45" t="s">
        <v>457</v>
      </c>
      <c r="C45" t="str">
        <f t="shared" si="0"/>
        <v>ColorSpace = 0xD032,</v>
      </c>
      <c r="D45" s="21" t="s">
        <v>970</v>
      </c>
    </row>
    <row r="46" spans="1:4" x14ac:dyDescent="0.25">
      <c r="A46" t="s">
        <v>458</v>
      </c>
      <c r="B46" t="s">
        <v>459</v>
      </c>
      <c r="C46" t="str">
        <f t="shared" si="0"/>
        <v>DecreaseFlicker = 0xD034,</v>
      </c>
      <c r="D46" s="21" t="s">
        <v>970</v>
      </c>
    </row>
    <row r="47" spans="1:4" x14ac:dyDescent="0.25">
      <c r="A47" t="s">
        <v>1046</v>
      </c>
      <c r="B47" t="s">
        <v>1148</v>
      </c>
      <c r="C47" t="str">
        <f t="shared" si="0"/>
        <v>WbPresetDataComment5 = 0xD038,</v>
      </c>
      <c r="D47" s="21" t="s">
        <v>970</v>
      </c>
    </row>
    <row r="48" spans="1:4" x14ac:dyDescent="0.25">
      <c r="A48" t="s">
        <v>1047</v>
      </c>
      <c r="B48" t="s">
        <v>1149</v>
      </c>
      <c r="C48" t="str">
        <f t="shared" si="0"/>
        <v>WbPresetDataComment6 = 0xD039,</v>
      </c>
      <c r="D48" s="21" t="s">
        <v>970</v>
      </c>
    </row>
    <row r="49" spans="1:4" x14ac:dyDescent="0.25">
      <c r="A49" t="s">
        <v>1048</v>
      </c>
      <c r="B49" t="s">
        <v>1150</v>
      </c>
      <c r="C49" t="str">
        <f t="shared" si="0"/>
        <v>WbTunePreset5 = 0xD03A,</v>
      </c>
      <c r="D49" s="21" t="s">
        <v>970</v>
      </c>
    </row>
    <row r="50" spans="1:4" x14ac:dyDescent="0.25">
      <c r="A50" t="s">
        <v>1049</v>
      </c>
      <c r="B50" t="s">
        <v>1151</v>
      </c>
      <c r="C50" t="str">
        <f t="shared" si="0"/>
        <v>WbTunePreset6 = 0xD03B,</v>
      </c>
      <c r="D50" s="21" t="s">
        <v>970</v>
      </c>
    </row>
    <row r="51" spans="1:4" x14ac:dyDescent="0.25">
      <c r="A51" t="s">
        <v>1050</v>
      </c>
      <c r="B51" t="s">
        <v>1152</v>
      </c>
      <c r="C51" t="str">
        <f t="shared" si="0"/>
        <v>WbPresetProtect5 = 0xD03C,</v>
      </c>
      <c r="D51" s="21" t="s">
        <v>970</v>
      </c>
    </row>
    <row r="52" spans="1:4" x14ac:dyDescent="0.25">
      <c r="A52" t="s">
        <v>1051</v>
      </c>
      <c r="B52" t="s">
        <v>1153</v>
      </c>
      <c r="C52" t="str">
        <f t="shared" si="0"/>
        <v>WbPresetProtect6 = 0xD03D,</v>
      </c>
      <c r="D52" s="21" t="s">
        <v>970</v>
      </c>
    </row>
    <row r="53" spans="1:4" x14ac:dyDescent="0.25">
      <c r="A53" t="s">
        <v>1052</v>
      </c>
      <c r="B53" t="s">
        <v>1154</v>
      </c>
      <c r="C53" t="str">
        <f t="shared" si="0"/>
        <v>WbPresetDataValue5 = 0xD03E,</v>
      </c>
      <c r="D53" s="21" t="s">
        <v>970</v>
      </c>
    </row>
    <row r="54" spans="1:4" x14ac:dyDescent="0.25">
      <c r="A54" t="s">
        <v>1053</v>
      </c>
      <c r="B54" t="s">
        <v>1155</v>
      </c>
      <c r="C54" t="str">
        <f t="shared" si="0"/>
        <v>WbPresetDataValue6 = 0xD03F,</v>
      </c>
      <c r="D54" s="21" t="s">
        <v>970</v>
      </c>
    </row>
    <row r="55" spans="1:4" x14ac:dyDescent="0.25">
      <c r="A55" t="s">
        <v>460</v>
      </c>
      <c r="B55" t="s">
        <v>461</v>
      </c>
      <c r="C55" t="str">
        <f t="shared" si="0"/>
        <v>CustomSettingBank = 0xD040,</v>
      </c>
      <c r="D55" s="21" t="s">
        <v>970</v>
      </c>
    </row>
    <row r="56" spans="1:4" x14ac:dyDescent="0.25">
      <c r="A56" t="s">
        <v>462</v>
      </c>
      <c r="B56" t="s">
        <v>463</v>
      </c>
      <c r="C56" t="str">
        <f t="shared" si="0"/>
        <v>CustomBankNameA = 0xD041,</v>
      </c>
      <c r="D56" s="21" t="s">
        <v>970</v>
      </c>
    </row>
    <row r="57" spans="1:4" x14ac:dyDescent="0.25">
      <c r="A57" t="s">
        <v>464</v>
      </c>
      <c r="B57" t="s">
        <v>465</v>
      </c>
      <c r="C57" t="str">
        <f t="shared" si="0"/>
        <v>CustomBankNameB = 0xD042,</v>
      </c>
      <c r="D57" s="21" t="s">
        <v>970</v>
      </c>
    </row>
    <row r="58" spans="1:4" x14ac:dyDescent="0.25">
      <c r="A58" t="s">
        <v>466</v>
      </c>
      <c r="B58" t="s">
        <v>467</v>
      </c>
      <c r="C58" t="str">
        <f t="shared" si="0"/>
        <v>CustomBankNameC = 0xD043,</v>
      </c>
      <c r="D58" s="21" t="s">
        <v>970</v>
      </c>
    </row>
    <row r="59" spans="1:4" x14ac:dyDescent="0.25">
      <c r="A59" t="s">
        <v>468</v>
      </c>
      <c r="B59" t="s">
        <v>469</v>
      </c>
      <c r="C59" t="str">
        <f t="shared" si="0"/>
        <v>CustomBankNameD = 0xD044,</v>
      </c>
      <c r="D59" s="21" t="s">
        <v>970</v>
      </c>
    </row>
    <row r="60" spans="1:4" x14ac:dyDescent="0.25">
      <c r="A60" t="s">
        <v>470</v>
      </c>
      <c r="B60" t="s">
        <v>471</v>
      </c>
      <c r="C60" t="str">
        <f t="shared" si="0"/>
        <v>AFStillLockOnAcross = 0xD046,</v>
      </c>
      <c r="D60" s="21" t="s">
        <v>970</v>
      </c>
    </row>
    <row r="61" spans="1:4" x14ac:dyDescent="0.25">
      <c r="A61" t="s">
        <v>472</v>
      </c>
      <c r="B61" t="s">
        <v>473</v>
      </c>
      <c r="C61" t="str">
        <f t="shared" si="0"/>
        <v>AFStillLockOnMove = 0xD047,</v>
      </c>
      <c r="D61" s="21" t="s">
        <v>970</v>
      </c>
    </row>
    <row r="62" spans="1:4" x14ac:dyDescent="0.25">
      <c r="A62" t="s">
        <v>474</v>
      </c>
      <c r="B62" t="s">
        <v>475</v>
      </c>
      <c r="C62" t="str">
        <f t="shared" si="0"/>
        <v>DynamicAFonAFC = 0xD048,</v>
      </c>
      <c r="D62" s="21" t="s">
        <v>970</v>
      </c>
    </row>
    <row r="63" spans="1:4" x14ac:dyDescent="0.25">
      <c r="A63" t="s">
        <v>476</v>
      </c>
      <c r="B63" t="s">
        <v>477</v>
      </c>
      <c r="C63" t="str">
        <f t="shared" si="0"/>
        <v>DynamicAFonAFS = 0xD049,</v>
      </c>
      <c r="D63" s="21" t="s">
        <v>970</v>
      </c>
    </row>
    <row r="64" spans="1:4" x14ac:dyDescent="0.25">
      <c r="A64" t="s">
        <v>478</v>
      </c>
      <c r="B64" t="s">
        <v>479</v>
      </c>
      <c r="C64" t="str">
        <f t="shared" si="0"/>
        <v>FocusAreaSelect = 0xD04F,</v>
      </c>
      <c r="D64" s="21" t="s">
        <v>970</v>
      </c>
    </row>
    <row r="65" spans="1:4" x14ac:dyDescent="0.25">
      <c r="A65" t="s">
        <v>480</v>
      </c>
      <c r="B65" t="s">
        <v>481</v>
      </c>
      <c r="C65" t="str">
        <f t="shared" si="0"/>
        <v>EnableCopyright = 0xD053,</v>
      </c>
      <c r="D65" s="21" t="s">
        <v>970</v>
      </c>
    </row>
    <row r="66" spans="1:4" x14ac:dyDescent="0.25">
      <c r="A66" t="s">
        <v>482</v>
      </c>
      <c r="B66" t="s">
        <v>483</v>
      </c>
      <c r="C66" t="str">
        <f t="shared" si="0"/>
        <v>ISOAutoControl = 0xD054,</v>
      </c>
      <c r="D66" s="21" t="s">
        <v>970</v>
      </c>
    </row>
    <row r="67" spans="1:4" x14ac:dyDescent="0.25">
      <c r="A67" t="s">
        <v>484</v>
      </c>
      <c r="B67" t="s">
        <v>485</v>
      </c>
      <c r="C67" t="str">
        <f t="shared" si="0"/>
        <v>IsoStep = 0xD055,</v>
      </c>
      <c r="D67" s="21" t="s">
        <v>970</v>
      </c>
    </row>
    <row r="68" spans="1:4" x14ac:dyDescent="0.25">
      <c r="A68" t="s">
        <v>486</v>
      </c>
      <c r="B68" t="s">
        <v>487</v>
      </c>
      <c r="C68" t="str">
        <f t="shared" ref="C68:C131" si="1">B68&amp;" = "&amp;A68&amp;","</f>
        <v>ExposureEVStep = 0xD056,</v>
      </c>
      <c r="D68" s="21" t="s">
        <v>970</v>
      </c>
    </row>
    <row r="69" spans="1:4" x14ac:dyDescent="0.25">
      <c r="A69" t="s">
        <v>488</v>
      </c>
      <c r="B69" t="s">
        <v>489</v>
      </c>
      <c r="C69" t="str">
        <f t="shared" si="1"/>
        <v>CenterWeightedExRange = 0xD059,</v>
      </c>
      <c r="D69" s="21" t="s">
        <v>970</v>
      </c>
    </row>
    <row r="70" spans="1:4" x14ac:dyDescent="0.25">
      <c r="A70" t="s">
        <v>490</v>
      </c>
      <c r="B70" t="s">
        <v>491</v>
      </c>
      <c r="C70" t="str">
        <f t="shared" si="1"/>
        <v>ExposureBaseCompMatrix = 0xD05A,</v>
      </c>
      <c r="D70" s="21" t="s">
        <v>970</v>
      </c>
    </row>
    <row r="71" spans="1:4" x14ac:dyDescent="0.25">
      <c r="A71" t="s">
        <v>492</v>
      </c>
      <c r="B71" t="s">
        <v>493</v>
      </c>
      <c r="C71" t="str">
        <f t="shared" si="1"/>
        <v>ExposureBaseCompCenter = 0xD05B,</v>
      </c>
      <c r="D71" s="21" t="s">
        <v>970</v>
      </c>
    </row>
    <row r="72" spans="1:4" x14ac:dyDescent="0.25">
      <c r="A72" t="s">
        <v>494</v>
      </c>
      <c r="B72" t="s">
        <v>495</v>
      </c>
      <c r="C72" t="str">
        <f t="shared" si="1"/>
        <v>ExposureBaseCompSpot = 0xD05C,</v>
      </c>
      <c r="D72" s="21" t="s">
        <v>970</v>
      </c>
    </row>
    <row r="73" spans="1:4" x14ac:dyDescent="0.25">
      <c r="A73" t="s">
        <v>496</v>
      </c>
      <c r="B73" t="s">
        <v>497</v>
      </c>
      <c r="C73" t="str">
        <f t="shared" si="1"/>
        <v>StillFocusMeteringMode = 0xD05D,</v>
      </c>
      <c r="D73" s="21" t="s">
        <v>970</v>
      </c>
    </row>
    <row r="74" spans="1:4" x14ac:dyDescent="0.25">
      <c r="A74" t="s">
        <v>498</v>
      </c>
      <c r="B74" t="s">
        <v>499</v>
      </c>
      <c r="C74" t="str">
        <f t="shared" si="1"/>
        <v>IPTCPresetSelect = 0xD060,</v>
      </c>
      <c r="D74" s="21" t="s">
        <v>970</v>
      </c>
    </row>
    <row r="75" spans="1:4" x14ac:dyDescent="0.25">
      <c r="A75" t="s">
        <v>500</v>
      </c>
      <c r="B75" t="s">
        <v>501</v>
      </c>
      <c r="C75" t="str">
        <f t="shared" si="1"/>
        <v>StillFocusMode = 0xD061,</v>
      </c>
      <c r="D75" s="21" t="s">
        <v>970</v>
      </c>
    </row>
    <row r="76" spans="1:4" x14ac:dyDescent="0.25">
      <c r="A76" t="s">
        <v>502</v>
      </c>
      <c r="B76" t="s">
        <v>503</v>
      </c>
      <c r="C76" t="str">
        <f t="shared" si="1"/>
        <v>AngleLevel = 0xD067,</v>
      </c>
      <c r="D76" s="21" t="s">
        <v>970</v>
      </c>
    </row>
    <row r="77" spans="1:4" x14ac:dyDescent="0.25">
      <c r="A77" t="s">
        <v>504</v>
      </c>
      <c r="B77" t="s">
        <v>505</v>
      </c>
      <c r="C77" t="str">
        <f t="shared" si="1"/>
        <v>CspeedLow = 0xD068,</v>
      </c>
      <c r="D77" s="21" t="s">
        <v>970</v>
      </c>
    </row>
    <row r="78" spans="1:4" x14ac:dyDescent="0.25">
      <c r="A78" t="s">
        <v>506</v>
      </c>
      <c r="B78" t="s">
        <v>507</v>
      </c>
      <c r="C78" t="str">
        <f t="shared" si="1"/>
        <v>BurstMaxNumber = 0xD069,</v>
      </c>
      <c r="D78" s="21" t="s">
        <v>970</v>
      </c>
    </row>
    <row r="79" spans="1:4" x14ac:dyDescent="0.25">
      <c r="A79" t="s">
        <v>508</v>
      </c>
      <c r="B79" t="s">
        <v>509</v>
      </c>
      <c r="C79" t="str">
        <f t="shared" si="1"/>
        <v>ExposureDelay = 0xD06A,</v>
      </c>
      <c r="D79" s="21" t="s">
        <v>970</v>
      </c>
    </row>
    <row r="80" spans="1:4" x14ac:dyDescent="0.25">
      <c r="A80" t="s">
        <v>510</v>
      </c>
      <c r="B80" t="s">
        <v>511</v>
      </c>
      <c r="C80" t="str">
        <f t="shared" si="1"/>
        <v>NoiseReduction = 0xD06B,</v>
      </c>
      <c r="D80" s="21" t="s">
        <v>970</v>
      </c>
    </row>
    <row r="81" spans="1:4" x14ac:dyDescent="0.25">
      <c r="A81" t="s">
        <v>512</v>
      </c>
      <c r="B81" t="s">
        <v>513</v>
      </c>
      <c r="C81" t="str">
        <f t="shared" si="1"/>
        <v>NumberingMode = 0xD06C,</v>
      </c>
      <c r="D81" s="21" t="s">
        <v>970</v>
      </c>
    </row>
    <row r="82" spans="1:4" x14ac:dyDescent="0.25">
      <c r="A82" t="s">
        <v>514</v>
      </c>
      <c r="B82" t="s">
        <v>515</v>
      </c>
      <c r="C82" t="str">
        <f t="shared" si="1"/>
        <v>NoiseReductionHiIso = 0xD070,</v>
      </c>
      <c r="D82" s="21" t="s">
        <v>970</v>
      </c>
    </row>
    <row r="83" spans="1:4" x14ac:dyDescent="0.25">
      <c r="A83" t="s">
        <v>516</v>
      </c>
      <c r="B83" t="s">
        <v>517</v>
      </c>
      <c r="C83" t="str">
        <f t="shared" si="1"/>
        <v>ArtistV = 0xD072,</v>
      </c>
      <c r="D83" s="21" t="s">
        <v>970</v>
      </c>
    </row>
    <row r="84" spans="1:4" x14ac:dyDescent="0.25">
      <c r="A84" t="s">
        <v>518</v>
      </c>
      <c r="B84" t="s">
        <v>519</v>
      </c>
      <c r="C84" t="str">
        <f t="shared" si="1"/>
        <v>CopyrightV = 0xD073,</v>
      </c>
      <c r="D84" s="21" t="s">
        <v>970</v>
      </c>
    </row>
    <row r="85" spans="1:4" x14ac:dyDescent="0.25">
      <c r="A85" t="s">
        <v>520</v>
      </c>
      <c r="B85" t="s">
        <v>521</v>
      </c>
      <c r="C85" t="str">
        <f t="shared" si="1"/>
        <v>FlashSyncSpeed = 0xD074,</v>
      </c>
      <c r="D85" s="21" t="s">
        <v>970</v>
      </c>
    </row>
    <row r="86" spans="1:4" x14ac:dyDescent="0.25">
      <c r="A86" t="s">
        <v>522</v>
      </c>
      <c r="B86" t="s">
        <v>523</v>
      </c>
      <c r="C86" t="str">
        <f t="shared" si="1"/>
        <v>FlashSlowSpeedLimit = 0xD075,</v>
      </c>
      <c r="D86" s="21" t="s">
        <v>970</v>
      </c>
    </row>
    <row r="87" spans="1:4" x14ac:dyDescent="0.25">
      <c r="A87" t="s">
        <v>524</v>
      </c>
      <c r="B87" t="s">
        <v>525</v>
      </c>
      <c r="C87" t="str">
        <f t="shared" si="1"/>
        <v>BracketingType = 0xD078,</v>
      </c>
      <c r="D87" s="21" t="s">
        <v>970</v>
      </c>
    </row>
    <row r="88" spans="1:4" x14ac:dyDescent="0.25">
      <c r="A88" t="s">
        <v>526</v>
      </c>
      <c r="B88" t="s">
        <v>527</v>
      </c>
      <c r="C88" t="str">
        <f t="shared" si="1"/>
        <v>SelectBracketChangeFactor = 0xD079,</v>
      </c>
      <c r="D88" s="21" t="s">
        <v>970</v>
      </c>
    </row>
    <row r="89" spans="1:4" x14ac:dyDescent="0.25">
      <c r="A89" t="s">
        <v>528</v>
      </c>
      <c r="B89" t="s">
        <v>529</v>
      </c>
      <c r="C89" t="str">
        <f t="shared" si="1"/>
        <v>BracketingOrder = 0xD07A,</v>
      </c>
      <c r="D89" s="21" t="s">
        <v>970</v>
      </c>
    </row>
    <row r="90" spans="1:4" x14ac:dyDescent="0.25">
      <c r="A90" t="s">
        <v>530</v>
      </c>
      <c r="B90" t="s">
        <v>531</v>
      </c>
      <c r="C90" t="str">
        <f t="shared" si="1"/>
        <v>AngleLevelPitching = 0xD07D,</v>
      </c>
      <c r="D90" s="21" t="s">
        <v>970</v>
      </c>
    </row>
    <row r="91" spans="1:4" x14ac:dyDescent="0.25">
      <c r="A91" t="s">
        <v>532</v>
      </c>
      <c r="B91" t="s">
        <v>533</v>
      </c>
      <c r="C91" t="str">
        <f t="shared" si="1"/>
        <v>AngleLevelYawing = 0xD07E,</v>
      </c>
      <c r="D91" s="21" t="s">
        <v>970</v>
      </c>
    </row>
    <row r="92" spans="1:4" x14ac:dyDescent="0.25">
      <c r="A92" t="s">
        <v>534</v>
      </c>
      <c r="B92" t="s">
        <v>535</v>
      </c>
      <c r="C92" t="str">
        <f t="shared" si="1"/>
        <v>ExtendShootingMenu = 0xD07F,</v>
      </c>
      <c r="D92" s="21" t="s">
        <v>970</v>
      </c>
    </row>
    <row r="93" spans="1:4" x14ac:dyDescent="0.25">
      <c r="A93" t="s">
        <v>536</v>
      </c>
      <c r="B93" t="s">
        <v>537</v>
      </c>
      <c r="C93" t="str">
        <f t="shared" si="1"/>
        <v>EnableShutter = 0xD08A,</v>
      </c>
      <c r="D93" s="21" t="s">
        <v>970</v>
      </c>
    </row>
    <row r="94" spans="1:4" x14ac:dyDescent="0.25">
      <c r="A94" t="s">
        <v>538</v>
      </c>
      <c r="B94" t="s">
        <v>539</v>
      </c>
      <c r="C94" t="str">
        <f t="shared" si="1"/>
        <v>EnableAFAreaPoint = 0xD08D,</v>
      </c>
      <c r="D94" s="21" t="s">
        <v>970</v>
      </c>
    </row>
    <row r="95" spans="1:4" x14ac:dyDescent="0.25">
      <c r="A95" t="s">
        <v>540</v>
      </c>
      <c r="B95" t="s">
        <v>541</v>
      </c>
      <c r="C95" t="str">
        <f t="shared" si="1"/>
        <v>ImageSensorCleaning = 0xD08F,</v>
      </c>
      <c r="D95" s="21" t="s">
        <v>970</v>
      </c>
    </row>
    <row r="96" spans="1:4" x14ac:dyDescent="0.25">
      <c r="A96" t="s">
        <v>542</v>
      </c>
      <c r="B96" t="s">
        <v>543</v>
      </c>
      <c r="C96" t="str">
        <f t="shared" si="1"/>
        <v>CommentString = 0xD090,</v>
      </c>
      <c r="D96" s="21" t="s">
        <v>970</v>
      </c>
    </row>
    <row r="97" spans="1:4" x14ac:dyDescent="0.25">
      <c r="A97" t="s">
        <v>544</v>
      </c>
      <c r="B97" t="s">
        <v>545</v>
      </c>
      <c r="C97" t="str">
        <f t="shared" si="1"/>
        <v>EnableComment = 0xD091,</v>
      </c>
      <c r="D97" s="21" t="s">
        <v>970</v>
      </c>
    </row>
    <row r="98" spans="1:4" x14ac:dyDescent="0.25">
      <c r="A98" t="s">
        <v>546</v>
      </c>
      <c r="B98" t="s">
        <v>547</v>
      </c>
      <c r="C98" t="str">
        <f t="shared" si="1"/>
        <v>OrientationSensorMode = 0xD092,</v>
      </c>
      <c r="D98" s="21" t="s">
        <v>970</v>
      </c>
    </row>
    <row r="99" spans="1:4" x14ac:dyDescent="0.25">
      <c r="A99" t="s">
        <v>548</v>
      </c>
      <c r="B99" t="s">
        <v>549</v>
      </c>
      <c r="C99" t="str">
        <f t="shared" si="1"/>
        <v>ManualSettingLensNo = 0xD093,</v>
      </c>
      <c r="D99" s="21" t="s">
        <v>970</v>
      </c>
    </row>
    <row r="100" spans="1:4" x14ac:dyDescent="0.25">
      <c r="A100" t="s">
        <v>550</v>
      </c>
      <c r="B100" t="s">
        <v>551</v>
      </c>
      <c r="C100" t="str">
        <f t="shared" si="1"/>
        <v>RetractableLensWarning = 0xD09C,</v>
      </c>
      <c r="D100" s="21" t="s">
        <v>970</v>
      </c>
    </row>
    <row r="101" spans="1:4" x14ac:dyDescent="0.25">
      <c r="A101" t="s">
        <v>552</v>
      </c>
      <c r="B101" t="s">
        <v>553</v>
      </c>
      <c r="C101" t="str">
        <f t="shared" si="1"/>
        <v>MatrixMetering = 0xD09F,</v>
      </c>
      <c r="D101" s="21" t="s">
        <v>970</v>
      </c>
    </row>
    <row r="102" spans="1:4" x14ac:dyDescent="0.25">
      <c r="A102" t="s">
        <v>554</v>
      </c>
      <c r="B102" t="s">
        <v>555</v>
      </c>
      <c r="C102" t="str">
        <f t="shared" si="1"/>
        <v>MovieRecordScreenSize = 0xD0A0,</v>
      </c>
      <c r="D102" s="21" t="s">
        <v>970</v>
      </c>
    </row>
    <row r="103" spans="1:4" x14ac:dyDescent="0.25">
      <c r="A103" t="s">
        <v>556</v>
      </c>
      <c r="B103" t="s">
        <v>557</v>
      </c>
      <c r="C103" t="str">
        <f t="shared" si="1"/>
        <v>MovieRecordMicrophoneLevel = 0xD0A2,</v>
      </c>
      <c r="D103" s="21" t="s">
        <v>970</v>
      </c>
    </row>
    <row r="104" spans="1:4" x14ac:dyDescent="0.25">
      <c r="A104" t="s">
        <v>558</v>
      </c>
      <c r="B104" t="s">
        <v>559</v>
      </c>
      <c r="C104" t="str">
        <f t="shared" si="1"/>
        <v>MovieRecordDestination = 0xD0A3,</v>
      </c>
      <c r="D104" s="21" t="s">
        <v>970</v>
      </c>
    </row>
    <row r="105" spans="1:4" x14ac:dyDescent="0.25">
      <c r="A105" t="s">
        <v>560</v>
      </c>
      <c r="B105" t="s">
        <v>561</v>
      </c>
      <c r="C105" t="str">
        <f t="shared" si="1"/>
        <v>MovieRecProhibitionCondition = 0xD0A4,</v>
      </c>
      <c r="D105" s="21" t="s">
        <v>970</v>
      </c>
    </row>
    <row r="106" spans="1:4" x14ac:dyDescent="0.25">
      <c r="A106" t="s">
        <v>562</v>
      </c>
      <c r="B106" t="s">
        <v>563</v>
      </c>
      <c r="C106" t="str">
        <f t="shared" si="1"/>
        <v>MovieRecordMicrophoneLevelValue = 0xD0A8,</v>
      </c>
      <c r="D106" s="21" t="s">
        <v>970</v>
      </c>
    </row>
    <row r="107" spans="1:4" x14ac:dyDescent="0.25">
      <c r="A107" t="s">
        <v>564</v>
      </c>
      <c r="B107" t="s">
        <v>565</v>
      </c>
      <c r="C107" t="str">
        <f t="shared" si="1"/>
        <v>MovieWindNoiseReduction = 0xD0AA,</v>
      </c>
      <c r="D107" s="21" t="s">
        <v>970</v>
      </c>
    </row>
    <row r="108" spans="1:4" x14ac:dyDescent="0.25">
      <c r="A108" t="s">
        <v>566</v>
      </c>
      <c r="B108" t="s">
        <v>567</v>
      </c>
      <c r="C108" t="str">
        <f t="shared" si="1"/>
        <v>MovieRecordingZone = 0xD0AC,</v>
      </c>
      <c r="D108" s="21" t="s">
        <v>970</v>
      </c>
    </row>
    <row r="109" spans="1:4" x14ac:dyDescent="0.25">
      <c r="A109" t="s">
        <v>568</v>
      </c>
      <c r="B109" t="s">
        <v>569</v>
      </c>
      <c r="C109" t="str">
        <f t="shared" si="1"/>
        <v>MovieISOAutoControl = 0xD0AD,</v>
      </c>
      <c r="D109" s="21" t="s">
        <v>970</v>
      </c>
    </row>
    <row r="110" spans="1:4" x14ac:dyDescent="0.25">
      <c r="A110" t="s">
        <v>570</v>
      </c>
      <c r="B110" t="s">
        <v>571</v>
      </c>
      <c r="C110" t="str">
        <f t="shared" si="1"/>
        <v>MovieISOAutoHighLimit = 0xD0AE,</v>
      </c>
      <c r="D110" s="21" t="s">
        <v>970</v>
      </c>
    </row>
    <row r="111" spans="1:4" x14ac:dyDescent="0.25">
      <c r="A111" t="s">
        <v>572</v>
      </c>
      <c r="B111" t="s">
        <v>573</v>
      </c>
      <c r="C111" t="str">
        <f t="shared" si="1"/>
        <v>MovieFileType = 0xD0AF,</v>
      </c>
      <c r="D111" s="21" t="s">
        <v>970</v>
      </c>
    </row>
    <row r="112" spans="1:4" x14ac:dyDescent="0.25">
      <c r="A112" t="s">
        <v>574</v>
      </c>
      <c r="B112" t="s">
        <v>575</v>
      </c>
      <c r="C112" t="str">
        <f t="shared" si="1"/>
        <v>ExposureIndexEx = 0xD0B4,</v>
      </c>
      <c r="D112" s="21" t="s">
        <v>970</v>
      </c>
    </row>
    <row r="113" spans="1:4" x14ac:dyDescent="0.25">
      <c r="A113" t="s">
        <v>576</v>
      </c>
      <c r="B113" t="s">
        <v>577</v>
      </c>
      <c r="C113" t="str">
        <f t="shared" si="1"/>
        <v>ISOControlSensitivity = 0xD0B5,</v>
      </c>
      <c r="D113" s="21" t="s">
        <v>970</v>
      </c>
    </row>
    <row r="114" spans="1:4" x14ac:dyDescent="0.25">
      <c r="A114" t="s">
        <v>578</v>
      </c>
      <c r="B114" t="s">
        <v>579</v>
      </c>
      <c r="C114" t="str">
        <f t="shared" si="1"/>
        <v>FlickerReductionSetting = 0xD0B7,</v>
      </c>
      <c r="D114" s="21" t="s">
        <v>970</v>
      </c>
    </row>
    <row r="115" spans="1:4" x14ac:dyDescent="0.25">
      <c r="A115" t="s">
        <v>580</v>
      </c>
      <c r="B115" t="s">
        <v>581</v>
      </c>
      <c r="C115" t="str">
        <f t="shared" si="1"/>
        <v>DiffractionCompensation = 0xD0BA,</v>
      </c>
      <c r="D115" s="21" t="s">
        <v>970</v>
      </c>
    </row>
    <row r="116" spans="1:4" x14ac:dyDescent="0.25">
      <c r="A116" t="s">
        <v>582</v>
      </c>
      <c r="B116" t="s">
        <v>583</v>
      </c>
      <c r="C116" t="str">
        <f t="shared" si="1"/>
        <v>MovieLogOutput = 0xD0BB,</v>
      </c>
      <c r="D116" s="21" t="s">
        <v>970</v>
      </c>
    </row>
    <row r="117" spans="1:4" x14ac:dyDescent="0.25">
      <c r="A117" t="s">
        <v>584</v>
      </c>
      <c r="B117" t="s">
        <v>585</v>
      </c>
      <c r="C117" t="str">
        <f t="shared" si="1"/>
        <v>MovieAutoDistortion = 0xD0BC,</v>
      </c>
      <c r="D117" s="21" t="s">
        <v>970</v>
      </c>
    </row>
    <row r="118" spans="1:4" x14ac:dyDescent="0.25">
      <c r="A118" t="s">
        <v>586</v>
      </c>
      <c r="B118" t="s">
        <v>587</v>
      </c>
      <c r="C118" t="str">
        <f t="shared" si="1"/>
        <v>RemainingExposureTime = 0xD0BE,</v>
      </c>
      <c r="D118" s="21" t="s">
        <v>970</v>
      </c>
    </row>
    <row r="119" spans="1:4" x14ac:dyDescent="0.25">
      <c r="A119" t="s">
        <v>588</v>
      </c>
      <c r="B119" t="s">
        <v>589</v>
      </c>
      <c r="C119" t="str">
        <f t="shared" si="1"/>
        <v>EnableBracketing = 0xD0C0,</v>
      </c>
      <c r="D119" s="21" t="s">
        <v>970</v>
      </c>
    </row>
    <row r="120" spans="1:4" x14ac:dyDescent="0.25">
      <c r="A120" t="s">
        <v>590</v>
      </c>
      <c r="B120" t="s">
        <v>591</v>
      </c>
      <c r="C120" t="str">
        <f t="shared" si="1"/>
        <v>AEBracketingStep = 0xD0C1,</v>
      </c>
      <c r="D120" s="21" t="s">
        <v>970</v>
      </c>
    </row>
    <row r="121" spans="1:4" x14ac:dyDescent="0.25">
      <c r="A121" t="s">
        <v>592</v>
      </c>
      <c r="B121" t="s">
        <v>593</v>
      </c>
      <c r="C121" t="str">
        <f t="shared" si="1"/>
        <v>AEBracketingPattern = 0xD0C2,</v>
      </c>
      <c r="D121" s="21" t="s">
        <v>970</v>
      </c>
    </row>
    <row r="122" spans="1:4" x14ac:dyDescent="0.25">
      <c r="A122" t="s">
        <v>594</v>
      </c>
      <c r="B122" t="s">
        <v>595</v>
      </c>
      <c r="C122" t="str">
        <f t="shared" si="1"/>
        <v>AEBracketingCount = 0xD0C3,</v>
      </c>
      <c r="D122" s="21" t="s">
        <v>970</v>
      </c>
    </row>
    <row r="123" spans="1:4" x14ac:dyDescent="0.25">
      <c r="A123" t="s">
        <v>596</v>
      </c>
      <c r="B123" t="s">
        <v>597</v>
      </c>
      <c r="C123" t="str">
        <f t="shared" si="1"/>
        <v>WBBracketingStep = 0xD0C4,</v>
      </c>
      <c r="D123" s="21" t="s">
        <v>970</v>
      </c>
    </row>
    <row r="124" spans="1:4" x14ac:dyDescent="0.25">
      <c r="A124" t="s">
        <v>598</v>
      </c>
      <c r="B124" t="s">
        <v>599</v>
      </c>
      <c r="C124" t="str">
        <f t="shared" si="1"/>
        <v>WBBracketingPattern = 0xD0C5,</v>
      </c>
      <c r="D124" s="21" t="s">
        <v>970</v>
      </c>
    </row>
    <row r="125" spans="1:4" x14ac:dyDescent="0.25">
      <c r="A125" t="s">
        <v>600</v>
      </c>
      <c r="B125" t="s">
        <v>601</v>
      </c>
      <c r="C125" t="str">
        <f t="shared" si="1"/>
        <v>ADLBracketingPattern = 0xD0C6,</v>
      </c>
      <c r="D125" s="21" t="s">
        <v>970</v>
      </c>
    </row>
    <row r="126" spans="1:4" x14ac:dyDescent="0.25">
      <c r="A126" t="s">
        <v>602</v>
      </c>
      <c r="B126" t="s">
        <v>603</v>
      </c>
      <c r="C126" t="str">
        <f t="shared" si="1"/>
        <v>ADLBracketingStep = 0xD0C7,</v>
      </c>
      <c r="D126" s="21" t="s">
        <v>970</v>
      </c>
    </row>
    <row r="127" spans="1:4" x14ac:dyDescent="0.25">
      <c r="A127" t="s">
        <v>604</v>
      </c>
      <c r="B127" t="s">
        <v>605</v>
      </c>
      <c r="C127" t="str">
        <f t="shared" si="1"/>
        <v>SaveFocusPosition = 0xD0CD,</v>
      </c>
      <c r="D127" s="21" t="s">
        <v>970</v>
      </c>
    </row>
    <row r="128" spans="1:4" x14ac:dyDescent="0.25">
      <c r="A128" t="s">
        <v>606</v>
      </c>
      <c r="B128" t="s">
        <v>607</v>
      </c>
      <c r="C128" t="str">
        <f t="shared" si="1"/>
        <v>LensID = 0xD0E0,</v>
      </c>
      <c r="D128" s="21" t="s">
        <v>970</v>
      </c>
    </row>
    <row r="129" spans="1:4" x14ac:dyDescent="0.25">
      <c r="A129" t="s">
        <v>608</v>
      </c>
      <c r="B129" t="s">
        <v>609</v>
      </c>
      <c r="C129" t="str">
        <f t="shared" si="1"/>
        <v>LensSort = 0xD0E1,</v>
      </c>
      <c r="D129" s="21" t="s">
        <v>970</v>
      </c>
    </row>
    <row r="130" spans="1:4" x14ac:dyDescent="0.25">
      <c r="A130" t="s">
        <v>610</v>
      </c>
      <c r="B130" t="s">
        <v>611</v>
      </c>
      <c r="C130" t="str">
        <f t="shared" si="1"/>
        <v>LensTypeF = 0xD0E2,</v>
      </c>
      <c r="D130" s="21" t="s">
        <v>970</v>
      </c>
    </row>
    <row r="131" spans="1:4" x14ac:dyDescent="0.25">
      <c r="A131" t="s">
        <v>612</v>
      </c>
      <c r="B131" t="s">
        <v>613</v>
      </c>
      <c r="C131" t="str">
        <f t="shared" si="1"/>
        <v>LensFocalMin = 0xD0E3,</v>
      </c>
      <c r="D131" s="21" t="s">
        <v>970</v>
      </c>
    </row>
    <row r="132" spans="1:4" x14ac:dyDescent="0.25">
      <c r="A132" t="s">
        <v>614</v>
      </c>
      <c r="B132" t="s">
        <v>615</v>
      </c>
      <c r="C132" t="str">
        <f t="shared" ref="C132:C195" si="2">B132&amp;" = "&amp;A132&amp;","</f>
        <v>LensFocalMax = 0xD0E4,</v>
      </c>
      <c r="D132" s="21" t="s">
        <v>970</v>
      </c>
    </row>
    <row r="133" spans="1:4" x14ac:dyDescent="0.25">
      <c r="A133" t="s">
        <v>616</v>
      </c>
      <c r="B133" t="s">
        <v>617</v>
      </c>
      <c r="C133" t="str">
        <f t="shared" si="2"/>
        <v>LensApatureMin = 0xD0E5,</v>
      </c>
      <c r="D133" s="21" t="s">
        <v>970</v>
      </c>
    </row>
    <row r="134" spans="1:4" x14ac:dyDescent="0.25">
      <c r="A134" t="s">
        <v>618</v>
      </c>
      <c r="B134" t="s">
        <v>619</v>
      </c>
      <c r="C134" t="str">
        <f t="shared" si="2"/>
        <v>LensApatureMax = 0xD0E6,</v>
      </c>
      <c r="D134" s="21" t="s">
        <v>970</v>
      </c>
    </row>
    <row r="135" spans="1:4" x14ac:dyDescent="0.25">
      <c r="A135" t="s">
        <v>620</v>
      </c>
      <c r="B135" t="s">
        <v>621</v>
      </c>
      <c r="C135" t="str">
        <f t="shared" si="2"/>
        <v>LensTypeML = 0xD0E7,</v>
      </c>
      <c r="D135" s="21" t="s">
        <v>970</v>
      </c>
    </row>
    <row r="136" spans="1:4" x14ac:dyDescent="0.25">
      <c r="A136" t="s">
        <v>622</v>
      </c>
      <c r="B136" t="s">
        <v>623</v>
      </c>
      <c r="C136" t="str">
        <f t="shared" si="2"/>
        <v>VignetteControl = 0xD0F7,</v>
      </c>
      <c r="D136" s="21" t="s">
        <v>970</v>
      </c>
    </row>
    <row r="137" spans="1:4" x14ac:dyDescent="0.25">
      <c r="A137" t="s">
        <v>624</v>
      </c>
      <c r="B137" t="s">
        <v>625</v>
      </c>
      <c r="C137" t="str">
        <f t="shared" si="2"/>
        <v>AutoDistortion = 0xD0F8,</v>
      </c>
      <c r="D137" s="21" t="s">
        <v>970</v>
      </c>
    </row>
    <row r="138" spans="1:4" x14ac:dyDescent="0.25">
      <c r="A138" t="s">
        <v>626</v>
      </c>
      <c r="B138" t="s">
        <v>627</v>
      </c>
      <c r="C138" t="str">
        <f t="shared" si="2"/>
        <v>ShutterSpeed = 0xD100,</v>
      </c>
      <c r="D138" s="21" t="s">
        <v>970</v>
      </c>
    </row>
    <row r="139" spans="1:4" x14ac:dyDescent="0.25">
      <c r="A139" t="s">
        <v>1054</v>
      </c>
      <c r="B139" t="s">
        <v>995</v>
      </c>
      <c r="C139" t="str">
        <f t="shared" si="2"/>
        <v>ExternalDC = 0xD101,</v>
      </c>
      <c r="D139" s="21" t="s">
        <v>970</v>
      </c>
    </row>
    <row r="140" spans="1:4" x14ac:dyDescent="0.25">
      <c r="A140" t="s">
        <v>628</v>
      </c>
      <c r="B140" t="s">
        <v>629</v>
      </c>
      <c r="C140" t="str">
        <f t="shared" si="2"/>
        <v>WarningStatus = 0xD102,</v>
      </c>
      <c r="D140" s="21" t="s">
        <v>970</v>
      </c>
    </row>
    <row r="141" spans="1:4" x14ac:dyDescent="0.25">
      <c r="A141" t="s">
        <v>630</v>
      </c>
      <c r="B141" t="s">
        <v>631</v>
      </c>
      <c r="C141" t="str">
        <f t="shared" si="2"/>
        <v>AFLockStatus = 0xD104,</v>
      </c>
      <c r="D141" s="21" t="s">
        <v>970</v>
      </c>
    </row>
    <row r="142" spans="1:4" x14ac:dyDescent="0.25">
      <c r="A142" t="s">
        <v>632</v>
      </c>
      <c r="B142" t="s">
        <v>633</v>
      </c>
      <c r="C142" t="str">
        <f t="shared" si="2"/>
        <v>AELockStatus = 0xD105,</v>
      </c>
      <c r="D142" s="21" t="s">
        <v>970</v>
      </c>
    </row>
    <row r="143" spans="1:4" x14ac:dyDescent="0.25">
      <c r="A143" t="s">
        <v>634</v>
      </c>
      <c r="B143" t="s">
        <v>635</v>
      </c>
      <c r="C143" t="str">
        <f t="shared" si="2"/>
        <v>FVLockStatus = 0xD106,</v>
      </c>
      <c r="D143" s="21" t="s">
        <v>970</v>
      </c>
    </row>
    <row r="144" spans="1:4" x14ac:dyDescent="0.25">
      <c r="A144" t="s">
        <v>636</v>
      </c>
      <c r="B144" t="s">
        <v>637</v>
      </c>
      <c r="C144" t="str">
        <f t="shared" si="2"/>
        <v>FlexibleProgram = 0xD109,</v>
      </c>
      <c r="D144" s="21" t="s">
        <v>970</v>
      </c>
    </row>
    <row r="145" spans="1:4" x14ac:dyDescent="0.25">
      <c r="A145" t="s">
        <v>638</v>
      </c>
      <c r="B145" t="s">
        <v>639</v>
      </c>
      <c r="C145" t="str">
        <f t="shared" si="2"/>
        <v>RecordingMedia = 0xD10B,</v>
      </c>
      <c r="D145" s="21" t="s">
        <v>970</v>
      </c>
    </row>
    <row r="146" spans="1:4" x14ac:dyDescent="0.25">
      <c r="A146" t="s">
        <v>640</v>
      </c>
      <c r="B146" t="s">
        <v>641</v>
      </c>
      <c r="C146" t="str">
        <f t="shared" si="2"/>
        <v>USBSpeed = 0xD10C,</v>
      </c>
      <c r="D146" s="21" t="s">
        <v>970</v>
      </c>
    </row>
    <row r="147" spans="1:4" x14ac:dyDescent="0.25">
      <c r="A147" t="s">
        <v>642</v>
      </c>
      <c r="B147" t="s">
        <v>643</v>
      </c>
      <c r="C147" t="str">
        <f t="shared" si="2"/>
        <v>Orientation = 0xD10E,</v>
      </c>
      <c r="D147" s="21" t="s">
        <v>970</v>
      </c>
    </row>
    <row r="148" spans="1:4" x14ac:dyDescent="0.25">
      <c r="A148" t="s">
        <v>644</v>
      </c>
      <c r="B148" t="s">
        <v>645</v>
      </c>
      <c r="C148" t="str">
        <f t="shared" si="2"/>
        <v>TVLockSetting = 0xD112,</v>
      </c>
      <c r="D148" s="21" t="s">
        <v>970</v>
      </c>
    </row>
    <row r="149" spans="1:4" x14ac:dyDescent="0.25">
      <c r="A149" t="s">
        <v>646</v>
      </c>
      <c r="B149" t="s">
        <v>647</v>
      </c>
      <c r="C149" t="str">
        <f t="shared" si="2"/>
        <v>AVLockSetting = 0xD113,</v>
      </c>
      <c r="D149" s="21" t="s">
        <v>970</v>
      </c>
    </row>
    <row r="150" spans="1:4" x14ac:dyDescent="0.25">
      <c r="A150" t="s">
        <v>648</v>
      </c>
      <c r="B150" t="s">
        <v>649</v>
      </c>
      <c r="C150" t="str">
        <f t="shared" si="2"/>
        <v>ExposureCompFlashUsed = 0xD118,</v>
      </c>
      <c r="D150" s="21" t="s">
        <v>970</v>
      </c>
    </row>
    <row r="151" spans="1:4" x14ac:dyDescent="0.25">
      <c r="A151" t="s">
        <v>1055</v>
      </c>
      <c r="B151" t="s">
        <v>1156</v>
      </c>
      <c r="C151" t="str">
        <f t="shared" si="2"/>
        <v>Slot2JpegImageSize = 0xD119,</v>
      </c>
      <c r="D151" s="21" t="s">
        <v>970</v>
      </c>
    </row>
    <row r="152" spans="1:4" x14ac:dyDescent="0.25">
      <c r="A152" t="s">
        <v>650</v>
      </c>
      <c r="B152" t="s">
        <v>651</v>
      </c>
      <c r="C152" t="str">
        <f t="shared" si="2"/>
        <v>ExternalSpeedLightExist = 0xD120,</v>
      </c>
      <c r="D152" s="21" t="s">
        <v>970</v>
      </c>
    </row>
    <row r="153" spans="1:4" x14ac:dyDescent="0.25">
      <c r="A153" t="s">
        <v>652</v>
      </c>
      <c r="B153" t="s">
        <v>653</v>
      </c>
      <c r="C153" t="str">
        <f t="shared" si="2"/>
        <v>ExternalSpeedLightStatus = 0xD121,</v>
      </c>
      <c r="D153" s="21" t="s">
        <v>970</v>
      </c>
    </row>
    <row r="154" spans="1:4" x14ac:dyDescent="0.25">
      <c r="A154" t="s">
        <v>654</v>
      </c>
      <c r="B154" t="s">
        <v>655</v>
      </c>
      <c r="C154" t="str">
        <f t="shared" si="2"/>
        <v>ExternalSpeedLightSort = 0xD122,</v>
      </c>
      <c r="D154" s="21" t="s">
        <v>970</v>
      </c>
    </row>
    <row r="155" spans="1:4" x14ac:dyDescent="0.25">
      <c r="A155" t="s">
        <v>656</v>
      </c>
      <c r="B155" t="s">
        <v>657</v>
      </c>
      <c r="C155" t="str">
        <f t="shared" si="2"/>
        <v>FlashCompensation = 0xD124,</v>
      </c>
      <c r="D155" s="21" t="s">
        <v>970</v>
      </c>
    </row>
    <row r="156" spans="1:4" x14ac:dyDescent="0.25">
      <c r="A156" t="s">
        <v>658</v>
      </c>
      <c r="B156" t="s">
        <v>659</v>
      </c>
      <c r="C156" t="str">
        <f t="shared" si="2"/>
        <v>NewExternalSpeedLightMode = 0xD125,</v>
      </c>
      <c r="D156" s="21" t="s">
        <v>970</v>
      </c>
    </row>
    <row r="157" spans="1:4" x14ac:dyDescent="0.25">
      <c r="A157" t="s">
        <v>660</v>
      </c>
      <c r="B157" t="s">
        <v>661</v>
      </c>
      <c r="C157" t="str">
        <f t="shared" si="2"/>
        <v>InternalFlashCompensation = 0xD126,</v>
      </c>
      <c r="D157" s="21" t="s">
        <v>970</v>
      </c>
    </row>
    <row r="158" spans="1:4" x14ac:dyDescent="0.25">
      <c r="A158" t="s">
        <v>662</v>
      </c>
      <c r="B158" t="s">
        <v>663</v>
      </c>
      <c r="C158" t="str">
        <f t="shared" si="2"/>
        <v>ExternalSpeedLightMultiFlashMode = 0xD12D,</v>
      </c>
      <c r="D158" s="21" t="s">
        <v>970</v>
      </c>
    </row>
    <row r="159" spans="1:4" x14ac:dyDescent="0.25">
      <c r="A159" t="s">
        <v>664</v>
      </c>
      <c r="B159" t="s">
        <v>665</v>
      </c>
      <c r="C159" t="str">
        <f t="shared" si="2"/>
        <v>ConnectionPath = 0xD12E,</v>
      </c>
      <c r="D159" s="21" t="s">
        <v>970</v>
      </c>
    </row>
    <row r="160" spans="1:4" x14ac:dyDescent="0.25">
      <c r="A160" t="s">
        <v>666</v>
      </c>
      <c r="B160" t="s">
        <v>667</v>
      </c>
      <c r="C160" t="str">
        <f t="shared" si="2"/>
        <v>AWBLockStatus = 0xD12F,</v>
      </c>
      <c r="D160" s="21" t="s">
        <v>970</v>
      </c>
    </row>
    <row r="161" spans="1:4" x14ac:dyDescent="0.25">
      <c r="A161" t="s">
        <v>668</v>
      </c>
      <c r="B161" t="s">
        <v>669</v>
      </c>
      <c r="C161" t="str">
        <f t="shared" si="2"/>
        <v>HDRMode = 0xD130,</v>
      </c>
      <c r="D161" s="21" t="s">
        <v>970</v>
      </c>
    </row>
    <row r="162" spans="1:4" x14ac:dyDescent="0.25">
      <c r="A162" t="s">
        <v>670</v>
      </c>
      <c r="B162" t="s">
        <v>671</v>
      </c>
      <c r="C162" t="str">
        <f t="shared" si="2"/>
        <v>HDRStrength = 0xD132,</v>
      </c>
      <c r="D162" s="21" t="s">
        <v>970</v>
      </c>
    </row>
    <row r="163" spans="1:4" x14ac:dyDescent="0.25">
      <c r="A163" t="s">
        <v>672</v>
      </c>
      <c r="B163" t="s">
        <v>673</v>
      </c>
      <c r="C163" t="str">
        <f t="shared" si="2"/>
        <v>HDRSaveIndividualImages = 0xD133,</v>
      </c>
      <c r="D163" s="21" t="s">
        <v>970</v>
      </c>
    </row>
    <row r="164" spans="1:4" x14ac:dyDescent="0.25">
      <c r="A164" t="s">
        <v>674</v>
      </c>
      <c r="B164" t="s">
        <v>675</v>
      </c>
      <c r="C164" t="str">
        <f t="shared" si="2"/>
        <v>VibrationReduction = 0xD138,</v>
      </c>
      <c r="D164" s="21" t="s">
        <v>970</v>
      </c>
    </row>
    <row r="165" spans="1:4" x14ac:dyDescent="0.25">
      <c r="A165" t="s">
        <v>676</v>
      </c>
      <c r="B165" t="s">
        <v>677</v>
      </c>
      <c r="C165" t="str">
        <f t="shared" si="2"/>
        <v>WbAutoType = 0xD141,</v>
      </c>
      <c r="D165" s="21" t="s">
        <v>970</v>
      </c>
    </row>
    <row r="166" spans="1:4" x14ac:dyDescent="0.25">
      <c r="A166" t="s">
        <v>1056</v>
      </c>
      <c r="B166" t="s">
        <v>1157</v>
      </c>
      <c r="C166" t="str">
        <f t="shared" si="2"/>
        <v>Slot2ImageSaveMode = 0xD148,</v>
      </c>
      <c r="D166" s="21" t="s">
        <v>970</v>
      </c>
    </row>
    <row r="167" spans="1:4" x14ac:dyDescent="0.25">
      <c r="A167" t="s">
        <v>1057</v>
      </c>
      <c r="B167" t="s">
        <v>996</v>
      </c>
      <c r="C167" t="str">
        <f t="shared" si="2"/>
        <v>Active = 0xD14E,</v>
      </c>
      <c r="D167" s="21" t="s">
        <v>970</v>
      </c>
    </row>
    <row r="168" spans="1:4" x14ac:dyDescent="0.25">
      <c r="A168" t="s">
        <v>678</v>
      </c>
      <c r="B168" t="s">
        <v>679</v>
      </c>
      <c r="C168" t="str">
        <f t="shared" si="2"/>
        <v>WbFluorescentType = 0xD14F,</v>
      </c>
      <c r="D168" s="21" t="s">
        <v>970</v>
      </c>
    </row>
    <row r="169" spans="1:4" x14ac:dyDescent="0.25">
      <c r="A169" t="s">
        <v>680</v>
      </c>
      <c r="B169" t="s">
        <v>681</v>
      </c>
      <c r="C169" t="str">
        <f t="shared" si="2"/>
        <v>WbTuneColorTemp = 0xD150,</v>
      </c>
      <c r="D169" s="21" t="s">
        <v>970</v>
      </c>
    </row>
    <row r="170" spans="1:4" x14ac:dyDescent="0.25">
      <c r="A170" t="s">
        <v>1058</v>
      </c>
      <c r="B170" t="s">
        <v>1158</v>
      </c>
      <c r="C170" t="str">
        <f t="shared" si="2"/>
        <v>WbTunePreset1 = 0xD152,</v>
      </c>
      <c r="D170" s="21" t="s">
        <v>970</v>
      </c>
    </row>
    <row r="171" spans="1:4" x14ac:dyDescent="0.25">
      <c r="A171" t="s">
        <v>1059</v>
      </c>
      <c r="B171" t="s">
        <v>1159</v>
      </c>
      <c r="C171" t="str">
        <f t="shared" si="2"/>
        <v>WbTunePreset2 = 0xD153,</v>
      </c>
      <c r="D171" s="21" t="s">
        <v>970</v>
      </c>
    </row>
    <row r="172" spans="1:4" x14ac:dyDescent="0.25">
      <c r="A172" t="s">
        <v>1060</v>
      </c>
      <c r="B172" t="s">
        <v>1160</v>
      </c>
      <c r="C172" t="str">
        <f t="shared" si="2"/>
        <v>WbTunePreset3 = 0xD154,</v>
      </c>
      <c r="D172" s="21" t="s">
        <v>970</v>
      </c>
    </row>
    <row r="173" spans="1:4" x14ac:dyDescent="0.25">
      <c r="A173" t="s">
        <v>1061</v>
      </c>
      <c r="B173" t="s">
        <v>1161</v>
      </c>
      <c r="C173" t="str">
        <f t="shared" si="2"/>
        <v>WbTunePreset4 = 0xD155,</v>
      </c>
      <c r="D173" s="21" t="s">
        <v>970</v>
      </c>
    </row>
    <row r="174" spans="1:4" x14ac:dyDescent="0.25">
      <c r="A174" t="s">
        <v>682</v>
      </c>
      <c r="B174" t="s">
        <v>683</v>
      </c>
      <c r="C174" t="str">
        <f t="shared" si="2"/>
        <v>PrimarySlot = 0xD156,</v>
      </c>
      <c r="D174" s="21" t="s">
        <v>970</v>
      </c>
    </row>
    <row r="175" spans="1:4" x14ac:dyDescent="0.25">
      <c r="A175" t="s">
        <v>1062</v>
      </c>
      <c r="B175" t="s">
        <v>1162</v>
      </c>
      <c r="C175" t="str">
        <f t="shared" si="2"/>
        <v>WbPresetProtect1 = 0xD158,</v>
      </c>
      <c r="D175" s="21" t="s">
        <v>970</v>
      </c>
    </row>
    <row r="176" spans="1:4" x14ac:dyDescent="0.25">
      <c r="A176" t="s">
        <v>1063</v>
      </c>
      <c r="B176" t="s">
        <v>1163</v>
      </c>
      <c r="C176" t="str">
        <f t="shared" si="2"/>
        <v>WbPresetProtect2 = 0xD159,</v>
      </c>
      <c r="D176" s="21" t="s">
        <v>970</v>
      </c>
    </row>
    <row r="177" spans="1:4" x14ac:dyDescent="0.25">
      <c r="A177" t="s">
        <v>1064</v>
      </c>
      <c r="B177" t="s">
        <v>1164</v>
      </c>
      <c r="C177" t="str">
        <f t="shared" si="2"/>
        <v>WbPresetProtect3 = 0xD15A,</v>
      </c>
      <c r="D177" s="21" t="s">
        <v>970</v>
      </c>
    </row>
    <row r="178" spans="1:4" x14ac:dyDescent="0.25">
      <c r="A178" t="s">
        <v>684</v>
      </c>
      <c r="B178" t="s">
        <v>685</v>
      </c>
      <c r="C178" t="str">
        <f t="shared" si="2"/>
        <v>ActiveFolder = 0xD15B,</v>
      </c>
      <c r="D178" s="21" t="s">
        <v>970</v>
      </c>
    </row>
    <row r="179" spans="1:4" x14ac:dyDescent="0.25">
      <c r="A179" t="s">
        <v>1065</v>
      </c>
      <c r="B179" t="s">
        <v>1165</v>
      </c>
      <c r="C179" t="str">
        <f t="shared" si="2"/>
        <v>WbPresetProtect4 = 0xD15C,</v>
      </c>
      <c r="D179" s="21" t="s">
        <v>970</v>
      </c>
    </row>
    <row r="180" spans="1:4" x14ac:dyDescent="0.25">
      <c r="A180" t="s">
        <v>686</v>
      </c>
      <c r="B180" t="s">
        <v>687</v>
      </c>
      <c r="C180" t="str">
        <f t="shared" si="2"/>
        <v>WbTuneNatural = 0xD15E,</v>
      </c>
      <c r="D180" s="21" t="s">
        <v>970</v>
      </c>
    </row>
    <row r="181" spans="1:4" x14ac:dyDescent="0.25">
      <c r="A181" t="s">
        <v>688</v>
      </c>
      <c r="B181" t="s">
        <v>689</v>
      </c>
      <c r="C181" t="str">
        <f t="shared" si="2"/>
        <v>ISOAutoShutterTime = 0xD164,</v>
      </c>
      <c r="D181" s="21" t="s">
        <v>970</v>
      </c>
    </row>
    <row r="182" spans="1:4" x14ac:dyDescent="0.25">
      <c r="A182" t="s">
        <v>690</v>
      </c>
      <c r="B182" t="s">
        <v>691</v>
      </c>
      <c r="C182" t="str">
        <f t="shared" si="2"/>
        <v>ExtendedShutterSpeedsManual = 0xD16E,</v>
      </c>
      <c r="D182" s="21" t="s">
        <v>970</v>
      </c>
    </row>
    <row r="183" spans="1:4" x14ac:dyDescent="0.25">
      <c r="A183" t="s">
        <v>692</v>
      </c>
      <c r="B183" t="s">
        <v>693</v>
      </c>
      <c r="C183" t="str">
        <f t="shared" si="2"/>
        <v>FocusModeRestrictions = 0xD177,</v>
      </c>
      <c r="D183" s="21" t="s">
        <v>970</v>
      </c>
    </row>
    <row r="184" spans="1:4" x14ac:dyDescent="0.25">
      <c r="A184" t="s">
        <v>694</v>
      </c>
      <c r="B184" t="s">
        <v>695</v>
      </c>
      <c r="C184" t="str">
        <f t="shared" si="2"/>
        <v>ViewMode = 0xD17B,</v>
      </c>
      <c r="D184" s="21" t="s">
        <v>970</v>
      </c>
    </row>
    <row r="185" spans="1:4" x14ac:dyDescent="0.25">
      <c r="A185" t="s">
        <v>696</v>
      </c>
      <c r="B185" t="s">
        <v>697</v>
      </c>
      <c r="C185" t="str">
        <f t="shared" si="2"/>
        <v>MovieAfSpeed = 0xD17C,</v>
      </c>
      <c r="D185" s="21" t="s">
        <v>970</v>
      </c>
    </row>
    <row r="186" spans="1:4" x14ac:dyDescent="0.25">
      <c r="A186" t="s">
        <v>698</v>
      </c>
      <c r="B186" t="s">
        <v>699</v>
      </c>
      <c r="C186" t="str">
        <f t="shared" si="2"/>
        <v>MovieAfSpeedWhenToApply = 0xD17D,</v>
      </c>
      <c r="D186" s="21" t="s">
        <v>970</v>
      </c>
    </row>
    <row r="187" spans="1:4" x14ac:dyDescent="0.25">
      <c r="A187" t="s">
        <v>700</v>
      </c>
      <c r="B187" t="s">
        <v>701</v>
      </c>
      <c r="C187" t="str">
        <f t="shared" si="2"/>
        <v>MovieAfTrackingSensitivity = 0xD17E,</v>
      </c>
      <c r="D187" s="21" t="s">
        <v>970</v>
      </c>
    </row>
    <row r="188" spans="1:4" x14ac:dyDescent="0.25">
      <c r="A188" t="s">
        <v>702</v>
      </c>
      <c r="B188" t="s">
        <v>703</v>
      </c>
      <c r="C188" t="str">
        <f t="shared" si="2"/>
        <v>FlushBurstPrioritize = 0xD180,</v>
      </c>
      <c r="D188" s="21" t="s">
        <v>970</v>
      </c>
    </row>
    <row r="189" spans="1:4" x14ac:dyDescent="0.25">
      <c r="A189" t="s">
        <v>704</v>
      </c>
      <c r="B189" t="s">
        <v>705</v>
      </c>
      <c r="C189" t="str">
        <f t="shared" si="2"/>
        <v>ISOAutoHighLimit = 0xD183,</v>
      </c>
      <c r="D189" s="21" t="s">
        <v>970</v>
      </c>
    </row>
    <row r="190" spans="1:4" x14ac:dyDescent="0.25">
      <c r="A190" t="s">
        <v>706</v>
      </c>
      <c r="B190" t="s">
        <v>707</v>
      </c>
      <c r="C190" t="str">
        <f t="shared" si="2"/>
        <v>CSpeedHigh = 0xD186,</v>
      </c>
      <c r="D190" s="21" t="s">
        <v>970</v>
      </c>
    </row>
    <row r="191" spans="1:4" x14ac:dyDescent="0.25">
      <c r="A191" t="s">
        <v>708</v>
      </c>
      <c r="B191" t="s">
        <v>709</v>
      </c>
      <c r="C191" t="str">
        <f t="shared" si="2"/>
        <v>FlashISOAutoHighLimit = 0xD199,</v>
      </c>
      <c r="D191" s="21" t="s">
        <v>970</v>
      </c>
    </row>
    <row r="192" spans="1:4" x14ac:dyDescent="0.25">
      <c r="A192" t="s">
        <v>710</v>
      </c>
      <c r="B192" t="s">
        <v>711</v>
      </c>
      <c r="C192" t="str">
        <f t="shared" si="2"/>
        <v>RemoteLiveViewStatus = 0xD1A2,</v>
      </c>
      <c r="D192" s="21" t="s">
        <v>970</v>
      </c>
    </row>
    <row r="193" spans="1:4" x14ac:dyDescent="0.25">
      <c r="A193" t="s">
        <v>712</v>
      </c>
      <c r="B193" t="s">
        <v>713</v>
      </c>
      <c r="C193" t="str">
        <f t="shared" si="2"/>
        <v>LiveViewProhibitionCondition = 0xD1A4,</v>
      </c>
      <c r="D193" s="21" t="s">
        <v>970</v>
      </c>
    </row>
    <row r="194" spans="1:4" x14ac:dyDescent="0.25">
      <c r="A194" t="s">
        <v>714</v>
      </c>
      <c r="B194" t="s">
        <v>715</v>
      </c>
      <c r="C194" t="str">
        <f t="shared" si="2"/>
        <v>LiveViewSelector = 0xD1A6,</v>
      </c>
      <c r="D194" s="21" t="s">
        <v>970</v>
      </c>
    </row>
    <row r="195" spans="1:4" x14ac:dyDescent="0.25">
      <c r="A195" t="s">
        <v>716</v>
      </c>
      <c r="B195" t="s">
        <v>717</v>
      </c>
      <c r="C195" t="str">
        <f t="shared" si="2"/>
        <v>MovieShutterSpeed = 0xD1A8,</v>
      </c>
      <c r="D195" s="21" t="s">
        <v>970</v>
      </c>
    </row>
    <row r="196" spans="1:4" x14ac:dyDescent="0.25">
      <c r="A196" t="s">
        <v>718</v>
      </c>
      <c r="B196" t="s">
        <v>719</v>
      </c>
      <c r="C196" t="str">
        <f t="shared" ref="C196:C259" si="3">B196&amp;" = "&amp;A196&amp;","</f>
        <v>MovieFnumber = 0xD1A9,</v>
      </c>
      <c r="D196" s="21" t="s">
        <v>970</v>
      </c>
    </row>
    <row r="197" spans="1:4" x14ac:dyDescent="0.25">
      <c r="A197" t="s">
        <v>720</v>
      </c>
      <c r="B197" t="s">
        <v>721</v>
      </c>
      <c r="C197" t="str">
        <f t="shared" si="3"/>
        <v>MovieExposureIndex = 0xD1AA,</v>
      </c>
      <c r="D197" s="21" t="s">
        <v>970</v>
      </c>
    </row>
    <row r="198" spans="1:4" x14ac:dyDescent="0.25">
      <c r="A198" t="s">
        <v>722</v>
      </c>
      <c r="B198" t="s">
        <v>723</v>
      </c>
      <c r="C198" t="str">
        <f t="shared" si="3"/>
        <v>MovieExposureBiasCompensation = 0xD1AB,</v>
      </c>
      <c r="D198" s="21" t="s">
        <v>970</v>
      </c>
    </row>
    <row r="199" spans="1:4" x14ac:dyDescent="0.25">
      <c r="A199" t="s">
        <v>724</v>
      </c>
      <c r="B199" t="s">
        <v>725</v>
      </c>
      <c r="C199" t="str">
        <f t="shared" si="3"/>
        <v>LiveViewImageSize = 0xD1AC,</v>
      </c>
      <c r="D199" s="21" t="s">
        <v>970</v>
      </c>
    </row>
    <row r="200" spans="1:4" x14ac:dyDescent="0.25">
      <c r="A200" t="s">
        <v>726</v>
      </c>
      <c r="B200" t="s">
        <v>727</v>
      </c>
      <c r="C200" t="str">
        <f t="shared" si="3"/>
        <v>MovieExposureMeteringMode = 0xD1AF,</v>
      </c>
      <c r="D200" s="21" t="s">
        <v>970</v>
      </c>
    </row>
    <row r="201" spans="1:4" x14ac:dyDescent="0.25">
      <c r="A201" t="s">
        <v>728</v>
      </c>
      <c r="B201" t="s">
        <v>729</v>
      </c>
      <c r="C201" t="str">
        <f t="shared" si="3"/>
        <v>ExposureDisplayStatus = 0xD1B0,</v>
      </c>
      <c r="D201" s="21" t="s">
        <v>970</v>
      </c>
    </row>
    <row r="202" spans="1:4" x14ac:dyDescent="0.25">
      <c r="A202" t="s">
        <v>730</v>
      </c>
      <c r="B202" t="s">
        <v>731</v>
      </c>
      <c r="C202" t="str">
        <f t="shared" si="3"/>
        <v>ExposureIndicateStatus = 0xD1B1,</v>
      </c>
      <c r="D202" s="21" t="s">
        <v>970</v>
      </c>
    </row>
    <row r="203" spans="1:4" x14ac:dyDescent="0.25">
      <c r="A203" t="s">
        <v>732</v>
      </c>
      <c r="B203" t="s">
        <v>733</v>
      </c>
      <c r="C203" t="str">
        <f t="shared" si="3"/>
        <v>InfoDisplayErrorStatus = 0xD1B2,</v>
      </c>
      <c r="D203" s="21" t="s">
        <v>970</v>
      </c>
    </row>
    <row r="204" spans="1:4" x14ac:dyDescent="0.25">
      <c r="A204" t="s">
        <v>734</v>
      </c>
      <c r="B204" t="s">
        <v>735</v>
      </c>
      <c r="C204" t="str">
        <f t="shared" si="3"/>
        <v>ExposureIndicateLightup = 0xD1B3,</v>
      </c>
      <c r="D204" s="21" t="s">
        <v>970</v>
      </c>
    </row>
    <row r="205" spans="1:4" x14ac:dyDescent="0.25">
      <c r="A205" t="s">
        <v>736</v>
      </c>
      <c r="B205" t="s">
        <v>737</v>
      </c>
      <c r="C205" t="str">
        <f t="shared" si="3"/>
        <v>ContinuousShootingCount = 0xD1B4,</v>
      </c>
      <c r="D205" s="21" t="s">
        <v>970</v>
      </c>
    </row>
    <row r="206" spans="1:4" x14ac:dyDescent="0.25">
      <c r="A206" t="s">
        <v>738</v>
      </c>
      <c r="B206" t="s">
        <v>739</v>
      </c>
      <c r="C206" t="str">
        <f t="shared" si="3"/>
        <v>CameraLiveViewStatus = 0xD1B8,</v>
      </c>
      <c r="D206" s="21" t="s">
        <v>970</v>
      </c>
    </row>
    <row r="207" spans="1:4" x14ac:dyDescent="0.25">
      <c r="A207" t="s">
        <v>740</v>
      </c>
      <c r="B207" t="s">
        <v>741</v>
      </c>
      <c r="C207" t="str">
        <f t="shared" si="3"/>
        <v>MonitorOffStatus = 0xD1BA,</v>
      </c>
      <c r="D207" s="21" t="s">
        <v>970</v>
      </c>
    </row>
    <row r="208" spans="1:4" x14ac:dyDescent="0.25">
      <c r="A208" t="s">
        <v>742</v>
      </c>
      <c r="B208" t="s">
        <v>743</v>
      </c>
      <c r="C208" t="str">
        <f t="shared" si="3"/>
        <v>LiveViewImageStatus = 0xD1BB,</v>
      </c>
      <c r="D208" s="21" t="s">
        <v>970</v>
      </c>
    </row>
    <row r="209" spans="1:4" x14ac:dyDescent="0.25">
      <c r="A209" t="s">
        <v>744</v>
      </c>
      <c r="B209" t="s">
        <v>745</v>
      </c>
      <c r="C209" t="str">
        <f t="shared" si="3"/>
        <v>LiveViewImageCompression = 0xD1BC,</v>
      </c>
      <c r="D209" s="21" t="s">
        <v>970</v>
      </c>
    </row>
    <row r="210" spans="1:4" x14ac:dyDescent="0.25">
      <c r="A210" t="s">
        <v>746</v>
      </c>
      <c r="B210" t="s">
        <v>747</v>
      </c>
      <c r="C210" t="str">
        <f t="shared" si="3"/>
        <v>LiveViewZoomArea = 0xD1BD,</v>
      </c>
      <c r="D210" s="21" t="s">
        <v>970</v>
      </c>
    </row>
    <row r="211" spans="1:4" x14ac:dyDescent="0.25">
      <c r="A211" t="s">
        <v>748</v>
      </c>
      <c r="B211" t="s">
        <v>749</v>
      </c>
      <c r="C211" t="str">
        <f t="shared" si="3"/>
        <v>AutoFlashIsoSensitivityControl = 0xD1C5,</v>
      </c>
      <c r="D211" s="21" t="s">
        <v>970</v>
      </c>
    </row>
    <row r="212" spans="1:4" x14ac:dyDescent="0.25">
      <c r="A212" t="s">
        <v>750</v>
      </c>
      <c r="B212" t="s">
        <v>751</v>
      </c>
      <c r="C212" t="str">
        <f t="shared" si="3"/>
        <v>KeepExposureWhenFNumberChanges = 0xD1C6,</v>
      </c>
      <c r="D212" s="21" t="s">
        <v>970</v>
      </c>
    </row>
    <row r="213" spans="1:4" x14ac:dyDescent="0.25">
      <c r="A213" t="s">
        <v>752</v>
      </c>
      <c r="B213" t="s">
        <v>753</v>
      </c>
      <c r="C213" t="str">
        <f t="shared" si="3"/>
        <v>ExternalRecordingControl = 0xD1DE,</v>
      </c>
      <c r="D213" s="21" t="s">
        <v>970</v>
      </c>
    </row>
    <row r="214" spans="1:4" x14ac:dyDescent="0.25">
      <c r="A214" t="s">
        <v>754</v>
      </c>
      <c r="B214" t="s">
        <v>755</v>
      </c>
      <c r="C214" t="str">
        <f t="shared" si="3"/>
        <v>HighlightBrightness = 0xD1DF,</v>
      </c>
      <c r="D214" s="21" t="s">
        <v>970</v>
      </c>
    </row>
    <row r="215" spans="1:4" x14ac:dyDescent="0.25">
      <c r="A215" t="s">
        <v>756</v>
      </c>
      <c r="B215" t="s">
        <v>757</v>
      </c>
      <c r="C215" t="str">
        <f t="shared" si="3"/>
        <v>SBWirelessMode = 0xD1E2,</v>
      </c>
      <c r="D215" s="21" t="s">
        <v>970</v>
      </c>
    </row>
    <row r="216" spans="1:4" x14ac:dyDescent="0.25">
      <c r="A216" t="s">
        <v>758</v>
      </c>
      <c r="B216" t="s">
        <v>759</v>
      </c>
      <c r="C216" t="str">
        <f t="shared" si="3"/>
        <v>SBWirelessMultipleFlashMode = 0xD1E3,</v>
      </c>
      <c r="D216" s="21" t="s">
        <v>970</v>
      </c>
    </row>
    <row r="217" spans="1:4" x14ac:dyDescent="0.25">
      <c r="A217" t="s">
        <v>760</v>
      </c>
      <c r="B217" t="s">
        <v>761</v>
      </c>
      <c r="C217" t="str">
        <f t="shared" si="3"/>
        <v>SBUsableGroup = 0xD1E4,</v>
      </c>
      <c r="D217" s="21" t="s">
        <v>970</v>
      </c>
    </row>
    <row r="218" spans="1:4" x14ac:dyDescent="0.25">
      <c r="A218" t="s">
        <v>762</v>
      </c>
      <c r="B218" t="s">
        <v>763</v>
      </c>
      <c r="C218" t="str">
        <f t="shared" si="3"/>
        <v>WirelessCLSEntryMode = 0xD1E5,</v>
      </c>
      <c r="D218" s="21" t="s">
        <v>970</v>
      </c>
    </row>
    <row r="219" spans="1:4" x14ac:dyDescent="0.25">
      <c r="A219" t="s">
        <v>764</v>
      </c>
      <c r="B219" t="s">
        <v>765</v>
      </c>
      <c r="C219" t="str">
        <f t="shared" si="3"/>
        <v>SBPINCode = 0xD1E6,</v>
      </c>
      <c r="D219" s="21" t="s">
        <v>970</v>
      </c>
    </row>
    <row r="220" spans="1:4" x14ac:dyDescent="0.25">
      <c r="A220" t="s">
        <v>766</v>
      </c>
      <c r="B220" t="s">
        <v>767</v>
      </c>
      <c r="C220" t="str">
        <f t="shared" si="3"/>
        <v>RadioMultipleFlashChannel = 0xD1E7,</v>
      </c>
      <c r="D220" s="21" t="s">
        <v>970</v>
      </c>
    </row>
    <row r="221" spans="1:4" x14ac:dyDescent="0.25">
      <c r="A221" t="s">
        <v>768</v>
      </c>
      <c r="B221" t="s">
        <v>769</v>
      </c>
      <c r="C221" t="str">
        <f t="shared" si="3"/>
        <v>OpticalMultipleFlashChannel = 0xD1E8,</v>
      </c>
      <c r="D221" s="21" t="s">
        <v>970</v>
      </c>
    </row>
    <row r="222" spans="1:4" x14ac:dyDescent="0.25">
      <c r="A222" t="s">
        <v>770</v>
      </c>
      <c r="B222" t="s">
        <v>771</v>
      </c>
      <c r="C222" t="str">
        <f t="shared" si="3"/>
        <v>FlashRangeDisplay = 0xD1E9,</v>
      </c>
      <c r="D222" s="21" t="s">
        <v>970</v>
      </c>
    </row>
    <row r="223" spans="1:4" x14ac:dyDescent="0.25">
      <c r="A223" t="s">
        <v>772</v>
      </c>
      <c r="B223" t="s">
        <v>773</v>
      </c>
      <c r="C223" t="str">
        <f t="shared" si="3"/>
        <v>AllTestFiringDisable = 0xD1EA,</v>
      </c>
      <c r="D223" s="21" t="s">
        <v>970</v>
      </c>
    </row>
    <row r="224" spans="1:4" x14ac:dyDescent="0.25">
      <c r="A224" t="s">
        <v>774</v>
      </c>
      <c r="B224" t="s">
        <v>775</v>
      </c>
      <c r="C224" t="str">
        <f t="shared" si="3"/>
        <v>SBSettingMemberLock = 0xD1EC,</v>
      </c>
      <c r="D224" s="21" t="s">
        <v>970</v>
      </c>
    </row>
    <row r="225" spans="1:4" x14ac:dyDescent="0.25">
      <c r="A225" t="s">
        <v>776</v>
      </c>
      <c r="B225" t="s">
        <v>777</v>
      </c>
      <c r="C225" t="str">
        <f t="shared" si="3"/>
        <v>SBIntegrationFlashReady = 0xD1ED,</v>
      </c>
      <c r="D225" s="21" t="s">
        <v>970</v>
      </c>
    </row>
    <row r="226" spans="1:4" x14ac:dyDescent="0.25">
      <c r="A226" t="s">
        <v>778</v>
      </c>
      <c r="B226" t="s">
        <v>779</v>
      </c>
      <c r="C226" t="str">
        <f t="shared" si="3"/>
        <v>ExposureRemaining = 0xD1F1,</v>
      </c>
      <c r="D226" s="21" t="s">
        <v>970</v>
      </c>
    </row>
    <row r="227" spans="1:4" x14ac:dyDescent="0.25">
      <c r="A227" t="s">
        <v>780</v>
      </c>
      <c r="B227" t="s">
        <v>781</v>
      </c>
      <c r="C227" t="str">
        <f t="shared" si="3"/>
        <v>ActiveSlot = 0xD1F2,</v>
      </c>
      <c r="D227" s="21" t="s">
        <v>970</v>
      </c>
    </row>
    <row r="228" spans="1:4" x14ac:dyDescent="0.25">
      <c r="A228" t="s">
        <v>782</v>
      </c>
      <c r="B228" t="s">
        <v>783</v>
      </c>
      <c r="C228" t="str">
        <f t="shared" si="3"/>
        <v>ISOAutoShutterTimeCorrectionValue = 0xD1F4,</v>
      </c>
      <c r="D228" s="21" t="s">
        <v>970</v>
      </c>
    </row>
    <row r="229" spans="1:4" x14ac:dyDescent="0.25">
      <c r="A229" t="s">
        <v>784</v>
      </c>
      <c r="B229" t="s">
        <v>785</v>
      </c>
      <c r="C229" t="str">
        <f t="shared" si="3"/>
        <v>MovieFocusMeteringMode = 0xD1F8,</v>
      </c>
      <c r="D229" s="21" t="s">
        <v>970</v>
      </c>
    </row>
    <row r="230" spans="1:4" x14ac:dyDescent="0.25">
      <c r="A230" t="s">
        <v>786</v>
      </c>
      <c r="B230" t="s">
        <v>787</v>
      </c>
      <c r="C230" t="str">
        <f t="shared" si="3"/>
        <v>MovieVibrationReduction = 0xD1F9,</v>
      </c>
      <c r="D230" s="21" t="s">
        <v>970</v>
      </c>
    </row>
    <row r="231" spans="1:4" x14ac:dyDescent="0.25">
      <c r="A231" t="s">
        <v>788</v>
      </c>
      <c r="B231" t="s">
        <v>789</v>
      </c>
      <c r="C231" t="str">
        <f t="shared" si="3"/>
        <v>MovieFocusMode = 0xD1FA,</v>
      </c>
      <c r="D231" s="21" t="s">
        <v>970</v>
      </c>
    </row>
    <row r="232" spans="1:4" x14ac:dyDescent="0.25">
      <c r="A232" t="s">
        <v>790</v>
      </c>
      <c r="B232" t="s">
        <v>791</v>
      </c>
      <c r="C232" t="str">
        <f t="shared" si="3"/>
        <v>RecordTimeCodes = 0xD1FB,</v>
      </c>
      <c r="D232" s="21" t="s">
        <v>970</v>
      </c>
    </row>
    <row r="233" spans="1:4" x14ac:dyDescent="0.25">
      <c r="A233" t="s">
        <v>792</v>
      </c>
      <c r="B233" t="s">
        <v>793</v>
      </c>
      <c r="C233" t="str">
        <f t="shared" si="3"/>
        <v>CountUpMethod = 0xD1FC,</v>
      </c>
      <c r="D233" s="21" t="s">
        <v>970</v>
      </c>
    </row>
    <row r="234" spans="1:4" x14ac:dyDescent="0.25">
      <c r="A234" t="s">
        <v>794</v>
      </c>
      <c r="B234" t="s">
        <v>795</v>
      </c>
      <c r="C234" t="str">
        <f t="shared" si="3"/>
        <v>TimeCodeOrigin = 0xD1FD,</v>
      </c>
      <c r="D234" s="21" t="s">
        <v>970</v>
      </c>
    </row>
    <row r="235" spans="1:4" x14ac:dyDescent="0.25">
      <c r="A235" t="s">
        <v>796</v>
      </c>
      <c r="B235" t="s">
        <v>797</v>
      </c>
      <c r="C235" t="str">
        <f t="shared" si="3"/>
        <v>DropFrame = 0xD1FE,</v>
      </c>
      <c r="D235" s="21" t="s">
        <v>970</v>
      </c>
    </row>
    <row r="236" spans="1:4" x14ac:dyDescent="0.25">
      <c r="A236" t="s">
        <v>798</v>
      </c>
      <c r="B236" t="s">
        <v>799</v>
      </c>
      <c r="C236" t="str">
        <f t="shared" si="3"/>
        <v>ActivePicCtrlItem = 0xD200,</v>
      </c>
      <c r="D236" s="21" t="s">
        <v>970</v>
      </c>
    </row>
    <row r="237" spans="1:4" x14ac:dyDescent="0.25">
      <c r="A237" t="s">
        <v>800</v>
      </c>
      <c r="B237" t="s">
        <v>801</v>
      </c>
      <c r="C237" t="str">
        <f t="shared" si="3"/>
        <v>MovieCaptureAreaCrop = 0xD20F,</v>
      </c>
      <c r="D237" s="21" t="s">
        <v>970</v>
      </c>
    </row>
    <row r="238" spans="1:4" x14ac:dyDescent="0.25">
      <c r="A238" t="s">
        <v>802</v>
      </c>
      <c r="B238" t="s">
        <v>803</v>
      </c>
      <c r="C238" t="str">
        <f t="shared" si="3"/>
        <v>MovieWbAutoType = 0xD211,</v>
      </c>
      <c r="D238" s="21" t="s">
        <v>970</v>
      </c>
    </row>
    <row r="239" spans="1:4" x14ac:dyDescent="0.25">
      <c r="A239" t="s">
        <v>804</v>
      </c>
      <c r="B239" t="s">
        <v>805</v>
      </c>
      <c r="C239" t="str">
        <f t="shared" si="3"/>
        <v>MovieWbTuneAuto = 0xD212,</v>
      </c>
      <c r="D239" s="21" t="s">
        <v>970</v>
      </c>
    </row>
    <row r="240" spans="1:4" x14ac:dyDescent="0.25">
      <c r="A240" t="s">
        <v>806</v>
      </c>
      <c r="B240" t="s">
        <v>807</v>
      </c>
      <c r="C240" t="str">
        <f t="shared" si="3"/>
        <v>MovieWbTuneIncandescent = 0xD213,</v>
      </c>
      <c r="D240" s="21" t="s">
        <v>970</v>
      </c>
    </row>
    <row r="241" spans="1:4" x14ac:dyDescent="0.25">
      <c r="A241" t="s">
        <v>808</v>
      </c>
      <c r="B241" t="s">
        <v>809</v>
      </c>
      <c r="C241" t="str">
        <f t="shared" si="3"/>
        <v>MovieWbFluorescentType = 0xD214,</v>
      </c>
      <c r="D241" s="21" t="s">
        <v>970</v>
      </c>
    </row>
    <row r="242" spans="1:4" x14ac:dyDescent="0.25">
      <c r="A242" t="s">
        <v>810</v>
      </c>
      <c r="B242" t="s">
        <v>811</v>
      </c>
      <c r="C242" t="str">
        <f t="shared" si="3"/>
        <v>MovieWbTuneFluorescent = 0xD215,</v>
      </c>
      <c r="D242" s="21" t="s">
        <v>970</v>
      </c>
    </row>
    <row r="243" spans="1:4" x14ac:dyDescent="0.25">
      <c r="A243" t="s">
        <v>812</v>
      </c>
      <c r="B243" t="s">
        <v>813</v>
      </c>
      <c r="C243" t="str">
        <f t="shared" si="3"/>
        <v>MovieWbTuneSunny = 0xD216,</v>
      </c>
      <c r="D243" s="21" t="s">
        <v>970</v>
      </c>
    </row>
    <row r="244" spans="1:4" x14ac:dyDescent="0.25">
      <c r="A244" t="s">
        <v>814</v>
      </c>
      <c r="B244" t="s">
        <v>815</v>
      </c>
      <c r="C244" t="str">
        <f t="shared" si="3"/>
        <v>MovieWbTuneCloudy = 0xD218,</v>
      </c>
      <c r="D244" s="21" t="s">
        <v>970</v>
      </c>
    </row>
    <row r="245" spans="1:4" x14ac:dyDescent="0.25">
      <c r="A245" t="s">
        <v>816</v>
      </c>
      <c r="B245" t="s">
        <v>817</v>
      </c>
      <c r="C245" t="str">
        <f t="shared" si="3"/>
        <v>MovieWbTuneShade = 0xD219,</v>
      </c>
      <c r="D245" s="21" t="s">
        <v>970</v>
      </c>
    </row>
    <row r="246" spans="1:4" x14ac:dyDescent="0.25">
      <c r="A246" t="s">
        <v>818</v>
      </c>
      <c r="B246" t="s">
        <v>819</v>
      </c>
      <c r="C246" t="str">
        <f t="shared" si="3"/>
        <v>MovieWbColorTemp = 0xD21A,</v>
      </c>
      <c r="D246" s="21" t="s">
        <v>970</v>
      </c>
    </row>
    <row r="247" spans="1:4" x14ac:dyDescent="0.25">
      <c r="A247" t="s">
        <v>820</v>
      </c>
      <c r="B247" t="s">
        <v>821</v>
      </c>
      <c r="C247" t="str">
        <f t="shared" si="3"/>
        <v>MovieWbTuneColorTemp = 0xD21B,</v>
      </c>
      <c r="D247" s="21" t="s">
        <v>970</v>
      </c>
    </row>
    <row r="248" spans="1:4" x14ac:dyDescent="0.25">
      <c r="A248" t="s">
        <v>822</v>
      </c>
      <c r="B248" t="s">
        <v>823</v>
      </c>
      <c r="C248" t="str">
        <f t="shared" si="3"/>
        <v>MovieWbPresetDataNo = 0xD21C,</v>
      </c>
      <c r="D248" s="21" t="s">
        <v>970</v>
      </c>
    </row>
    <row r="249" spans="1:4" x14ac:dyDescent="0.25">
      <c r="A249" t="s">
        <v>1066</v>
      </c>
      <c r="B249" t="s">
        <v>1166</v>
      </c>
      <c r="C249" t="str">
        <f t="shared" si="3"/>
        <v>MovieWbPresetDataComment1 = 0xD21D,</v>
      </c>
      <c r="D249" s="21" t="s">
        <v>970</v>
      </c>
    </row>
    <row r="250" spans="1:4" x14ac:dyDescent="0.25">
      <c r="A250" t="s">
        <v>1067</v>
      </c>
      <c r="B250" t="s">
        <v>1167</v>
      </c>
      <c r="C250" t="str">
        <f t="shared" si="3"/>
        <v>MovieWbPresetDataComment2 = 0xD21E,</v>
      </c>
      <c r="D250" s="21" t="s">
        <v>970</v>
      </c>
    </row>
    <row r="251" spans="1:4" x14ac:dyDescent="0.25">
      <c r="A251" t="s">
        <v>1068</v>
      </c>
      <c r="B251" t="s">
        <v>1168</v>
      </c>
      <c r="C251" t="str">
        <f t="shared" si="3"/>
        <v>MovieWbPresetDataComment3 = 0xD21F,</v>
      </c>
      <c r="D251" s="21" t="s">
        <v>970</v>
      </c>
    </row>
    <row r="252" spans="1:4" x14ac:dyDescent="0.25">
      <c r="A252" t="s">
        <v>1069</v>
      </c>
      <c r="B252" t="s">
        <v>1169</v>
      </c>
      <c r="C252" t="str">
        <f t="shared" si="3"/>
        <v>MovieWbPresetDataComment4 = 0xD220,</v>
      </c>
      <c r="D252" s="21" t="s">
        <v>970</v>
      </c>
    </row>
    <row r="253" spans="1:4" x14ac:dyDescent="0.25">
      <c r="A253" t="s">
        <v>1070</v>
      </c>
      <c r="B253" t="s">
        <v>1170</v>
      </c>
      <c r="C253" t="str">
        <f t="shared" si="3"/>
        <v>MovieWbPresetDataComment5 = 0xD221,</v>
      </c>
      <c r="D253" s="21" t="s">
        <v>970</v>
      </c>
    </row>
    <row r="254" spans="1:4" x14ac:dyDescent="0.25">
      <c r="A254" t="s">
        <v>1071</v>
      </c>
      <c r="B254" t="s">
        <v>1171</v>
      </c>
      <c r="C254" t="str">
        <f t="shared" si="3"/>
        <v>MovieWbPresetDataComment6 = 0xD222,</v>
      </c>
      <c r="D254" s="21" t="s">
        <v>970</v>
      </c>
    </row>
    <row r="255" spans="1:4" x14ac:dyDescent="0.25">
      <c r="A255" t="s">
        <v>1072</v>
      </c>
      <c r="B255" t="s">
        <v>1172</v>
      </c>
      <c r="C255" t="str">
        <f t="shared" si="3"/>
        <v>MovieWbPresetDataValue1 = 0xD223,</v>
      </c>
      <c r="D255" s="21" t="s">
        <v>970</v>
      </c>
    </row>
    <row r="256" spans="1:4" x14ac:dyDescent="0.25">
      <c r="A256" t="s">
        <v>1073</v>
      </c>
      <c r="B256" t="s">
        <v>1173</v>
      </c>
      <c r="C256" t="str">
        <f t="shared" si="3"/>
        <v>MovieWbPresetDataValue2 = 0xD224,</v>
      </c>
      <c r="D256" s="21" t="s">
        <v>970</v>
      </c>
    </row>
    <row r="257" spans="1:4" x14ac:dyDescent="0.25">
      <c r="A257" t="s">
        <v>1074</v>
      </c>
      <c r="B257" t="s">
        <v>1174</v>
      </c>
      <c r="C257" t="str">
        <f t="shared" si="3"/>
        <v>MovieWbPresetDataValue3 = 0xD225,</v>
      </c>
      <c r="D257" s="21" t="s">
        <v>970</v>
      </c>
    </row>
    <row r="258" spans="1:4" x14ac:dyDescent="0.25">
      <c r="A258" t="s">
        <v>1075</v>
      </c>
      <c r="B258" t="s">
        <v>1175</v>
      </c>
      <c r="C258" t="str">
        <f t="shared" si="3"/>
        <v>MovieWbPresetDataValue4 = 0xD226,</v>
      </c>
      <c r="D258" s="21" t="s">
        <v>970</v>
      </c>
    </row>
    <row r="259" spans="1:4" x14ac:dyDescent="0.25">
      <c r="A259" t="s">
        <v>1076</v>
      </c>
      <c r="B259" t="s">
        <v>1176</v>
      </c>
      <c r="C259" t="str">
        <f t="shared" si="3"/>
        <v>MovieWbPresetDataValue5 = 0xD227,</v>
      </c>
      <c r="D259" s="21" t="s">
        <v>970</v>
      </c>
    </row>
    <row r="260" spans="1:4" x14ac:dyDescent="0.25">
      <c r="A260" t="s">
        <v>1077</v>
      </c>
      <c r="B260" t="s">
        <v>1177</v>
      </c>
      <c r="C260" t="str">
        <f t="shared" ref="C260:C323" si="4">B260&amp;" = "&amp;A260&amp;","</f>
        <v>MovieWbPresetDataValue6 = 0xD228,</v>
      </c>
      <c r="D260" s="21" t="s">
        <v>970</v>
      </c>
    </row>
    <row r="261" spans="1:4" x14ac:dyDescent="0.25">
      <c r="A261" t="s">
        <v>1078</v>
      </c>
      <c r="B261" t="s">
        <v>1178</v>
      </c>
      <c r="C261" t="str">
        <f t="shared" si="4"/>
        <v>MovieWbTunePreset1 = 0xD229,</v>
      </c>
      <c r="D261" s="21" t="s">
        <v>970</v>
      </c>
    </row>
    <row r="262" spans="1:4" x14ac:dyDescent="0.25">
      <c r="A262" t="s">
        <v>1079</v>
      </c>
      <c r="B262" t="s">
        <v>1179</v>
      </c>
      <c r="C262" t="str">
        <f t="shared" si="4"/>
        <v>MovieWbTunePreset2 = 0xD22A,</v>
      </c>
      <c r="D262" s="21" t="s">
        <v>970</v>
      </c>
    </row>
    <row r="263" spans="1:4" x14ac:dyDescent="0.25">
      <c r="A263" t="s">
        <v>1080</v>
      </c>
      <c r="B263" t="s">
        <v>1180</v>
      </c>
      <c r="C263" t="str">
        <f t="shared" si="4"/>
        <v>MovieWbTunePreset3 = 0xD22B,</v>
      </c>
      <c r="D263" s="21" t="s">
        <v>970</v>
      </c>
    </row>
    <row r="264" spans="1:4" x14ac:dyDescent="0.25">
      <c r="A264" t="s">
        <v>1081</v>
      </c>
      <c r="B264" t="s">
        <v>1181</v>
      </c>
      <c r="C264" t="str">
        <f t="shared" si="4"/>
        <v>MovieWbTunePreset4 = 0xD22C,</v>
      </c>
      <c r="D264" s="21" t="s">
        <v>970</v>
      </c>
    </row>
    <row r="265" spans="1:4" x14ac:dyDescent="0.25">
      <c r="A265" t="s">
        <v>1082</v>
      </c>
      <c r="B265" t="s">
        <v>1182</v>
      </c>
      <c r="C265" t="str">
        <f t="shared" si="4"/>
        <v>MovieWbTunePreset5 = 0xD22D,</v>
      </c>
      <c r="D265" s="21" t="s">
        <v>970</v>
      </c>
    </row>
    <row r="266" spans="1:4" x14ac:dyDescent="0.25">
      <c r="A266" t="s">
        <v>1083</v>
      </c>
      <c r="B266" t="s">
        <v>1183</v>
      </c>
      <c r="C266" t="str">
        <f t="shared" si="4"/>
        <v>MovieWbTunePreset6 = 0xD22E,</v>
      </c>
      <c r="D266" s="21" t="s">
        <v>970</v>
      </c>
    </row>
    <row r="267" spans="1:4" x14ac:dyDescent="0.25">
      <c r="A267" t="s">
        <v>1084</v>
      </c>
      <c r="B267" t="s">
        <v>1184</v>
      </c>
      <c r="C267" t="str">
        <f t="shared" si="4"/>
        <v>MovieWbPresetProtect1 = 0xD22F,</v>
      </c>
      <c r="D267" s="21" t="s">
        <v>970</v>
      </c>
    </row>
    <row r="268" spans="1:4" x14ac:dyDescent="0.25">
      <c r="A268" t="s">
        <v>1085</v>
      </c>
      <c r="B268" t="s">
        <v>1185</v>
      </c>
      <c r="C268" t="str">
        <f t="shared" si="4"/>
        <v>MovieWbPresetProtect2 = 0xD230,</v>
      </c>
      <c r="D268" s="21" t="s">
        <v>970</v>
      </c>
    </row>
    <row r="269" spans="1:4" x14ac:dyDescent="0.25">
      <c r="A269" t="s">
        <v>1086</v>
      </c>
      <c r="B269" t="s">
        <v>1186</v>
      </c>
      <c r="C269" t="str">
        <f t="shared" si="4"/>
        <v>MovieWbPresetProtect3 = 0xD231,</v>
      </c>
      <c r="D269" s="21" t="s">
        <v>970</v>
      </c>
    </row>
    <row r="270" spans="1:4" x14ac:dyDescent="0.25">
      <c r="A270" t="s">
        <v>1087</v>
      </c>
      <c r="B270" t="s">
        <v>1187</v>
      </c>
      <c r="C270" t="str">
        <f t="shared" si="4"/>
        <v>MovieWbPresetProtect4 = 0xD232,</v>
      </c>
      <c r="D270" s="21" t="s">
        <v>970</v>
      </c>
    </row>
    <row r="271" spans="1:4" x14ac:dyDescent="0.25">
      <c r="A271" t="s">
        <v>1088</v>
      </c>
      <c r="B271" t="s">
        <v>1188</v>
      </c>
      <c r="C271" t="str">
        <f t="shared" si="4"/>
        <v>MovieWbPresetProtect5 = 0xD233,</v>
      </c>
      <c r="D271" s="21" t="s">
        <v>970</v>
      </c>
    </row>
    <row r="272" spans="1:4" x14ac:dyDescent="0.25">
      <c r="A272" t="s">
        <v>1089</v>
      </c>
      <c r="B272" t="s">
        <v>1189</v>
      </c>
      <c r="C272" t="str">
        <f t="shared" si="4"/>
        <v>MovieWbPresetProtect6 = 0xD234,</v>
      </c>
      <c r="D272" s="21" t="s">
        <v>970</v>
      </c>
    </row>
    <row r="273" spans="1:4" x14ac:dyDescent="0.25">
      <c r="A273" t="s">
        <v>824</v>
      </c>
      <c r="B273" t="s">
        <v>825</v>
      </c>
      <c r="C273" t="str">
        <f t="shared" si="4"/>
        <v>MovieNoiseReductionHiIso = 0xD236,</v>
      </c>
      <c r="D273" s="21" t="s">
        <v>970</v>
      </c>
    </row>
    <row r="274" spans="1:4" x14ac:dyDescent="0.25">
      <c r="A274" t="s">
        <v>826</v>
      </c>
      <c r="B274" t="s">
        <v>827</v>
      </c>
      <c r="C274" t="str">
        <f t="shared" si="4"/>
        <v>MovieActivePicCtrlItem = 0xD237,</v>
      </c>
      <c r="D274" s="21" t="s">
        <v>970</v>
      </c>
    </row>
    <row r="275" spans="1:4" x14ac:dyDescent="0.25">
      <c r="A275" t="s">
        <v>828</v>
      </c>
      <c r="B275" t="s">
        <v>829</v>
      </c>
      <c r="C275" t="str">
        <f t="shared" si="4"/>
        <v>ExposureBaseCompHighlight = 0xD239,</v>
      </c>
      <c r="D275" s="21" t="s">
        <v>970</v>
      </c>
    </row>
    <row r="276" spans="1:4" x14ac:dyDescent="0.25">
      <c r="A276" t="s">
        <v>830</v>
      </c>
      <c r="B276" t="s">
        <v>831</v>
      </c>
      <c r="C276" t="str">
        <f t="shared" si="4"/>
        <v>MovieWhiteBalance = 0xD23A,</v>
      </c>
      <c r="D276" s="21" t="s">
        <v>970</v>
      </c>
    </row>
    <row r="277" spans="1:4" x14ac:dyDescent="0.25">
      <c r="A277" t="s">
        <v>1090</v>
      </c>
      <c r="B277" t="s">
        <v>997</v>
      </c>
      <c r="C277" t="str">
        <f t="shared" si="4"/>
        <v>MovieActive = 0xD23B,</v>
      </c>
      <c r="D277" s="21" t="s">
        <v>970</v>
      </c>
    </row>
    <row r="278" spans="1:4" x14ac:dyDescent="0.25">
      <c r="A278" t="s">
        <v>832</v>
      </c>
      <c r="B278" t="s">
        <v>833</v>
      </c>
      <c r="C278" t="str">
        <f t="shared" si="4"/>
        <v>MovieWbTuneNatural = 0xD23C,</v>
      </c>
      <c r="D278" s="21" t="s">
        <v>970</v>
      </c>
    </row>
    <row r="279" spans="1:4" x14ac:dyDescent="0.25">
      <c r="A279" t="s">
        <v>834</v>
      </c>
      <c r="B279" t="s">
        <v>835</v>
      </c>
      <c r="C279" t="str">
        <f t="shared" si="4"/>
        <v>MovieAttenuator = 0xD23D,</v>
      </c>
      <c r="D279" s="21" t="s">
        <v>970</v>
      </c>
    </row>
    <row r="280" spans="1:4" x14ac:dyDescent="0.25">
      <c r="A280" t="s">
        <v>836</v>
      </c>
      <c r="B280" t="s">
        <v>837</v>
      </c>
      <c r="C280" t="str">
        <f t="shared" si="4"/>
        <v>MovieVignetteControl = 0xD23E,</v>
      </c>
      <c r="D280" s="21" t="s">
        <v>970</v>
      </c>
    </row>
    <row r="281" spans="1:4" x14ac:dyDescent="0.25">
      <c r="A281" t="s">
        <v>838</v>
      </c>
      <c r="B281" t="s">
        <v>839</v>
      </c>
      <c r="C281" t="str">
        <f t="shared" si="4"/>
        <v>MovieDiffractionCompensation = 0xD23F,</v>
      </c>
      <c r="D281" s="21" t="s">
        <v>970</v>
      </c>
    </row>
    <row r="282" spans="1:4" x14ac:dyDescent="0.25">
      <c r="A282" t="s">
        <v>840</v>
      </c>
      <c r="B282" t="s">
        <v>841</v>
      </c>
      <c r="C282" t="str">
        <f t="shared" si="4"/>
        <v>UseDeviceStageFlag = 0xD303,</v>
      </c>
      <c r="D282" s="21" t="s">
        <v>970</v>
      </c>
    </row>
    <row r="283" spans="1:4" x14ac:dyDescent="0.25">
      <c r="A283" t="s">
        <v>842</v>
      </c>
      <c r="B283" t="s">
        <v>843</v>
      </c>
      <c r="C283" t="str">
        <f t="shared" si="4"/>
        <v>ElectronicVR = 0xD314,</v>
      </c>
      <c r="D283" s="21" t="s">
        <v>970</v>
      </c>
    </row>
    <row r="284" spans="1:4" x14ac:dyDescent="0.25">
      <c r="A284" t="s">
        <v>844</v>
      </c>
      <c r="B284" t="s">
        <v>845</v>
      </c>
      <c r="C284" t="str">
        <f t="shared" si="4"/>
        <v>SessionInitiatorVersionInfo = 0xD406,</v>
      </c>
      <c r="D284" s="21" t="s">
        <v>970</v>
      </c>
    </row>
    <row r="285" spans="1:4" x14ac:dyDescent="0.25">
      <c r="A285" t="s">
        <v>846</v>
      </c>
      <c r="B285" t="s">
        <v>847</v>
      </c>
      <c r="C285" t="str">
        <f t="shared" si="4"/>
        <v>PerceivedDeviceType = 0xD407,</v>
      </c>
      <c r="D285" s="21" t="s">
        <v>970</v>
      </c>
    </row>
    <row r="286" spans="1:4" x14ac:dyDescent="0.25">
      <c r="A286" t="s">
        <v>1091</v>
      </c>
      <c r="B286" t="s">
        <v>998</v>
      </c>
      <c r="C286" t="str">
        <f t="shared" si="4"/>
        <v>MovieProResToneMode = 0x0001D000,</v>
      </c>
      <c r="D286" s="21" t="s">
        <v>970</v>
      </c>
    </row>
    <row r="287" spans="1:4" x14ac:dyDescent="0.25">
      <c r="A287" t="s">
        <v>1092</v>
      </c>
      <c r="B287" t="s">
        <v>1190</v>
      </c>
      <c r="C287" t="str">
        <f t="shared" si="4"/>
        <v>MovieH265ToneMode = 0x0001D001,</v>
      </c>
      <c r="D287" s="21" t="s">
        <v>970</v>
      </c>
    </row>
    <row r="288" spans="1:4" x14ac:dyDescent="0.25">
      <c r="A288" t="s">
        <v>1093</v>
      </c>
      <c r="B288" t="s">
        <v>999</v>
      </c>
      <c r="C288" t="str">
        <f t="shared" si="4"/>
        <v>SpecialShootingMode = 0x0001D002,</v>
      </c>
      <c r="D288" s="21" t="s">
        <v>970</v>
      </c>
    </row>
    <row r="289" spans="1:4" x14ac:dyDescent="0.25">
      <c r="A289" t="s">
        <v>1094</v>
      </c>
      <c r="B289" t="s">
        <v>1000</v>
      </c>
      <c r="C289" t="str">
        <f t="shared" si="4"/>
        <v>AFSubjectDetection = 0x0001D005,</v>
      </c>
      <c r="D289" s="21" t="s">
        <v>970</v>
      </c>
    </row>
    <row r="290" spans="1:4" x14ac:dyDescent="0.25">
      <c r="A290" t="s">
        <v>1095</v>
      </c>
      <c r="B290" t="s">
        <v>1001</v>
      </c>
      <c r="C290" t="str">
        <f t="shared" si="4"/>
        <v>MovieAFSubjectDetection = 0x0001D006,</v>
      </c>
      <c r="D290" s="21" t="s">
        <v>970</v>
      </c>
    </row>
    <row r="291" spans="1:4" x14ac:dyDescent="0.25">
      <c r="A291" t="s">
        <v>1096</v>
      </c>
      <c r="B291" t="s">
        <v>1002</v>
      </c>
      <c r="C291" t="str">
        <f t="shared" si="4"/>
        <v>ViewModeEaseOfViewing = 0x0001D007,</v>
      </c>
      <c r="D291" s="21" t="s">
        <v>970</v>
      </c>
    </row>
    <row r="292" spans="1:4" x14ac:dyDescent="0.25">
      <c r="A292" t="s">
        <v>1097</v>
      </c>
      <c r="B292" t="s">
        <v>1003</v>
      </c>
      <c r="C292" t="str">
        <f t="shared" si="4"/>
        <v>ViewModeWhiteBalance = 0x0001D008,</v>
      </c>
      <c r="D292" s="21" t="s">
        <v>970</v>
      </c>
    </row>
    <row r="293" spans="1:4" x14ac:dyDescent="0.25">
      <c r="A293" t="s">
        <v>1098</v>
      </c>
      <c r="B293" t="s">
        <v>1004</v>
      </c>
      <c r="C293" t="str">
        <f t="shared" si="4"/>
        <v>ViewModeWbColorTemp = 0x0001D009,</v>
      </c>
      <c r="D293" s="21" t="s">
        <v>970</v>
      </c>
    </row>
    <row r="294" spans="1:4" x14ac:dyDescent="0.25">
      <c r="A294" t="s">
        <v>1099</v>
      </c>
      <c r="B294" t="s">
        <v>1005</v>
      </c>
      <c r="C294" t="str">
        <f t="shared" si="4"/>
        <v>ViewModeWbTuneColorTemp = 0x0001D00A,</v>
      </c>
      <c r="D294" s="21" t="s">
        <v>970</v>
      </c>
    </row>
    <row r="295" spans="1:4" x14ac:dyDescent="0.25">
      <c r="A295" t="s">
        <v>1100</v>
      </c>
      <c r="B295" t="s">
        <v>1006</v>
      </c>
      <c r="C295" t="str">
        <f t="shared" si="4"/>
        <v>ViewModePictureControl = 0x0001D00B,</v>
      </c>
      <c r="D295" s="21" t="s">
        <v>970</v>
      </c>
    </row>
    <row r="296" spans="1:4" x14ac:dyDescent="0.25">
      <c r="A296" t="s">
        <v>1101</v>
      </c>
      <c r="B296" t="s">
        <v>1007</v>
      </c>
      <c r="C296" t="str">
        <f t="shared" si="4"/>
        <v>ViewModeBrightenShadow = 0x0001D00C,</v>
      </c>
      <c r="D296" s="21" t="s">
        <v>970</v>
      </c>
    </row>
    <row r="297" spans="1:4" x14ac:dyDescent="0.25">
      <c r="A297" t="s">
        <v>1102</v>
      </c>
      <c r="B297" t="s">
        <v>1008</v>
      </c>
      <c r="C297" t="str">
        <f t="shared" si="4"/>
        <v>StarlightView = 0x0001D00E,</v>
      </c>
      <c r="D297" s="21" t="s">
        <v>970</v>
      </c>
    </row>
    <row r="298" spans="1:4" x14ac:dyDescent="0.25">
      <c r="A298" t="s">
        <v>1103</v>
      </c>
      <c r="B298" t="s">
        <v>1009</v>
      </c>
      <c r="C298" t="str">
        <f t="shared" si="4"/>
        <v>MovieTVLockSetting = 0x0001D00F,</v>
      </c>
      <c r="D298" s="21" t="s">
        <v>970</v>
      </c>
    </row>
    <row r="299" spans="1:4" x14ac:dyDescent="0.25">
      <c r="A299" t="s">
        <v>1104</v>
      </c>
      <c r="B299" t="s">
        <v>1010</v>
      </c>
      <c r="C299" t="str">
        <f t="shared" si="4"/>
        <v>MovieAVLockSetting = 0x0001D010,</v>
      </c>
      <c r="D299" s="21" t="s">
        <v>970</v>
      </c>
    </row>
    <row r="300" spans="1:4" x14ac:dyDescent="0.25">
      <c r="A300" t="s">
        <v>1105</v>
      </c>
      <c r="B300" t="s">
        <v>1011</v>
      </c>
      <c r="C300" t="str">
        <f t="shared" si="4"/>
        <v>SilentMode = 0x0001D011,</v>
      </c>
      <c r="D300" s="21" t="s">
        <v>970</v>
      </c>
    </row>
    <row r="301" spans="1:4" x14ac:dyDescent="0.25">
      <c r="A301" t="s">
        <v>1106</v>
      </c>
      <c r="B301" t="s">
        <v>1012</v>
      </c>
      <c r="C301" t="str">
        <f t="shared" si="4"/>
        <v>ShutterSoundEffect = 0x0001D012,</v>
      </c>
      <c r="D301" s="21" t="s">
        <v>970</v>
      </c>
    </row>
    <row r="302" spans="1:4" x14ac:dyDescent="0.25">
      <c r="A302" t="s">
        <v>1107</v>
      </c>
      <c r="B302" t="s">
        <v>1013</v>
      </c>
      <c r="C302" t="str">
        <f t="shared" si="4"/>
        <v>AFWhenSubjectNotDetected = 0x0001D014,</v>
      </c>
      <c r="D302" s="21" t="s">
        <v>970</v>
      </c>
    </row>
    <row r="303" spans="1:4" x14ac:dyDescent="0.25">
      <c r="A303" t="s">
        <v>1108</v>
      </c>
      <c r="B303" t="s">
        <v>1014</v>
      </c>
      <c r="C303" t="str">
        <f t="shared" si="4"/>
        <v>FocusPointLock = 0x0001D015,</v>
      </c>
      <c r="D303" s="21" t="s">
        <v>970</v>
      </c>
    </row>
    <row r="304" spans="1:4" x14ac:dyDescent="0.25">
      <c r="A304" t="s">
        <v>1109</v>
      </c>
      <c r="B304" t="s">
        <v>1015</v>
      </c>
      <c r="C304" t="str">
        <f t="shared" si="4"/>
        <v>MovieFocusPointLock = 0x0001D016,</v>
      </c>
      <c r="D304" s="21" t="s">
        <v>970</v>
      </c>
    </row>
    <row r="305" spans="1:4" x14ac:dyDescent="0.25">
      <c r="A305" t="s">
        <v>1110</v>
      </c>
      <c r="B305" t="s">
        <v>1016</v>
      </c>
      <c r="C305" t="str">
        <f t="shared" si="4"/>
        <v>SkinSoftening = 0x0001D017,</v>
      </c>
      <c r="D305" s="21" t="s">
        <v>970</v>
      </c>
    </row>
    <row r="306" spans="1:4" x14ac:dyDescent="0.25">
      <c r="A306" t="s">
        <v>1111</v>
      </c>
      <c r="B306" t="s">
        <v>1017</v>
      </c>
      <c r="C306" t="str">
        <f t="shared" si="4"/>
        <v>MovieSkinSoftening = 0x0001D018,</v>
      </c>
      <c r="D306" s="21" t="s">
        <v>970</v>
      </c>
    </row>
    <row r="307" spans="1:4" x14ac:dyDescent="0.25">
      <c r="A307" t="s">
        <v>1112</v>
      </c>
      <c r="B307" t="s">
        <v>1018</v>
      </c>
      <c r="C307" t="str">
        <f t="shared" si="4"/>
        <v>PortraitImpressionBalance = 0x0001D019,</v>
      </c>
      <c r="D307" s="21" t="s">
        <v>970</v>
      </c>
    </row>
    <row r="308" spans="1:4" x14ac:dyDescent="0.25">
      <c r="A308" t="s">
        <v>1113</v>
      </c>
      <c r="B308" t="s">
        <v>1019</v>
      </c>
      <c r="C308" t="str">
        <f t="shared" si="4"/>
        <v>MoviePortraitImpressionBalance = 0x0001D01A,</v>
      </c>
      <c r="D308" s="21" t="s">
        <v>970</v>
      </c>
    </row>
    <row r="309" spans="1:4" x14ac:dyDescent="0.25">
      <c r="A309" t="s">
        <v>1114</v>
      </c>
      <c r="B309" t="s">
        <v>1020</v>
      </c>
      <c r="C309" t="str">
        <f t="shared" si="4"/>
        <v>MovieExtendedShutterSpeedsManual = 0x0001D01B,</v>
      </c>
      <c r="D309" s="21" t="s">
        <v>970</v>
      </c>
    </row>
    <row r="310" spans="1:4" x14ac:dyDescent="0.25">
      <c r="A310" t="s">
        <v>1115</v>
      </c>
      <c r="B310" t="s">
        <v>1021</v>
      </c>
      <c r="C310" t="str">
        <f t="shared" si="4"/>
        <v>ToneMode = 0x0001D01C,</v>
      </c>
      <c r="D310" s="21" t="s">
        <v>970</v>
      </c>
    </row>
    <row r="311" spans="1:4" x14ac:dyDescent="0.25">
      <c r="A311" t="s">
        <v>1116</v>
      </c>
      <c r="B311" t="s">
        <v>1022</v>
      </c>
      <c r="C311" t="str">
        <f t="shared" si="4"/>
        <v>ActivePicCtrlHlgItem = 0x0001D01D,</v>
      </c>
      <c r="D311" s="21" t="s">
        <v>970</v>
      </c>
    </row>
    <row r="312" spans="1:4" x14ac:dyDescent="0.25">
      <c r="A312" t="s">
        <v>1117</v>
      </c>
      <c r="B312" t="s">
        <v>1023</v>
      </c>
      <c r="C312" t="str">
        <f t="shared" si="4"/>
        <v>ExtendedOverSampling = 0x0001D01E,</v>
      </c>
      <c r="D312" s="21" t="s">
        <v>970</v>
      </c>
    </row>
    <row r="313" spans="1:4" x14ac:dyDescent="0.25">
      <c r="A313" t="s">
        <v>1118</v>
      </c>
      <c r="B313" t="s">
        <v>1024</v>
      </c>
      <c r="C313" t="str">
        <f t="shared" si="4"/>
        <v>MovieExtendedIsoStepManual = 0x0001D01F,</v>
      </c>
      <c r="D313" s="21" t="s">
        <v>970</v>
      </c>
    </row>
    <row r="314" spans="1:4" x14ac:dyDescent="0.25">
      <c r="A314" t="s">
        <v>1119</v>
      </c>
      <c r="B314" t="s">
        <v>1025</v>
      </c>
      <c r="C314" t="str">
        <f t="shared" si="4"/>
        <v>PreCapturePreReleaseBurst = 0x0001D025,</v>
      </c>
      <c r="D314" s="21" t="s">
        <v>970</v>
      </c>
    </row>
    <row r="315" spans="1:4" x14ac:dyDescent="0.25">
      <c r="A315" t="s">
        <v>1120</v>
      </c>
      <c r="B315" t="s">
        <v>1026</v>
      </c>
      <c r="C315" t="str">
        <f t="shared" si="4"/>
        <v>PreCapturePostReleaseBurst = 0x0001D026,</v>
      </c>
      <c r="D315" s="21" t="s">
        <v>970</v>
      </c>
    </row>
    <row r="316" spans="1:4" x14ac:dyDescent="0.25">
      <c r="A316" t="s">
        <v>1121</v>
      </c>
      <c r="B316" t="s">
        <v>1191</v>
      </c>
      <c r="C316" t="str">
        <f t="shared" si="4"/>
        <v>MovieNRaw12bitToneMode = 0x0001D028,</v>
      </c>
      <c r="D316" s="21" t="s">
        <v>970</v>
      </c>
    </row>
    <row r="317" spans="1:4" x14ac:dyDescent="0.25">
      <c r="A317" t="s">
        <v>1122</v>
      </c>
      <c r="B317" t="s">
        <v>1192</v>
      </c>
      <c r="C317" t="str">
        <f t="shared" si="4"/>
        <v>MovieProResRawHq12bitToneMode = 0x0001D029,</v>
      </c>
      <c r="D317" s="21" t="s">
        <v>970</v>
      </c>
    </row>
    <row r="318" spans="1:4" x14ac:dyDescent="0.25">
      <c r="A318" t="s">
        <v>1123</v>
      </c>
      <c r="B318" t="s">
        <v>1027</v>
      </c>
      <c r="C318" t="str">
        <f t="shared" si="4"/>
        <v>MovieQualityNRaw = 0x0001D02A,</v>
      </c>
      <c r="D318" s="21" t="s">
        <v>970</v>
      </c>
    </row>
    <row r="319" spans="1:4" x14ac:dyDescent="0.25">
      <c r="A319" t="s">
        <v>1124</v>
      </c>
      <c r="B319" t="s">
        <v>1028</v>
      </c>
      <c r="C319" t="str">
        <f t="shared" si="4"/>
        <v>HighFrequencyFlickerReduction = 0x0001D031,</v>
      </c>
      <c r="D319" s="21" t="s">
        <v>970</v>
      </c>
    </row>
    <row r="320" spans="1:4" x14ac:dyDescent="0.25">
      <c r="A320" t="s">
        <v>1125</v>
      </c>
      <c r="B320" t="s">
        <v>1029</v>
      </c>
      <c r="C320" t="str">
        <f t="shared" si="4"/>
        <v>MovieHighFrequencyFlickerReduction = 0x0001D032,</v>
      </c>
      <c r="D320" s="21" t="s">
        <v>970</v>
      </c>
    </row>
    <row r="321" spans="1:4" x14ac:dyDescent="0.25">
      <c r="A321" t="s">
        <v>1126</v>
      </c>
      <c r="B321" t="s">
        <v>1030</v>
      </c>
      <c r="C321" t="str">
        <f t="shared" si="4"/>
        <v>HiResZoom = 0x0001D033,</v>
      </c>
      <c r="D321" s="21" t="s">
        <v>970</v>
      </c>
    </row>
    <row r="322" spans="1:4" x14ac:dyDescent="0.25">
      <c r="A322" t="s">
        <v>1127</v>
      </c>
      <c r="B322" t="s">
        <v>1031</v>
      </c>
      <c r="C322" t="str">
        <f t="shared" si="4"/>
        <v>ViewModeShowEffectsOfSettings = 0x0001D036,</v>
      </c>
      <c r="D322" s="21" t="s">
        <v>970</v>
      </c>
    </row>
    <row r="323" spans="1:4" x14ac:dyDescent="0.25">
      <c r="A323" t="s">
        <v>1128</v>
      </c>
      <c r="B323" t="s">
        <v>1032</v>
      </c>
      <c r="C323" t="str">
        <f t="shared" si="4"/>
        <v>FlickerReductionShutterSpeed = 0x0001D03D,</v>
      </c>
      <c r="D323" s="21" t="s">
        <v>970</v>
      </c>
    </row>
    <row r="324" spans="1:4" x14ac:dyDescent="0.25">
      <c r="A324" t="s">
        <v>1129</v>
      </c>
      <c r="B324" t="s">
        <v>1033</v>
      </c>
      <c r="C324" t="str">
        <f t="shared" ref="C324:C334" si="5">B324&amp;" = "&amp;A324&amp;","</f>
        <v>EnableDXImageSize = 0x0001D041,</v>
      </c>
      <c r="D324" s="21" t="s">
        <v>970</v>
      </c>
    </row>
    <row r="325" spans="1:4" x14ac:dyDescent="0.25">
      <c r="A325" t="s">
        <v>1130</v>
      </c>
      <c r="B325" t="s">
        <v>1034</v>
      </c>
      <c r="C325" t="str">
        <f t="shared" si="5"/>
        <v>ImageSizeDX = 0x0001D042,</v>
      </c>
      <c r="D325" s="21" t="s">
        <v>970</v>
      </c>
    </row>
    <row r="326" spans="1:4" x14ac:dyDescent="0.25">
      <c r="A326" t="s">
        <v>1131</v>
      </c>
      <c r="B326" t="s">
        <v>1193</v>
      </c>
      <c r="C326" t="str">
        <f t="shared" si="5"/>
        <v>WideAreaAFC1 = 0x0001D046,</v>
      </c>
      <c r="D326" s="21" t="s">
        <v>970</v>
      </c>
    </row>
    <row r="327" spans="1:4" x14ac:dyDescent="0.25">
      <c r="A327" t="s">
        <v>1132</v>
      </c>
      <c r="B327" t="s">
        <v>1035</v>
      </c>
      <c r="C327" t="str">
        <f t="shared" si="5"/>
        <v>PixelShiftShootingMode = 0x0001D045,</v>
      </c>
      <c r="D327" s="21" t="s">
        <v>970</v>
      </c>
    </row>
    <row r="328" spans="1:4" x14ac:dyDescent="0.25">
      <c r="A328" t="s">
        <v>1133</v>
      </c>
      <c r="B328" t="s">
        <v>1194</v>
      </c>
      <c r="C328" t="str">
        <f t="shared" si="5"/>
        <v>WideAreaAFC2 = 0x0001D047,</v>
      </c>
      <c r="D328" s="21" t="s">
        <v>970</v>
      </c>
    </row>
    <row r="329" spans="1:4" x14ac:dyDescent="0.25">
      <c r="A329" t="s">
        <v>1134</v>
      </c>
      <c r="B329" t="s">
        <v>1195</v>
      </c>
      <c r="C329" t="str">
        <f t="shared" si="5"/>
        <v>MovieWideAreaAFC1 = 0x0001D048,</v>
      </c>
      <c r="D329" s="21" t="s">
        <v>970</v>
      </c>
    </row>
    <row r="330" spans="1:4" x14ac:dyDescent="0.25">
      <c r="A330" t="s">
        <v>1135</v>
      </c>
      <c r="B330" t="s">
        <v>1196</v>
      </c>
      <c r="C330" t="str">
        <f t="shared" si="5"/>
        <v>MovieWideAreaAFC2 = 0x0001D049,</v>
      </c>
      <c r="D330" s="21" t="s">
        <v>970</v>
      </c>
    </row>
    <row r="331" spans="1:4" x14ac:dyDescent="0.25">
      <c r="A331" t="s">
        <v>1136</v>
      </c>
      <c r="B331" t="s">
        <v>1197</v>
      </c>
      <c r="C331" t="str">
        <f t="shared" si="5"/>
        <v>FmmManualSetting2 = 0x0001D04A,</v>
      </c>
      <c r="D331" s="21" t="s">
        <v>970</v>
      </c>
    </row>
    <row r="332" spans="1:4" x14ac:dyDescent="0.25">
      <c r="A332" t="s">
        <v>1137</v>
      </c>
      <c r="B332" t="s">
        <v>1198</v>
      </c>
      <c r="C332" t="str">
        <f t="shared" si="5"/>
        <v>F0ManualSetting2 = 0x0001D04B,</v>
      </c>
      <c r="D332" s="21" t="s">
        <v>970</v>
      </c>
    </row>
    <row r="333" spans="1:4" x14ac:dyDescent="0.25">
      <c r="A333" t="s">
        <v>1138</v>
      </c>
      <c r="B333" t="s">
        <v>1036</v>
      </c>
      <c r="C333" t="str">
        <f t="shared" si="5"/>
        <v>ManualSettingLensName = 0x0001D04C,</v>
      </c>
      <c r="D333" s="21" t="s">
        <v>970</v>
      </c>
    </row>
    <row r="334" spans="1:4" x14ac:dyDescent="0.25">
      <c r="A334" t="s">
        <v>1139</v>
      </c>
      <c r="B334" t="s">
        <v>1037</v>
      </c>
      <c r="C334" t="str">
        <f t="shared" si="5"/>
        <v>PixelShiftShootingInterval = 0x0001D050,</v>
      </c>
      <c r="D334" s="21" t="s">
        <v>970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AC734-9ABD-45D9-97FD-048DEDAF8C52}">
  <dimension ref="A1:G31"/>
  <sheetViews>
    <sheetView workbookViewId="0">
      <pane xSplit="2" ySplit="2" topLeftCell="C3" activePane="bottomRight" state="frozen"/>
      <selection pane="topRight" activeCell="C1" sqref="C1"/>
      <selection pane="bottomLeft" activeCell="A2" sqref="A2"/>
      <selection pane="bottomRight" activeCell="C3" sqref="C3:C30"/>
    </sheetView>
  </sheetViews>
  <sheetFormatPr defaultRowHeight="15" x14ac:dyDescent="0.25"/>
  <cols>
    <col min="1" max="1" width="15.85546875" bestFit="1" customWidth="1"/>
    <col min="2" max="2" width="35.5703125" bestFit="1" customWidth="1"/>
    <col min="3" max="3" width="11.42578125" bestFit="1" customWidth="1"/>
  </cols>
  <sheetData>
    <row r="1" spans="1:7" x14ac:dyDescent="0.25">
      <c r="D1" s="2" t="s">
        <v>993</v>
      </c>
    </row>
    <row r="2" spans="1:7" x14ac:dyDescent="0.25">
      <c r="A2" s="1" t="s">
        <v>904</v>
      </c>
      <c r="B2" s="1" t="s">
        <v>0</v>
      </c>
      <c r="D2" s="21" t="s">
        <v>994</v>
      </c>
    </row>
    <row r="3" spans="1:7" x14ac:dyDescent="0.25">
      <c r="A3" t="s">
        <v>848</v>
      </c>
      <c r="B3" t="s">
        <v>876</v>
      </c>
      <c r="C3" t="str">
        <f>B3&amp;" = "&amp;A3&amp;","</f>
        <v>StorageID = 0xDC01,</v>
      </c>
      <c r="D3" s="21" t="s">
        <v>970</v>
      </c>
      <c r="G3" s="2"/>
    </row>
    <row r="4" spans="1:7" x14ac:dyDescent="0.25">
      <c r="A4" t="s">
        <v>849</v>
      </c>
      <c r="B4" t="s">
        <v>877</v>
      </c>
      <c r="C4" t="str">
        <f t="shared" ref="C4:C30" si="0">B4&amp;" = "&amp;A4&amp;","</f>
        <v>ObjectFormat = 0xDC02,</v>
      </c>
      <c r="D4" s="21" t="s">
        <v>970</v>
      </c>
    </row>
    <row r="5" spans="1:7" x14ac:dyDescent="0.25">
      <c r="A5" t="s">
        <v>850</v>
      </c>
      <c r="B5" t="s">
        <v>878</v>
      </c>
      <c r="C5" t="str">
        <f t="shared" si="0"/>
        <v>ProtectionStatus = 0xDC03,</v>
      </c>
      <c r="D5" s="21" t="s">
        <v>970</v>
      </c>
    </row>
    <row r="6" spans="1:7" x14ac:dyDescent="0.25">
      <c r="A6" t="s">
        <v>851</v>
      </c>
      <c r="B6" t="s">
        <v>879</v>
      </c>
      <c r="C6" t="str">
        <f t="shared" si="0"/>
        <v>ObjectSize = 0xDC04,</v>
      </c>
      <c r="D6" s="21" t="s">
        <v>970</v>
      </c>
    </row>
    <row r="7" spans="1:7" x14ac:dyDescent="0.25">
      <c r="A7" t="s">
        <v>852</v>
      </c>
      <c r="B7" t="s">
        <v>880</v>
      </c>
      <c r="C7" t="str">
        <f t="shared" si="0"/>
        <v>ObjectFilename = 0xDC07,</v>
      </c>
      <c r="D7" s="21" t="s">
        <v>970</v>
      </c>
    </row>
    <row r="8" spans="1:7" x14ac:dyDescent="0.25">
      <c r="A8" t="s">
        <v>853</v>
      </c>
      <c r="B8" t="s">
        <v>881</v>
      </c>
      <c r="C8" t="str">
        <f t="shared" si="0"/>
        <v>DateCreated = 0xDC08,</v>
      </c>
      <c r="D8" s="21" t="s">
        <v>970</v>
      </c>
    </row>
    <row r="9" spans="1:7" x14ac:dyDescent="0.25">
      <c r="A9" t="s">
        <v>854</v>
      </c>
      <c r="B9" t="s">
        <v>882</v>
      </c>
      <c r="C9" t="str">
        <f t="shared" si="0"/>
        <v>DateModified = 0xDC09,</v>
      </c>
      <c r="D9" s="21" t="s">
        <v>970</v>
      </c>
    </row>
    <row r="10" spans="1:7" x14ac:dyDescent="0.25">
      <c r="A10" t="s">
        <v>855</v>
      </c>
      <c r="B10" t="s">
        <v>883</v>
      </c>
      <c r="C10" t="str">
        <f t="shared" si="0"/>
        <v>ParentObject = 0xDC0B,</v>
      </c>
      <c r="D10" s="21" t="s">
        <v>970</v>
      </c>
    </row>
    <row r="11" spans="1:7" x14ac:dyDescent="0.25">
      <c r="A11" t="s">
        <v>856</v>
      </c>
      <c r="B11" t="s">
        <v>884</v>
      </c>
      <c r="C11" t="str">
        <f t="shared" si="0"/>
        <v>Hidden = 0xDC0D,</v>
      </c>
      <c r="D11" s="21" t="s">
        <v>970</v>
      </c>
    </row>
    <row r="12" spans="1:7" x14ac:dyDescent="0.25">
      <c r="A12" t="s">
        <v>857</v>
      </c>
      <c r="B12" t="s">
        <v>885</v>
      </c>
      <c r="C12" t="str">
        <f t="shared" si="0"/>
        <v>PersistentUniqueObjectIdentifier = 0xDC41,</v>
      </c>
      <c r="D12" s="21" t="s">
        <v>970</v>
      </c>
    </row>
    <row r="13" spans="1:7" x14ac:dyDescent="0.25">
      <c r="A13" t="s">
        <v>858</v>
      </c>
      <c r="B13" t="s">
        <v>886</v>
      </c>
      <c r="C13" t="str">
        <f t="shared" si="0"/>
        <v>Name = 0xDC44,</v>
      </c>
      <c r="D13" s="21" t="s">
        <v>970</v>
      </c>
    </row>
    <row r="14" spans="1:7" x14ac:dyDescent="0.25">
      <c r="A14" t="s">
        <v>859</v>
      </c>
      <c r="B14" t="s">
        <v>887</v>
      </c>
      <c r="C14" t="str">
        <f t="shared" si="0"/>
        <v>RepresentativeSampleFormat = 0xDC81,</v>
      </c>
      <c r="D14" s="21" t="s">
        <v>970</v>
      </c>
    </row>
    <row r="15" spans="1:7" x14ac:dyDescent="0.25">
      <c r="A15" t="s">
        <v>860</v>
      </c>
      <c r="B15" t="s">
        <v>888</v>
      </c>
      <c r="C15" t="str">
        <f t="shared" si="0"/>
        <v>RepresentativeSampleSize = 0xDC82,</v>
      </c>
      <c r="D15" s="21" t="s">
        <v>970</v>
      </c>
    </row>
    <row r="16" spans="1:7" x14ac:dyDescent="0.25">
      <c r="A16" t="s">
        <v>861</v>
      </c>
      <c r="B16" t="s">
        <v>889</v>
      </c>
      <c r="C16" t="str">
        <f t="shared" si="0"/>
        <v>RepresentativeSampleHeight = 0xDC83,</v>
      </c>
      <c r="D16" s="21" t="s">
        <v>970</v>
      </c>
    </row>
    <row r="17" spans="1:4" x14ac:dyDescent="0.25">
      <c r="A17" t="s">
        <v>862</v>
      </c>
      <c r="B17" t="s">
        <v>890</v>
      </c>
      <c r="C17" t="str">
        <f t="shared" si="0"/>
        <v>RepresentativeSampleWidth = 0xDC84,</v>
      </c>
      <c r="D17" s="21" t="s">
        <v>970</v>
      </c>
    </row>
    <row r="18" spans="1:4" x14ac:dyDescent="0.25">
      <c r="A18" t="s">
        <v>863</v>
      </c>
      <c r="B18" t="s">
        <v>891</v>
      </c>
      <c r="C18" t="str">
        <f t="shared" si="0"/>
        <v>RepresentativeSampleData = 0xDC86,</v>
      </c>
      <c r="D18" s="21" t="s">
        <v>970</v>
      </c>
    </row>
    <row r="19" spans="1:4" x14ac:dyDescent="0.25">
      <c r="A19" t="s">
        <v>864</v>
      </c>
      <c r="B19" t="s">
        <v>892</v>
      </c>
      <c r="C19" t="str">
        <f t="shared" si="0"/>
        <v>Width = 0xDC87,</v>
      </c>
      <c r="D19" s="21" t="s">
        <v>970</v>
      </c>
    </row>
    <row r="20" spans="1:4" x14ac:dyDescent="0.25">
      <c r="A20" t="s">
        <v>865</v>
      </c>
      <c r="B20" t="s">
        <v>893</v>
      </c>
      <c r="C20" t="str">
        <f t="shared" si="0"/>
        <v>Height = 0xDC88,</v>
      </c>
      <c r="D20" s="21" t="s">
        <v>970</v>
      </c>
    </row>
    <row r="21" spans="1:4" x14ac:dyDescent="0.25">
      <c r="A21" t="s">
        <v>866</v>
      </c>
      <c r="B21" t="s">
        <v>894</v>
      </c>
      <c r="C21" t="str">
        <f t="shared" si="0"/>
        <v>Rating = 0xDC8A,</v>
      </c>
      <c r="D21" s="21" t="s">
        <v>970</v>
      </c>
    </row>
    <row r="22" spans="1:4" x14ac:dyDescent="0.25">
      <c r="A22" t="s">
        <v>867</v>
      </c>
      <c r="B22" t="s">
        <v>895</v>
      </c>
      <c r="C22" t="str">
        <f t="shared" si="0"/>
        <v>ImageBitDepth = 0xDCD3,</v>
      </c>
      <c r="D22" s="21" t="s">
        <v>970</v>
      </c>
    </row>
    <row r="23" spans="1:4" x14ac:dyDescent="0.25">
      <c r="A23" t="s">
        <v>868</v>
      </c>
      <c r="B23" t="s">
        <v>896</v>
      </c>
      <c r="C23" t="str">
        <f t="shared" si="0"/>
        <v>Duration = 0xDC89,</v>
      </c>
      <c r="D23" s="21" t="s">
        <v>970</v>
      </c>
    </row>
    <row r="24" spans="1:4" x14ac:dyDescent="0.25">
      <c r="A24" t="s">
        <v>869</v>
      </c>
      <c r="B24" t="s">
        <v>897</v>
      </c>
      <c r="C24" t="str">
        <f t="shared" si="0"/>
        <v>SampleRate = 0xDE93,</v>
      </c>
      <c r="D24" s="21" t="s">
        <v>970</v>
      </c>
    </row>
    <row r="25" spans="1:4" x14ac:dyDescent="0.25">
      <c r="A25" t="s">
        <v>870</v>
      </c>
      <c r="B25" t="s">
        <v>898</v>
      </c>
      <c r="C25" t="str">
        <f t="shared" si="0"/>
        <v>NumberOfChannels = 0xDE94,</v>
      </c>
      <c r="D25" s="21" t="s">
        <v>970</v>
      </c>
    </row>
    <row r="26" spans="1:4" x14ac:dyDescent="0.25">
      <c r="A26" t="s">
        <v>871</v>
      </c>
      <c r="B26" t="s">
        <v>899</v>
      </c>
      <c r="C26" t="str">
        <f t="shared" si="0"/>
        <v>ScanType = 0xDE97,</v>
      </c>
      <c r="D26" s="21" t="s">
        <v>970</v>
      </c>
    </row>
    <row r="27" spans="1:4" x14ac:dyDescent="0.25">
      <c r="A27" t="s">
        <v>872</v>
      </c>
      <c r="B27" t="s">
        <v>900</v>
      </c>
      <c r="C27" t="str">
        <f t="shared" si="0"/>
        <v>AudioBitRate = 0xDE9A,</v>
      </c>
      <c r="D27" s="21" t="s">
        <v>970</v>
      </c>
    </row>
    <row r="28" spans="1:4" x14ac:dyDescent="0.25">
      <c r="A28" t="s">
        <v>873</v>
      </c>
      <c r="B28" t="s">
        <v>901</v>
      </c>
      <c r="C28" t="str">
        <f t="shared" si="0"/>
        <v>VideoFourCCCode = 0xDE9B,</v>
      </c>
      <c r="D28" s="21" t="s">
        <v>970</v>
      </c>
    </row>
    <row r="29" spans="1:4" x14ac:dyDescent="0.25">
      <c r="A29" t="s">
        <v>874</v>
      </c>
      <c r="B29" t="s">
        <v>902</v>
      </c>
      <c r="C29" t="str">
        <f t="shared" si="0"/>
        <v>VideoBitRate = 0xDE9C,</v>
      </c>
      <c r="D29" s="21" t="s">
        <v>970</v>
      </c>
    </row>
    <row r="30" spans="1:4" x14ac:dyDescent="0.25">
      <c r="A30" t="s">
        <v>875</v>
      </c>
      <c r="B30" t="s">
        <v>903</v>
      </c>
      <c r="C30" t="str">
        <f t="shared" si="0"/>
        <v>FramesPerThousandSeconds = 0xDE9D,</v>
      </c>
      <c r="D30" s="21" t="s">
        <v>970</v>
      </c>
    </row>
    <row r="31" spans="1:4" x14ac:dyDescent="0.25">
      <c r="D31" s="21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3C803-93FF-49FB-A9BD-FB9DEBD6B578}">
  <dimension ref="A1:D50"/>
  <sheetViews>
    <sheetView zoomScale="85" zoomScaleNormal="85" workbookViewId="0">
      <selection activeCell="A2" sqref="A2:D2"/>
    </sheetView>
  </sheetViews>
  <sheetFormatPr defaultRowHeight="15" x14ac:dyDescent="0.25"/>
  <cols>
    <col min="1" max="1" width="30" bestFit="1" customWidth="1"/>
    <col min="2" max="2" width="10.7109375" bestFit="1" customWidth="1"/>
    <col min="3" max="3" width="9.28515625" bestFit="1" customWidth="1"/>
    <col min="4" max="4" width="81.42578125" bestFit="1" customWidth="1"/>
  </cols>
  <sheetData>
    <row r="1" spans="1:4" ht="18.75" x14ac:dyDescent="0.3">
      <c r="A1" s="12" t="s">
        <v>905</v>
      </c>
    </row>
    <row r="2" spans="1:4" x14ac:dyDescent="0.25">
      <c r="A2" s="8" t="s">
        <v>934</v>
      </c>
      <c r="B2" s="9" t="s">
        <v>935</v>
      </c>
      <c r="C2" s="9" t="s">
        <v>936</v>
      </c>
      <c r="D2" s="9" t="s">
        <v>0</v>
      </c>
    </row>
    <row r="3" spans="1:4" x14ac:dyDescent="0.25">
      <c r="A3" s="6" t="s">
        <v>906</v>
      </c>
      <c r="B3" s="7">
        <v>2</v>
      </c>
      <c r="C3" s="7"/>
      <c r="D3" s="10" t="s">
        <v>920</v>
      </c>
    </row>
    <row r="4" spans="1:4" x14ac:dyDescent="0.25">
      <c r="A4" s="6" t="s">
        <v>907</v>
      </c>
      <c r="B4" s="7">
        <v>4</v>
      </c>
      <c r="C4" s="7"/>
      <c r="D4" s="10" t="s">
        <v>921</v>
      </c>
    </row>
    <row r="5" spans="1:4" x14ac:dyDescent="0.25">
      <c r="A5" s="4" t="s">
        <v>908</v>
      </c>
      <c r="B5" s="5">
        <v>2</v>
      </c>
      <c r="C5" s="5"/>
      <c r="D5" s="11" t="s">
        <v>922</v>
      </c>
    </row>
    <row r="6" spans="1:4" x14ac:dyDescent="0.25">
      <c r="A6" s="48" t="s">
        <v>909</v>
      </c>
      <c r="B6" s="3">
        <v>1</v>
      </c>
      <c r="C6" s="3" t="s">
        <v>938</v>
      </c>
      <c r="D6" s="46" t="s">
        <v>923</v>
      </c>
    </row>
    <row r="7" spans="1:4" x14ac:dyDescent="0.25">
      <c r="A7" s="49"/>
      <c r="B7" s="5" t="s">
        <v>937</v>
      </c>
      <c r="C7" s="5" t="s">
        <v>939</v>
      </c>
      <c r="D7" s="47"/>
    </row>
    <row r="8" spans="1:4" x14ac:dyDescent="0.25">
      <c r="A8" s="6" t="s">
        <v>910</v>
      </c>
      <c r="B8" s="7">
        <v>2</v>
      </c>
      <c r="C8" s="7"/>
      <c r="D8" s="10" t="s">
        <v>924</v>
      </c>
    </row>
    <row r="9" spans="1:4" x14ac:dyDescent="0.25">
      <c r="A9" s="48" t="s">
        <v>911</v>
      </c>
      <c r="B9" s="3">
        <v>4</v>
      </c>
      <c r="C9" s="3" t="s">
        <v>938</v>
      </c>
      <c r="D9" s="46" t="s">
        <v>925</v>
      </c>
    </row>
    <row r="10" spans="1:4" x14ac:dyDescent="0.25">
      <c r="A10" s="49"/>
      <c r="B10" s="5" t="s">
        <v>937</v>
      </c>
      <c r="C10" s="5"/>
      <c r="D10" s="47"/>
    </row>
    <row r="11" spans="1:4" x14ac:dyDescent="0.25">
      <c r="A11" s="48" t="s">
        <v>912</v>
      </c>
      <c r="B11" s="3">
        <v>4</v>
      </c>
      <c r="C11" s="3" t="s">
        <v>938</v>
      </c>
      <c r="D11" s="46" t="s">
        <v>926</v>
      </c>
    </row>
    <row r="12" spans="1:4" x14ac:dyDescent="0.25">
      <c r="A12" s="49"/>
      <c r="B12" s="5" t="s">
        <v>937</v>
      </c>
      <c r="C12" s="5"/>
      <c r="D12" s="47"/>
    </row>
    <row r="13" spans="1:4" x14ac:dyDescent="0.25">
      <c r="A13" s="48" t="s">
        <v>913</v>
      </c>
      <c r="B13" s="3">
        <v>4</v>
      </c>
      <c r="C13" s="3" t="s">
        <v>938</v>
      </c>
      <c r="D13" s="46" t="s">
        <v>927</v>
      </c>
    </row>
    <row r="14" spans="1:4" x14ac:dyDescent="0.25">
      <c r="A14" s="49"/>
      <c r="B14" s="5" t="s">
        <v>937</v>
      </c>
      <c r="C14" s="5"/>
      <c r="D14" s="47"/>
    </row>
    <row r="15" spans="1:4" x14ac:dyDescent="0.25">
      <c r="A15" s="48" t="s">
        <v>914</v>
      </c>
      <c r="B15" s="3">
        <v>4</v>
      </c>
      <c r="C15" s="3" t="s">
        <v>938</v>
      </c>
      <c r="D15" s="46" t="s">
        <v>928</v>
      </c>
    </row>
    <row r="16" spans="1:4" x14ac:dyDescent="0.25">
      <c r="A16" s="49"/>
      <c r="B16" s="5" t="s">
        <v>937</v>
      </c>
      <c r="C16" s="5"/>
      <c r="D16" s="47"/>
    </row>
    <row r="17" spans="1:4" x14ac:dyDescent="0.25">
      <c r="A17" s="48" t="s">
        <v>915</v>
      </c>
      <c r="B17" s="3">
        <v>4</v>
      </c>
      <c r="C17" s="3" t="s">
        <v>938</v>
      </c>
      <c r="D17" s="46" t="s">
        <v>929</v>
      </c>
    </row>
    <row r="18" spans="1:4" x14ac:dyDescent="0.25">
      <c r="A18" s="49"/>
      <c r="B18" s="5" t="s">
        <v>937</v>
      </c>
      <c r="C18" s="5"/>
      <c r="D18" s="47"/>
    </row>
    <row r="19" spans="1:4" x14ac:dyDescent="0.25">
      <c r="A19" s="48" t="s">
        <v>916</v>
      </c>
      <c r="B19" s="3">
        <v>1</v>
      </c>
      <c r="C19" s="3" t="s">
        <v>938</v>
      </c>
      <c r="D19" s="46" t="s">
        <v>930</v>
      </c>
    </row>
    <row r="20" spans="1:4" x14ac:dyDescent="0.25">
      <c r="A20" s="49"/>
      <c r="B20" s="5" t="s">
        <v>937</v>
      </c>
      <c r="C20" s="5" t="s">
        <v>939</v>
      </c>
      <c r="D20" s="47"/>
    </row>
    <row r="21" spans="1:4" x14ac:dyDescent="0.25">
      <c r="A21" s="50" t="s">
        <v>917</v>
      </c>
      <c r="B21" s="3">
        <v>1</v>
      </c>
      <c r="C21" s="3" t="s">
        <v>938</v>
      </c>
      <c r="D21" s="46" t="s">
        <v>931</v>
      </c>
    </row>
    <row r="22" spans="1:4" x14ac:dyDescent="0.25">
      <c r="A22" s="51"/>
      <c r="B22" s="5" t="s">
        <v>937</v>
      </c>
      <c r="C22" s="5" t="s">
        <v>939</v>
      </c>
      <c r="D22" s="47"/>
    </row>
    <row r="23" spans="1:4" x14ac:dyDescent="0.25">
      <c r="A23" s="48" t="s">
        <v>918</v>
      </c>
      <c r="B23" s="3">
        <v>1</v>
      </c>
      <c r="C23" s="3" t="s">
        <v>938</v>
      </c>
      <c r="D23" s="46" t="s">
        <v>932</v>
      </c>
    </row>
    <row r="24" spans="1:4" x14ac:dyDescent="0.25">
      <c r="A24" s="49"/>
      <c r="B24" s="5" t="s">
        <v>937</v>
      </c>
      <c r="C24" s="5" t="s">
        <v>939</v>
      </c>
      <c r="D24" s="47"/>
    </row>
    <row r="25" spans="1:4" x14ac:dyDescent="0.25">
      <c r="A25" s="48" t="s">
        <v>919</v>
      </c>
      <c r="B25" s="3">
        <v>1</v>
      </c>
      <c r="C25" s="3" t="s">
        <v>938</v>
      </c>
      <c r="D25" s="46" t="s">
        <v>933</v>
      </c>
    </row>
    <row r="26" spans="1:4" x14ac:dyDescent="0.25">
      <c r="A26" s="49"/>
      <c r="B26" s="5" t="s">
        <v>937</v>
      </c>
      <c r="C26" s="5" t="s">
        <v>939</v>
      </c>
      <c r="D26" s="47"/>
    </row>
    <row r="31" spans="1:4" ht="18.75" x14ac:dyDescent="0.3">
      <c r="A31" s="12" t="s">
        <v>954</v>
      </c>
    </row>
    <row r="32" spans="1:4" x14ac:dyDescent="0.25">
      <c r="A32" s="8" t="s">
        <v>934</v>
      </c>
      <c r="B32" s="9" t="s">
        <v>935</v>
      </c>
      <c r="C32" s="9" t="s">
        <v>936</v>
      </c>
      <c r="D32" s="9" t="s">
        <v>0</v>
      </c>
    </row>
    <row r="33" spans="1:4" ht="45" x14ac:dyDescent="0.25">
      <c r="A33" s="6" t="s">
        <v>387</v>
      </c>
      <c r="B33" s="7" t="s">
        <v>952</v>
      </c>
      <c r="C33" s="7"/>
      <c r="D33" s="10" t="s">
        <v>953</v>
      </c>
    </row>
    <row r="34" spans="1:4" x14ac:dyDescent="0.25">
      <c r="A34" s="6" t="s">
        <v>936</v>
      </c>
      <c r="B34" s="7">
        <v>2</v>
      </c>
      <c r="C34" s="7"/>
      <c r="D34" s="10" t="s">
        <v>944</v>
      </c>
    </row>
    <row r="35" spans="1:4" x14ac:dyDescent="0.25">
      <c r="A35" s="6" t="s">
        <v>940</v>
      </c>
      <c r="B35" s="7">
        <v>1</v>
      </c>
      <c r="C35" s="7"/>
      <c r="D35" s="10" t="s">
        <v>945</v>
      </c>
    </row>
    <row r="36" spans="1:4" x14ac:dyDescent="0.25">
      <c r="A36" s="6" t="s">
        <v>941</v>
      </c>
      <c r="B36" s="7" t="s">
        <v>949</v>
      </c>
      <c r="C36" s="7"/>
      <c r="D36" s="10" t="s">
        <v>946</v>
      </c>
    </row>
    <row r="37" spans="1:4" x14ac:dyDescent="0.25">
      <c r="A37" s="6" t="s">
        <v>942</v>
      </c>
      <c r="B37" s="7" t="s">
        <v>949</v>
      </c>
      <c r="C37" s="7"/>
      <c r="D37" s="10" t="s">
        <v>947</v>
      </c>
    </row>
    <row r="38" spans="1:4" x14ac:dyDescent="0.25">
      <c r="A38" s="6" t="s">
        <v>943</v>
      </c>
      <c r="B38" s="7">
        <v>1</v>
      </c>
      <c r="C38" s="7"/>
      <c r="D38" s="10" t="s">
        <v>948</v>
      </c>
    </row>
    <row r="39" spans="1:4" x14ac:dyDescent="0.25">
      <c r="A39" s="6" t="s">
        <v>950</v>
      </c>
      <c r="B39" s="7" t="s">
        <v>949</v>
      </c>
      <c r="C39" s="7"/>
      <c r="D39" s="10" t="s">
        <v>951</v>
      </c>
    </row>
    <row r="42" spans="1:4" ht="18.75" x14ac:dyDescent="0.3">
      <c r="A42" s="12" t="s">
        <v>955</v>
      </c>
    </row>
    <row r="43" spans="1:4" x14ac:dyDescent="0.25">
      <c r="A43" s="8" t="s">
        <v>934</v>
      </c>
      <c r="B43" s="9" t="s">
        <v>935</v>
      </c>
      <c r="C43" s="9" t="s">
        <v>936</v>
      </c>
      <c r="D43" s="9" t="s">
        <v>0</v>
      </c>
    </row>
    <row r="44" spans="1:4" x14ac:dyDescent="0.25">
      <c r="A44" s="6" t="s">
        <v>956</v>
      </c>
      <c r="B44" s="7">
        <v>2</v>
      </c>
      <c r="C44" s="7"/>
      <c r="D44" t="s">
        <v>959</v>
      </c>
    </row>
    <row r="45" spans="1:4" x14ac:dyDescent="0.25">
      <c r="A45" s="6" t="s">
        <v>936</v>
      </c>
      <c r="B45" s="7">
        <v>2</v>
      </c>
      <c r="C45" s="7"/>
      <c r="D45" t="s">
        <v>944</v>
      </c>
    </row>
    <row r="46" spans="1:4" x14ac:dyDescent="0.25">
      <c r="A46" s="6" t="s">
        <v>940</v>
      </c>
      <c r="B46" s="7">
        <v>1</v>
      </c>
      <c r="C46" s="7"/>
      <c r="D46" s="10" t="s">
        <v>945</v>
      </c>
    </row>
    <row r="47" spans="1:4" x14ac:dyDescent="0.25">
      <c r="A47" s="6" t="s">
        <v>957</v>
      </c>
      <c r="B47" s="7" t="s">
        <v>949</v>
      </c>
      <c r="C47" s="7"/>
      <c r="D47" s="10" t="s">
        <v>946</v>
      </c>
    </row>
    <row r="48" spans="1:4" x14ac:dyDescent="0.25">
      <c r="A48" s="6" t="s">
        <v>958</v>
      </c>
      <c r="B48" s="7">
        <v>4</v>
      </c>
      <c r="C48" s="7"/>
      <c r="D48" t="s">
        <v>960</v>
      </c>
    </row>
    <row r="49" spans="1:4" x14ac:dyDescent="0.25">
      <c r="A49" s="6" t="s">
        <v>943</v>
      </c>
      <c r="B49" s="7">
        <v>1</v>
      </c>
      <c r="C49" s="7"/>
      <c r="D49" s="10" t="s">
        <v>948</v>
      </c>
    </row>
    <row r="50" spans="1:4" x14ac:dyDescent="0.25">
      <c r="A50" s="6" t="s">
        <v>950</v>
      </c>
      <c r="B50" s="7" t="s">
        <v>949</v>
      </c>
      <c r="C50" s="7"/>
      <c r="D50" s="10" t="s">
        <v>951</v>
      </c>
    </row>
  </sheetData>
  <mergeCells count="20">
    <mergeCell ref="A13:A14"/>
    <mergeCell ref="D11:D12"/>
    <mergeCell ref="D13:D14"/>
    <mergeCell ref="A6:A7"/>
    <mergeCell ref="D6:D7"/>
    <mergeCell ref="A9:A10"/>
    <mergeCell ref="D9:D10"/>
    <mergeCell ref="A11:A12"/>
    <mergeCell ref="A15:A16"/>
    <mergeCell ref="A17:A18"/>
    <mergeCell ref="D15:D16"/>
    <mergeCell ref="D17:D18"/>
    <mergeCell ref="D19:D20"/>
    <mergeCell ref="D23:D24"/>
    <mergeCell ref="A25:A26"/>
    <mergeCell ref="A23:A24"/>
    <mergeCell ref="A21:A22"/>
    <mergeCell ref="A19:A20"/>
    <mergeCell ref="D25:D26"/>
    <mergeCell ref="D21:D2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C8A02-D395-4CFF-89BC-5A97D720EFFC}">
  <dimension ref="A1:I51"/>
  <sheetViews>
    <sheetView workbookViewId="0">
      <selection activeCell="L30" sqref="L30"/>
    </sheetView>
  </sheetViews>
  <sheetFormatPr defaultRowHeight="15" x14ac:dyDescent="0.25"/>
  <cols>
    <col min="1" max="1" width="9" style="13" bestFit="1" customWidth="1"/>
    <col min="2" max="2" width="12.85546875" style="13" bestFit="1" customWidth="1"/>
    <col min="3" max="3" width="2.28515625" style="13" bestFit="1" customWidth="1"/>
    <col min="4" max="4" width="11" style="13" bestFit="1" customWidth="1"/>
    <col min="5" max="5" width="9.28515625" style="13" bestFit="1" customWidth="1"/>
    <col min="6" max="6" width="11.140625" style="13" bestFit="1" customWidth="1"/>
    <col min="8" max="9" width="9.140625" style="15"/>
  </cols>
  <sheetData>
    <row r="1" spans="1:9" x14ac:dyDescent="0.25">
      <c r="H1" s="14" t="s">
        <v>969</v>
      </c>
      <c r="I1" s="14" t="s">
        <v>981</v>
      </c>
    </row>
    <row r="2" spans="1:9" x14ac:dyDescent="0.25">
      <c r="A2" s="53" t="s">
        <v>934</v>
      </c>
      <c r="B2" s="53"/>
      <c r="C2" s="54"/>
      <c r="D2" s="16" t="s">
        <v>935</v>
      </c>
      <c r="E2" s="16" t="s">
        <v>936</v>
      </c>
      <c r="F2" s="16" t="s">
        <v>0</v>
      </c>
      <c r="H2" s="15">
        <v>64</v>
      </c>
      <c r="I2" s="15">
        <v>128</v>
      </c>
    </row>
    <row r="3" spans="1:9" x14ac:dyDescent="0.25">
      <c r="A3" s="52" t="s">
        <v>961</v>
      </c>
      <c r="B3" s="52"/>
      <c r="C3" s="17" t="s">
        <v>962</v>
      </c>
      <c r="D3" s="17">
        <v>2</v>
      </c>
      <c r="E3" s="17"/>
      <c r="F3" s="17"/>
      <c r="G3" s="18"/>
      <c r="H3" s="55" t="s">
        <v>970</v>
      </c>
      <c r="I3" s="55" t="s">
        <v>970</v>
      </c>
    </row>
    <row r="4" spans="1:9" x14ac:dyDescent="0.25">
      <c r="A4" s="52"/>
      <c r="B4" s="52"/>
      <c r="C4" s="19" t="s">
        <v>963</v>
      </c>
      <c r="D4" s="19">
        <v>2</v>
      </c>
      <c r="E4" s="19"/>
      <c r="F4" s="19"/>
      <c r="G4" s="20"/>
      <c r="H4" s="56"/>
      <c r="I4" s="56"/>
    </row>
    <row r="5" spans="1:9" x14ac:dyDescent="0.25">
      <c r="A5" s="52" t="s">
        <v>964</v>
      </c>
      <c r="B5" s="52"/>
      <c r="C5" s="17" t="s">
        <v>962</v>
      </c>
      <c r="D5" s="17">
        <v>2</v>
      </c>
      <c r="E5" s="17"/>
      <c r="F5" s="17"/>
      <c r="G5" s="18"/>
      <c r="H5" s="55" t="s">
        <v>970</v>
      </c>
      <c r="I5" s="55" t="s">
        <v>970</v>
      </c>
    </row>
    <row r="6" spans="1:9" x14ac:dyDescent="0.25">
      <c r="A6" s="52"/>
      <c r="B6" s="52"/>
      <c r="C6" s="19" t="s">
        <v>963</v>
      </c>
      <c r="D6" s="19">
        <v>2</v>
      </c>
      <c r="E6" s="19"/>
      <c r="F6" s="19"/>
      <c r="G6" s="20"/>
      <c r="H6" s="56"/>
      <c r="I6" s="56"/>
    </row>
    <row r="7" spans="1:9" ht="15" customHeight="1" x14ac:dyDescent="0.25">
      <c r="A7" s="52" t="s">
        <v>965</v>
      </c>
      <c r="B7" s="52"/>
      <c r="C7" s="17" t="s">
        <v>962</v>
      </c>
      <c r="D7" s="17">
        <v>2</v>
      </c>
      <c r="E7" s="17"/>
      <c r="F7" s="17"/>
      <c r="G7" s="18"/>
      <c r="H7" s="55" t="s">
        <v>970</v>
      </c>
      <c r="I7" s="55" t="s">
        <v>970</v>
      </c>
    </row>
    <row r="8" spans="1:9" x14ac:dyDescent="0.25">
      <c r="A8" s="52"/>
      <c r="B8" s="52"/>
      <c r="C8" s="19" t="s">
        <v>963</v>
      </c>
      <c r="D8" s="19">
        <v>2</v>
      </c>
      <c r="E8" s="19"/>
      <c r="F8" s="19"/>
      <c r="G8" s="20"/>
      <c r="H8" s="56"/>
      <c r="I8" s="56"/>
    </row>
    <row r="9" spans="1:9" ht="15" customHeight="1" x14ac:dyDescent="0.25">
      <c r="A9" s="52" t="s">
        <v>967</v>
      </c>
      <c r="B9" s="52"/>
      <c r="C9" s="17" t="s">
        <v>962</v>
      </c>
      <c r="D9" s="17">
        <v>2</v>
      </c>
      <c r="E9" s="17"/>
      <c r="F9" s="17"/>
      <c r="G9" s="18"/>
      <c r="H9" s="55" t="s">
        <v>970</v>
      </c>
      <c r="I9" s="55" t="s">
        <v>970</v>
      </c>
    </row>
    <row r="10" spans="1:9" x14ac:dyDescent="0.25">
      <c r="A10" s="52"/>
      <c r="B10" s="52"/>
      <c r="C10" s="19" t="s">
        <v>963</v>
      </c>
      <c r="D10" s="19">
        <v>2</v>
      </c>
      <c r="E10" s="19"/>
      <c r="F10" s="19"/>
      <c r="G10" s="20"/>
      <c r="H10" s="56"/>
      <c r="I10" s="56"/>
    </row>
    <row r="11" spans="1:9" x14ac:dyDescent="0.25">
      <c r="A11" s="52" t="s">
        <v>966</v>
      </c>
      <c r="B11" s="52"/>
      <c r="C11" s="17" t="s">
        <v>962</v>
      </c>
      <c r="D11" s="17">
        <v>2</v>
      </c>
      <c r="E11" s="17"/>
      <c r="F11" s="17"/>
      <c r="G11" s="18"/>
      <c r="H11" s="55" t="s">
        <v>970</v>
      </c>
      <c r="I11" s="55" t="s">
        <v>982</v>
      </c>
    </row>
    <row r="12" spans="1:9" x14ac:dyDescent="0.25">
      <c r="A12" s="52"/>
      <c r="B12" s="52"/>
      <c r="C12" s="19" t="s">
        <v>963</v>
      </c>
      <c r="D12" s="19">
        <v>2</v>
      </c>
      <c r="E12" s="19"/>
      <c r="F12" s="19"/>
      <c r="G12" s="20"/>
      <c r="H12" s="56"/>
      <c r="I12" s="56"/>
    </row>
    <row r="13" spans="1:9" ht="15" customHeight="1" x14ac:dyDescent="0.25">
      <c r="A13" s="52" t="s">
        <v>968</v>
      </c>
      <c r="B13" s="52"/>
      <c r="C13" s="17" t="s">
        <v>962</v>
      </c>
      <c r="D13" s="17">
        <v>2</v>
      </c>
      <c r="E13" s="17"/>
      <c r="F13" s="17"/>
      <c r="G13" s="18"/>
      <c r="H13" s="55" t="s">
        <v>970</v>
      </c>
      <c r="I13" s="55" t="s">
        <v>982</v>
      </c>
    </row>
    <row r="14" spans="1:9" x14ac:dyDescent="0.25">
      <c r="A14" s="52"/>
      <c r="B14" s="52"/>
      <c r="C14" s="19" t="s">
        <v>963</v>
      </c>
      <c r="D14" s="19">
        <v>2</v>
      </c>
      <c r="E14" s="19"/>
      <c r="F14" s="19"/>
      <c r="G14" s="20"/>
      <c r="H14" s="56"/>
      <c r="I14" s="56"/>
    </row>
    <row r="15" spans="1:9" ht="15" customHeight="1" x14ac:dyDescent="0.25">
      <c r="A15" s="52" t="s">
        <v>983</v>
      </c>
      <c r="B15" s="52"/>
      <c r="C15" s="52"/>
      <c r="D15" s="13">
        <v>4</v>
      </c>
      <c r="H15" s="15" t="s">
        <v>971</v>
      </c>
      <c r="I15" s="15" t="s">
        <v>970</v>
      </c>
    </row>
    <row r="16" spans="1:9" ht="15" customHeight="1" x14ac:dyDescent="0.25">
      <c r="A16" s="52" t="s">
        <v>972</v>
      </c>
      <c r="B16" s="52"/>
      <c r="C16" s="52"/>
      <c r="D16" s="13">
        <v>1</v>
      </c>
      <c r="H16" s="15" t="s">
        <v>970</v>
      </c>
      <c r="I16" s="15" t="s">
        <v>970</v>
      </c>
    </row>
    <row r="17" spans="1:9" ht="15" customHeight="1" x14ac:dyDescent="0.25">
      <c r="A17" s="52" t="s">
        <v>973</v>
      </c>
      <c r="B17" s="52"/>
      <c r="C17" s="52"/>
      <c r="D17" s="13">
        <v>1</v>
      </c>
      <c r="H17" s="15" t="s">
        <v>970</v>
      </c>
      <c r="I17" s="15" t="s">
        <v>970</v>
      </c>
    </row>
    <row r="18" spans="1:9" ht="15" customHeight="1" x14ac:dyDescent="0.25">
      <c r="A18" s="52" t="s">
        <v>974</v>
      </c>
      <c r="B18" s="52"/>
      <c r="C18" s="52"/>
      <c r="D18" s="13">
        <v>1</v>
      </c>
      <c r="H18" s="15" t="s">
        <v>970</v>
      </c>
      <c r="I18" s="15" t="s">
        <v>970</v>
      </c>
    </row>
    <row r="19" spans="1:9" ht="15" customHeight="1" x14ac:dyDescent="0.25">
      <c r="A19" s="52" t="s">
        <v>975</v>
      </c>
      <c r="B19" s="52"/>
      <c r="C19" s="52"/>
      <c r="D19" s="13">
        <v>1</v>
      </c>
      <c r="H19" s="15" t="s">
        <v>970</v>
      </c>
      <c r="I19" s="15" t="s">
        <v>971</v>
      </c>
    </row>
    <row r="20" spans="1:9" x14ac:dyDescent="0.25">
      <c r="A20" s="52" t="s">
        <v>976</v>
      </c>
      <c r="B20" s="52"/>
      <c r="C20" s="52"/>
      <c r="D20" s="13">
        <v>4</v>
      </c>
      <c r="H20" s="15" t="s">
        <v>970</v>
      </c>
      <c r="I20" s="15" t="s">
        <v>970</v>
      </c>
    </row>
    <row r="21" spans="1:9" ht="15" customHeight="1" x14ac:dyDescent="0.25">
      <c r="A21" s="52" t="s">
        <v>977</v>
      </c>
      <c r="B21" s="52"/>
      <c r="C21" s="52"/>
      <c r="D21" s="13">
        <v>2</v>
      </c>
      <c r="H21" s="15" t="s">
        <v>970</v>
      </c>
      <c r="I21" s="15" t="s">
        <v>970</v>
      </c>
    </row>
    <row r="22" spans="1:9" ht="15" customHeight="1" x14ac:dyDescent="0.25">
      <c r="A22" s="52" t="s">
        <v>978</v>
      </c>
      <c r="B22" s="52"/>
      <c r="C22" s="52"/>
      <c r="D22" s="13">
        <v>2</v>
      </c>
      <c r="H22" s="15" t="s">
        <v>970</v>
      </c>
      <c r="I22" s="15" t="s">
        <v>970</v>
      </c>
    </row>
    <row r="23" spans="1:9" ht="15" customHeight="1" x14ac:dyDescent="0.25">
      <c r="A23" s="52" t="s">
        <v>979</v>
      </c>
      <c r="B23" s="52"/>
      <c r="C23" s="52"/>
      <c r="D23" s="13">
        <v>1</v>
      </c>
      <c r="H23" s="15" t="s">
        <v>970</v>
      </c>
      <c r="I23" s="15" t="s">
        <v>970</v>
      </c>
    </row>
    <row r="24" spans="1:9" ht="15" customHeight="1" x14ac:dyDescent="0.25">
      <c r="A24" s="52" t="s">
        <v>980</v>
      </c>
      <c r="B24" s="52"/>
      <c r="C24" s="52"/>
      <c r="D24" s="13">
        <v>1</v>
      </c>
      <c r="H24" s="15" t="s">
        <v>970</v>
      </c>
      <c r="I24" s="15" t="s">
        <v>970</v>
      </c>
    </row>
    <row r="25" spans="1:9" x14ac:dyDescent="0.25">
      <c r="A25" s="52" t="s">
        <v>971</v>
      </c>
      <c r="B25" s="52"/>
      <c r="C25" s="52"/>
      <c r="D25" s="13">
        <v>2</v>
      </c>
      <c r="H25" s="15" t="s">
        <v>971</v>
      </c>
      <c r="I25" s="15" t="s">
        <v>971</v>
      </c>
    </row>
    <row r="26" spans="1:9" ht="15" customHeight="1" x14ac:dyDescent="0.25">
      <c r="A26" s="52" t="s">
        <v>984</v>
      </c>
      <c r="B26" s="52"/>
      <c r="C26" s="52"/>
      <c r="D26" s="13">
        <v>4</v>
      </c>
      <c r="H26" s="15" t="s">
        <v>971</v>
      </c>
      <c r="I26" s="15" t="s">
        <v>970</v>
      </c>
    </row>
    <row r="27" spans="1:9" ht="15" customHeight="1" x14ac:dyDescent="0.25">
      <c r="A27" s="52" t="s">
        <v>985</v>
      </c>
      <c r="B27" s="52"/>
      <c r="C27" s="52"/>
      <c r="D27" s="13">
        <v>1</v>
      </c>
      <c r="H27" s="15" t="s">
        <v>971</v>
      </c>
      <c r="I27" s="15" t="s">
        <v>970</v>
      </c>
    </row>
    <row r="28" spans="1:9" x14ac:dyDescent="0.25">
      <c r="A28" s="52" t="s">
        <v>971</v>
      </c>
      <c r="B28" s="52"/>
      <c r="C28" s="52"/>
      <c r="D28" s="13">
        <v>1</v>
      </c>
      <c r="H28" s="15" t="s">
        <v>971</v>
      </c>
      <c r="I28" s="15" t="s">
        <v>971</v>
      </c>
    </row>
    <row r="29" spans="1:9" x14ac:dyDescent="0.25">
      <c r="A29" s="52" t="s">
        <v>986</v>
      </c>
      <c r="B29" s="52"/>
      <c r="C29" s="52"/>
      <c r="D29" s="13">
        <v>1</v>
      </c>
      <c r="H29" s="15" t="s">
        <v>971</v>
      </c>
      <c r="I29" s="15" t="s">
        <v>970</v>
      </c>
    </row>
    <row r="30" spans="1:9" x14ac:dyDescent="0.25">
      <c r="A30" s="52" t="s">
        <v>987</v>
      </c>
      <c r="B30" s="52"/>
      <c r="C30" s="52"/>
      <c r="D30" s="13">
        <v>1</v>
      </c>
      <c r="H30" s="15" t="s">
        <v>971</v>
      </c>
      <c r="I30" s="15" t="s">
        <v>970</v>
      </c>
    </row>
    <row r="31" spans="1:9" x14ac:dyDescent="0.25">
      <c r="A31" s="52" t="s">
        <v>988</v>
      </c>
      <c r="B31" s="52" t="s">
        <v>966</v>
      </c>
      <c r="C31" s="13" t="s">
        <v>962</v>
      </c>
      <c r="D31" s="13">
        <v>2</v>
      </c>
      <c r="H31" s="15" t="s">
        <v>971</v>
      </c>
      <c r="I31" s="15" t="s">
        <v>970</v>
      </c>
    </row>
    <row r="32" spans="1:9" x14ac:dyDescent="0.25">
      <c r="A32" s="52"/>
      <c r="B32" s="52"/>
      <c r="C32" s="13" t="s">
        <v>963</v>
      </c>
      <c r="D32" s="13">
        <v>2</v>
      </c>
      <c r="H32" s="15" t="s">
        <v>971</v>
      </c>
      <c r="I32" s="15" t="s">
        <v>970</v>
      </c>
    </row>
    <row r="33" spans="1:9" x14ac:dyDescent="0.25">
      <c r="A33" s="52"/>
      <c r="B33" s="52" t="s">
        <v>968</v>
      </c>
      <c r="C33" s="13" t="s">
        <v>962</v>
      </c>
      <c r="D33" s="13">
        <v>2</v>
      </c>
      <c r="H33" s="15" t="s">
        <v>971</v>
      </c>
      <c r="I33" s="15" t="s">
        <v>970</v>
      </c>
    </row>
    <row r="34" spans="1:9" x14ac:dyDescent="0.25">
      <c r="A34" s="52"/>
      <c r="B34" s="52"/>
      <c r="C34" s="13" t="s">
        <v>963</v>
      </c>
      <c r="D34" s="13">
        <v>2</v>
      </c>
      <c r="H34" s="15" t="s">
        <v>971</v>
      </c>
      <c r="I34" s="15" t="s">
        <v>970</v>
      </c>
    </row>
    <row r="35" spans="1:9" x14ac:dyDescent="0.25">
      <c r="A35" s="52" t="s">
        <v>989</v>
      </c>
      <c r="B35" s="52" t="s">
        <v>966</v>
      </c>
      <c r="C35" s="13" t="s">
        <v>962</v>
      </c>
      <c r="D35" s="13">
        <v>2</v>
      </c>
      <c r="H35" s="15" t="s">
        <v>971</v>
      </c>
      <c r="I35" s="15" t="s">
        <v>970</v>
      </c>
    </row>
    <row r="36" spans="1:9" x14ac:dyDescent="0.25">
      <c r="A36" s="52"/>
      <c r="B36" s="52"/>
      <c r="C36" s="13" t="s">
        <v>963</v>
      </c>
      <c r="D36" s="13">
        <v>2</v>
      </c>
      <c r="H36" s="15" t="s">
        <v>971</v>
      </c>
      <c r="I36" s="15" t="s">
        <v>970</v>
      </c>
    </row>
    <row r="37" spans="1:9" x14ac:dyDescent="0.25">
      <c r="A37" s="52"/>
      <c r="B37" s="52" t="s">
        <v>968</v>
      </c>
      <c r="C37" s="13" t="s">
        <v>962</v>
      </c>
      <c r="D37" s="13">
        <v>2</v>
      </c>
      <c r="I37" s="15" t="s">
        <v>970</v>
      </c>
    </row>
    <row r="38" spans="1:9" x14ac:dyDescent="0.25">
      <c r="A38" s="52"/>
      <c r="B38" s="52"/>
      <c r="C38" s="13" t="s">
        <v>963</v>
      </c>
      <c r="D38" s="13">
        <v>2</v>
      </c>
      <c r="I38" s="15" t="s">
        <v>970</v>
      </c>
    </row>
    <row r="39" spans="1:9" x14ac:dyDescent="0.25">
      <c r="A39" s="52" t="s">
        <v>990</v>
      </c>
      <c r="B39" s="52" t="s">
        <v>966</v>
      </c>
      <c r="C39" s="13" t="s">
        <v>962</v>
      </c>
      <c r="D39" s="13">
        <v>2</v>
      </c>
      <c r="I39" s="15" t="s">
        <v>970</v>
      </c>
    </row>
    <row r="40" spans="1:9" x14ac:dyDescent="0.25">
      <c r="A40" s="52"/>
      <c r="B40" s="52"/>
      <c r="C40" s="13" t="s">
        <v>963</v>
      </c>
      <c r="D40" s="13">
        <v>2</v>
      </c>
      <c r="I40" s="15" t="s">
        <v>970</v>
      </c>
    </row>
    <row r="41" spans="1:9" x14ac:dyDescent="0.25">
      <c r="A41" s="52"/>
      <c r="B41" s="52" t="s">
        <v>968</v>
      </c>
      <c r="C41" s="13" t="s">
        <v>962</v>
      </c>
      <c r="D41" s="13">
        <v>2</v>
      </c>
      <c r="I41" s="15" t="s">
        <v>970</v>
      </c>
    </row>
    <row r="42" spans="1:9" x14ac:dyDescent="0.25">
      <c r="A42" s="52"/>
      <c r="B42" s="52"/>
      <c r="C42" s="13" t="s">
        <v>963</v>
      </c>
      <c r="D42" s="13">
        <v>2</v>
      </c>
      <c r="I42" s="15" t="s">
        <v>970</v>
      </c>
    </row>
    <row r="43" spans="1:9" x14ac:dyDescent="0.25">
      <c r="A43" s="52" t="s">
        <v>991</v>
      </c>
      <c r="B43" s="52" t="s">
        <v>966</v>
      </c>
      <c r="C43" s="13" t="s">
        <v>962</v>
      </c>
      <c r="D43" s="13">
        <v>2</v>
      </c>
      <c r="I43" s="15" t="s">
        <v>970</v>
      </c>
    </row>
    <row r="44" spans="1:9" x14ac:dyDescent="0.25">
      <c r="A44" s="52"/>
      <c r="B44" s="52"/>
      <c r="C44" s="13" t="s">
        <v>963</v>
      </c>
      <c r="D44" s="13">
        <v>2</v>
      </c>
      <c r="I44" s="15" t="s">
        <v>970</v>
      </c>
    </row>
    <row r="45" spans="1:9" x14ac:dyDescent="0.25">
      <c r="A45" s="52"/>
      <c r="B45" s="52" t="s">
        <v>968</v>
      </c>
      <c r="C45" s="13" t="s">
        <v>962</v>
      </c>
      <c r="D45" s="13">
        <v>2</v>
      </c>
      <c r="I45" s="15" t="s">
        <v>970</v>
      </c>
    </row>
    <row r="46" spans="1:9" x14ac:dyDescent="0.25">
      <c r="A46" s="52"/>
      <c r="B46" s="52"/>
      <c r="C46" s="13" t="s">
        <v>963</v>
      </c>
      <c r="D46" s="13">
        <v>2</v>
      </c>
      <c r="I46" s="15" t="s">
        <v>970</v>
      </c>
    </row>
    <row r="47" spans="1:9" x14ac:dyDescent="0.25">
      <c r="A47" s="52" t="s">
        <v>992</v>
      </c>
      <c r="B47" s="52" t="s">
        <v>966</v>
      </c>
      <c r="C47" s="13" t="s">
        <v>962</v>
      </c>
      <c r="D47" s="13">
        <v>2</v>
      </c>
      <c r="I47" s="15" t="s">
        <v>970</v>
      </c>
    </row>
    <row r="48" spans="1:9" x14ac:dyDescent="0.25">
      <c r="A48" s="52"/>
      <c r="B48" s="52"/>
      <c r="C48" s="13" t="s">
        <v>963</v>
      </c>
      <c r="D48" s="13">
        <v>2</v>
      </c>
      <c r="I48" s="15" t="s">
        <v>970</v>
      </c>
    </row>
    <row r="49" spans="1:9" x14ac:dyDescent="0.25">
      <c r="A49" s="52"/>
      <c r="B49" s="52" t="s">
        <v>968</v>
      </c>
      <c r="C49" s="13" t="s">
        <v>962</v>
      </c>
      <c r="D49" s="13">
        <v>2</v>
      </c>
      <c r="I49" s="15" t="s">
        <v>970</v>
      </c>
    </row>
    <row r="50" spans="1:9" x14ac:dyDescent="0.25">
      <c r="A50" s="52"/>
      <c r="B50" s="52"/>
      <c r="C50" s="13" t="s">
        <v>963</v>
      </c>
      <c r="D50" s="13">
        <v>2</v>
      </c>
      <c r="I50" s="15" t="s">
        <v>970</v>
      </c>
    </row>
    <row r="51" spans="1:9" x14ac:dyDescent="0.25">
      <c r="A51" s="52" t="s">
        <v>971</v>
      </c>
      <c r="B51" s="52"/>
      <c r="C51" s="52"/>
      <c r="D51" s="13">
        <v>36</v>
      </c>
      <c r="I51" s="15" t="s">
        <v>971</v>
      </c>
    </row>
  </sheetData>
  <mergeCells count="51">
    <mergeCell ref="H3:H4"/>
    <mergeCell ref="H5:H6"/>
    <mergeCell ref="H7:H8"/>
    <mergeCell ref="I13:I14"/>
    <mergeCell ref="A13:B14"/>
    <mergeCell ref="H13:H14"/>
    <mergeCell ref="H9:H10"/>
    <mergeCell ref="H11:H12"/>
    <mergeCell ref="A11:B12"/>
    <mergeCell ref="I7:I8"/>
    <mergeCell ref="I9:I10"/>
    <mergeCell ref="I11:I12"/>
    <mergeCell ref="I3:I4"/>
    <mergeCell ref="I5:I6"/>
    <mergeCell ref="A2:C2"/>
    <mergeCell ref="A3:B4"/>
    <mergeCell ref="A5:B6"/>
    <mergeCell ref="A7:B8"/>
    <mergeCell ref="A9:B10"/>
    <mergeCell ref="A20:C20"/>
    <mergeCell ref="A21:C21"/>
    <mergeCell ref="A22:C22"/>
    <mergeCell ref="A31:A34"/>
    <mergeCell ref="B31:B32"/>
    <mergeCell ref="B33:B34"/>
    <mergeCell ref="A23:C23"/>
    <mergeCell ref="A24:C24"/>
    <mergeCell ref="A25:C25"/>
    <mergeCell ref="A26:C26"/>
    <mergeCell ref="A27:C27"/>
    <mergeCell ref="A28:C28"/>
    <mergeCell ref="A30:C30"/>
    <mergeCell ref="A15:C15"/>
    <mergeCell ref="A16:C16"/>
    <mergeCell ref="A17:C17"/>
    <mergeCell ref="A18:C18"/>
    <mergeCell ref="A19:C19"/>
    <mergeCell ref="A35:A38"/>
    <mergeCell ref="B35:B36"/>
    <mergeCell ref="B37:B38"/>
    <mergeCell ref="A29:C29"/>
    <mergeCell ref="A47:A50"/>
    <mergeCell ref="B47:B48"/>
    <mergeCell ref="B49:B50"/>
    <mergeCell ref="A51:C51"/>
    <mergeCell ref="A39:A42"/>
    <mergeCell ref="B39:B40"/>
    <mergeCell ref="B41:B42"/>
    <mergeCell ref="A43:A46"/>
    <mergeCell ref="B43:B44"/>
    <mergeCell ref="B45:B4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Camera Database</vt:lpstr>
      <vt:lpstr>OperationCode</vt:lpstr>
      <vt:lpstr>ResponseCode</vt:lpstr>
      <vt:lpstr>EventCode</vt:lpstr>
      <vt:lpstr>DevicePropCode</vt:lpstr>
      <vt:lpstr>ObjectPropCode</vt:lpstr>
      <vt:lpstr>DataSet</vt:lpstr>
      <vt:lpstr>LiveViewDataSet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Alias</dc:creator>
  <cp:lastModifiedBy>Lucas Alias</cp:lastModifiedBy>
  <dcterms:created xsi:type="dcterms:W3CDTF">2015-06-05T18:17:20Z</dcterms:created>
  <dcterms:modified xsi:type="dcterms:W3CDTF">2025-11-16T10:12:55Z</dcterms:modified>
</cp:coreProperties>
</file>