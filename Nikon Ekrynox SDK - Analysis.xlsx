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ikon\Nikon Ekrynox SDK for NINA\"/>
    </mc:Choice>
  </mc:AlternateContent>
  <xr:revisionPtr revIDLastSave="0" documentId="8_{9EBFD980-70AE-4586-AA2C-98AA552CF613}" xr6:coauthVersionLast="47" xr6:coauthVersionMax="47" xr10:uidLastSave="{00000000-0000-0000-0000-000000000000}"/>
  <bookViews>
    <workbookView xWindow="28680" yWindow="-120" windowWidth="29040" windowHeight="16440" firstSheet="1" activeTab="3" xr2:uid="{130C75EF-6D07-4558-8513-100E31A4C423}"/>
  </bookViews>
  <sheets>
    <sheet name="Camera (NINA)" sheetId="15" r:id="rId1"/>
    <sheet name="Cameras (MTP)" sheetId="1" r:id="rId2"/>
    <sheet name="Enums" sheetId="16" r:id="rId3"/>
    <sheet name="OperationCode" sheetId="2" r:id="rId4"/>
    <sheet name="ResponseCode" sheetId="10" r:id="rId5"/>
    <sheet name="EventCode" sheetId="11" r:id="rId6"/>
    <sheet name="DevicePropCode" sheetId="12" r:id="rId7"/>
    <sheet name="ObjectPropCode" sheetId="13" r:id="rId8"/>
    <sheet name="SBAttributeCode" sheetId="14" r:id="rId9"/>
    <sheet name="Struct" sheetId="17" r:id="rId10"/>
    <sheet name="DataSet" sheetId="19" r:id="rId11"/>
    <sheet name="LiveViewDataSet" sheetId="20" r:id="rId1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60" i="15" l="1" a="1"/>
  <c r="AR60" i="15" s="1"/>
  <c r="AQ60" i="15" s="1"/>
  <c r="AR59" i="15" a="1"/>
  <c r="AR59" i="15" s="1"/>
  <c r="AQ59" i="15" s="1"/>
  <c r="AR58" i="15" a="1"/>
  <c r="AR58" i="15" s="1"/>
  <c r="AQ58" i="15" s="1"/>
  <c r="AR57" i="15" a="1"/>
  <c r="AR57" i="15" s="1"/>
  <c r="AQ57" i="15" s="1"/>
  <c r="AR56" i="15" a="1"/>
  <c r="AR56" i="15" s="1"/>
  <c r="AQ56" i="15" s="1"/>
  <c r="AR55" i="15" a="1"/>
  <c r="AR55" i="15" s="1"/>
  <c r="AQ55" i="15" s="1"/>
  <c r="AR54" i="15" a="1"/>
  <c r="AR54" i="15" s="1"/>
  <c r="AQ54" i="15" s="1"/>
  <c r="AR53" i="15"/>
  <c r="AQ53" i="15" s="1"/>
  <c r="AR53" i="15" a="1"/>
  <c r="AR52" i="15" a="1"/>
  <c r="AR52" i="15" s="1"/>
  <c r="AQ52" i="15" s="1"/>
  <c r="AR51" i="15" a="1"/>
  <c r="AR51" i="15" s="1"/>
  <c r="AQ51" i="15" s="1"/>
  <c r="AR50" i="15" a="1"/>
  <c r="AR50" i="15" s="1"/>
  <c r="AQ50" i="15" s="1"/>
  <c r="AR49" i="15"/>
  <c r="AR49" i="15" a="1"/>
  <c r="AQ49" i="15"/>
  <c r="AR48" i="15" a="1"/>
  <c r="AR48" i="15" s="1"/>
  <c r="AQ48" i="15" s="1"/>
  <c r="AR47" i="15"/>
  <c r="AQ47" i="15" s="1"/>
  <c r="AR47" i="15" a="1"/>
  <c r="AR46" i="15" a="1"/>
  <c r="AR46" i="15" s="1"/>
  <c r="AQ46" i="15" s="1"/>
  <c r="AR45" i="15"/>
  <c r="AQ45" i="15" s="1"/>
  <c r="AR45" i="15" a="1"/>
  <c r="AR44" i="15" a="1"/>
  <c r="AR44" i="15" s="1"/>
  <c r="AQ44" i="15" s="1"/>
  <c r="AR43" i="15" a="1"/>
  <c r="AR43" i="15" s="1"/>
  <c r="AQ43" i="15" s="1"/>
  <c r="AR42" i="15" a="1"/>
  <c r="AR42" i="15" s="1"/>
  <c r="AQ42" i="15" s="1"/>
  <c r="AR41" i="15" a="1"/>
  <c r="AR41" i="15" s="1"/>
  <c r="AQ41" i="15" s="1"/>
  <c r="AR40" i="15" a="1"/>
  <c r="AR40" i="15" s="1"/>
  <c r="AQ40" i="15" s="1"/>
  <c r="AR39" i="15"/>
  <c r="AR39" i="15" a="1"/>
  <c r="AQ39" i="15"/>
  <c r="AR38" i="15" a="1"/>
  <c r="AR38" i="15" s="1"/>
  <c r="AQ38" i="15" s="1"/>
  <c r="AR37" i="15"/>
  <c r="AR37" i="15" a="1"/>
  <c r="AQ37" i="15"/>
  <c r="AR36" i="15" a="1"/>
  <c r="AR36" i="15" s="1"/>
  <c r="AQ36" i="15" s="1"/>
  <c r="AQ35" i="15"/>
  <c r="AQ34" i="15"/>
  <c r="AQ33" i="15"/>
  <c r="AQ32" i="15"/>
  <c r="AQ31" i="15"/>
  <c r="AQ30" i="15"/>
  <c r="AR29" i="15" a="1"/>
  <c r="AR29" i="15" s="1"/>
  <c r="AQ29" i="15" s="1"/>
  <c r="AR28" i="15" a="1"/>
  <c r="AR28" i="15" s="1"/>
  <c r="AQ28" i="15" s="1"/>
  <c r="AR27" i="15"/>
  <c r="AQ27" i="15" s="1"/>
  <c r="AR27" i="15" a="1"/>
  <c r="AR26" i="15" a="1"/>
  <c r="AR26" i="15" s="1"/>
  <c r="AQ26" i="15" s="1"/>
  <c r="AR25" i="15"/>
  <c r="AQ25" i="15" s="1"/>
  <c r="AR25" i="15" a="1"/>
  <c r="AR24" i="15" a="1"/>
  <c r="AR24" i="15" s="1"/>
  <c r="AQ24" i="15" s="1"/>
  <c r="AR23" i="15" a="1"/>
  <c r="AR23" i="15" s="1"/>
  <c r="AQ23" i="15" s="1"/>
  <c r="AR22" i="15" a="1"/>
  <c r="AR22" i="15" s="1"/>
  <c r="AQ22" i="15" s="1"/>
  <c r="AR21" i="15" a="1"/>
  <c r="AR21" i="15" s="1"/>
  <c r="AQ21" i="15" s="1"/>
  <c r="AR20" i="15" a="1"/>
  <c r="AR20" i="15" s="1"/>
  <c r="AQ20" i="15" s="1"/>
  <c r="AR19" i="15"/>
  <c r="AR19" i="15" a="1"/>
  <c r="AQ19" i="15"/>
  <c r="AR18" i="15" a="1"/>
  <c r="AR18" i="15" s="1"/>
  <c r="AQ18" i="15" s="1"/>
  <c r="AR17" i="15"/>
  <c r="AR17" i="15" a="1"/>
  <c r="AQ17" i="15"/>
  <c r="AR16" i="15" a="1"/>
  <c r="AR16" i="15" s="1"/>
  <c r="AQ16" i="15" s="1"/>
  <c r="AR15" i="15" a="1"/>
  <c r="AR15" i="15" s="1"/>
  <c r="AQ15" i="15" s="1"/>
  <c r="AR14" i="15" a="1"/>
  <c r="AR14" i="15" s="1"/>
  <c r="AQ14" i="15" s="1"/>
  <c r="AR13" i="15" a="1"/>
  <c r="AR13" i="15" s="1"/>
  <c r="AQ13" i="15" s="1"/>
  <c r="AR12" i="15" a="1"/>
  <c r="AR12" i="15" s="1"/>
  <c r="AQ12" i="15" s="1"/>
  <c r="AR11" i="15"/>
  <c r="AQ11" i="15" s="1"/>
  <c r="AR11" i="15" a="1"/>
  <c r="AR10" i="15" a="1"/>
  <c r="AR10" i="15" s="1"/>
  <c r="AQ10" i="15" s="1"/>
  <c r="AR9" i="15"/>
  <c r="AQ9" i="15" s="1"/>
  <c r="AR9" i="15" a="1"/>
  <c r="AR8" i="15" a="1"/>
  <c r="AR8" i="15" s="1"/>
  <c r="AQ8" i="15" s="1"/>
  <c r="AR7" i="15" a="1"/>
  <c r="AR7" i="15" s="1"/>
  <c r="AQ7" i="15" s="1"/>
  <c r="AR6" i="15" a="1"/>
  <c r="AR6" i="15" s="1"/>
  <c r="AQ6" i="15" s="1"/>
  <c r="AR5" i="15" a="1"/>
  <c r="AR5" i="15" s="1"/>
  <c r="AQ5" i="15" s="1"/>
  <c r="AR4" i="15" a="1"/>
  <c r="AR4" i="15" s="1"/>
  <c r="AQ4" i="15" s="1"/>
  <c r="X2" i="14" a="1"/>
  <c r="X2" i="14" s="1"/>
  <c r="D2" i="14" a="1"/>
  <c r="D2" i="14" s="1"/>
  <c r="X1" i="14" a="1"/>
  <c r="D1" i="14" a="1"/>
  <c r="D1" i="14" s="1"/>
  <c r="X2" i="13" a="1"/>
  <c r="X2" i="13" s="1"/>
  <c r="D2" i="13" a="1"/>
  <c r="D2" i="13" s="1"/>
  <c r="X1" i="13" a="1"/>
  <c r="D1" i="13" a="1"/>
  <c r="D1" i="13" s="1"/>
  <c r="X2" i="12" a="1"/>
  <c r="X2" i="12" s="1"/>
  <c r="D2" i="12" a="1"/>
  <c r="D2" i="12" s="1"/>
  <c r="X1" i="12" a="1"/>
  <c r="X1" i="12" s="1"/>
  <c r="D1" i="12" a="1"/>
  <c r="D1" i="12" s="1"/>
  <c r="X2" i="11" a="1"/>
  <c r="X2" i="11" s="1"/>
  <c r="D2" i="11" a="1"/>
  <c r="D2" i="11" s="1"/>
  <c r="X1" i="11" a="1"/>
  <c r="D1" i="11" a="1"/>
  <c r="X2" i="10" a="1"/>
  <c r="X2" i="10" s="1"/>
  <c r="D2" i="10" a="1"/>
  <c r="D2" i="10" s="1"/>
  <c r="X1" i="10" a="1"/>
  <c r="D1" i="10" a="1"/>
  <c r="X2" i="2" a="1"/>
  <c r="X2" i="2" s="1"/>
  <c r="X1" i="2" a="1"/>
  <c r="X1" i="2" s="1"/>
  <c r="D1" i="2" a="1"/>
  <c r="D1" i="2" s="1"/>
  <c r="D2" i="2" a="1"/>
  <c r="D2" i="2" s="1"/>
  <c r="T3" i="2" a="1"/>
  <c r="T3" i="12" a="1"/>
  <c r="AQ1" i="15" l="1"/>
  <c r="X1" i="14"/>
  <c r="X1" i="13"/>
  <c r="T3" i="2"/>
  <c r="T3" i="12"/>
  <c r="D1" i="11"/>
  <c r="X1" i="11"/>
  <c r="X1" i="10"/>
  <c r="D1" i="10"/>
  <c r="A3" i="2" a="1"/>
  <c r="T3" i="10" a="1"/>
  <c r="T3" i="11" a="1"/>
  <c r="T3" i="14" a="1"/>
  <c r="T3" i="13" a="1"/>
  <c r="A3" i="2" l="1"/>
  <c r="A2" i="16" s="1" a="1"/>
  <c r="A2" i="16" s="1"/>
  <c r="T3" i="11"/>
  <c r="T3" i="10"/>
  <c r="T3" i="14"/>
  <c r="A3" i="14" a="1"/>
  <c r="A3" i="14" s="1"/>
  <c r="T3" i="13"/>
  <c r="A3" i="13" a="1"/>
  <c r="A3" i="12" a="1"/>
  <c r="A3" i="11" a="1"/>
  <c r="A3" i="10" a="1"/>
  <c r="D3" i="2" a="1"/>
  <c r="D3" i="2" s="1"/>
  <c r="A3" i="13" l="1"/>
  <c r="E2" i="16" a="1"/>
  <c r="E2" i="16" s="1"/>
  <c r="A3" i="12"/>
  <c r="D2" i="16" a="1"/>
  <c r="D2" i="16" s="1"/>
  <c r="A3" i="11"/>
  <c r="C2" i="16" a="1"/>
  <c r="C2" i="16" s="1"/>
  <c r="A3" i="10"/>
  <c r="B2" i="16" s="1" a="1"/>
  <c r="B2" i="16" s="1"/>
  <c r="D3" i="14" a="1"/>
  <c r="D3" i="14" s="1"/>
  <c r="D3" i="13" a="1"/>
  <c r="D3" i="13" s="1"/>
  <c r="D3" i="12" a="1"/>
  <c r="D3" i="12" s="1"/>
  <c r="D3" i="11" a="1"/>
  <c r="D3" i="11" s="1"/>
  <c r="D3" i="10" a="1"/>
  <c r="D3" i="10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<sst xmlns="http://schemas.openxmlformats.org/spreadsheetml/2006/main" count="13492" uniqueCount="1856">
  <si>
    <t>Z8</t>
  </si>
  <si>
    <t>2.00</t>
  </si>
  <si>
    <t>Camera</t>
  </si>
  <si>
    <t>OperationCode</t>
  </si>
  <si>
    <t>Description</t>
  </si>
  <si>
    <t>0x1001</t>
  </si>
  <si>
    <t>GetDeviceInfo</t>
  </si>
  <si>
    <t>0x1002</t>
  </si>
  <si>
    <t>OpenSession</t>
  </si>
  <si>
    <t>0x1003</t>
  </si>
  <si>
    <t>CloseSession</t>
  </si>
  <si>
    <t>0x1004</t>
  </si>
  <si>
    <t>GetStorageIDs</t>
  </si>
  <si>
    <t>0x1005</t>
  </si>
  <si>
    <t>GetStorageInfo</t>
  </si>
  <si>
    <t>0x1006</t>
  </si>
  <si>
    <t>GetNumObjects</t>
  </si>
  <si>
    <t>0x1007</t>
  </si>
  <si>
    <t>GetObjectHandles</t>
  </si>
  <si>
    <t>0x1008</t>
  </si>
  <si>
    <t>GetObjectInfo</t>
  </si>
  <si>
    <t>0x1009</t>
  </si>
  <si>
    <t>GetObject</t>
  </si>
  <si>
    <t>0x100A</t>
  </si>
  <si>
    <t>GetThumb</t>
  </si>
  <si>
    <t>0x100B</t>
  </si>
  <si>
    <t>DeleteObject</t>
  </si>
  <si>
    <t>0x100C</t>
  </si>
  <si>
    <t>SendObjectInfo</t>
  </si>
  <si>
    <t>0x100D</t>
  </si>
  <si>
    <t>SendObject</t>
  </si>
  <si>
    <t>0x100E</t>
  </si>
  <si>
    <t>InitiateCapture</t>
  </si>
  <si>
    <t>0x100F</t>
  </si>
  <si>
    <t>FormatStore</t>
  </si>
  <si>
    <t>0x1014</t>
  </si>
  <si>
    <t>GetDevicePropDesc</t>
  </si>
  <si>
    <t>0x1015</t>
  </si>
  <si>
    <t>GetDevicePropValue</t>
  </si>
  <si>
    <t>0x1016</t>
  </si>
  <si>
    <t>SetDevicePropValue</t>
  </si>
  <si>
    <t>0x101B</t>
  </si>
  <si>
    <t>GetPartialObject</t>
  </si>
  <si>
    <t>0x90C0</t>
  </si>
  <si>
    <t>InitiateCaptureRecInSdram</t>
  </si>
  <si>
    <t>0x90C1</t>
  </si>
  <si>
    <t>AfDrive</t>
  </si>
  <si>
    <t>0x90C2</t>
  </si>
  <si>
    <t>ChangeCameraMode</t>
  </si>
  <si>
    <t>0x90C3</t>
  </si>
  <si>
    <t>DeleteImagesInSdram</t>
  </si>
  <si>
    <t>0x90C4</t>
  </si>
  <si>
    <t>GetLargeThumb</t>
  </si>
  <si>
    <t>0x90C7</t>
  </si>
  <si>
    <t>GetEvent</t>
  </si>
  <si>
    <t>0x90C8</t>
  </si>
  <si>
    <t>DeviceReady</t>
  </si>
  <si>
    <t>0x90C9</t>
  </si>
  <si>
    <t>SetPreWbData</t>
  </si>
  <si>
    <t>0x90CB</t>
  </si>
  <si>
    <t>AfAndCaptureRecInSdram</t>
  </si>
  <si>
    <t>0x90CC</t>
  </si>
  <si>
    <t>GetPicCtrlData</t>
  </si>
  <si>
    <t>0x90CD</t>
  </si>
  <si>
    <t>SetPicCtrlData</t>
  </si>
  <si>
    <t>0x90CE</t>
  </si>
  <si>
    <t>DeleteCustomPicCtrl</t>
  </si>
  <si>
    <t>0x90CF</t>
  </si>
  <si>
    <t>GetPicCtrlCapability</t>
  </si>
  <si>
    <t>0x9201</t>
  </si>
  <si>
    <t>StartLiveView</t>
  </si>
  <si>
    <t>0x9202</t>
  </si>
  <si>
    <t>EndLiveView</t>
  </si>
  <si>
    <t>0x9203</t>
  </si>
  <si>
    <t>GetLiveViewImage</t>
  </si>
  <si>
    <t>0x9204</t>
  </si>
  <si>
    <t>MfDrive</t>
  </si>
  <si>
    <t>0x9205</t>
  </si>
  <si>
    <t>ChangeAfArea</t>
  </si>
  <si>
    <t>0x9206</t>
  </si>
  <si>
    <t>AfDriveCancel</t>
  </si>
  <si>
    <t>0x9207</t>
  </si>
  <si>
    <t>InitiateCaptureRecInMedia</t>
  </si>
  <si>
    <t>0x9209</t>
  </si>
  <si>
    <t>GetVendorStorageIDs</t>
  </si>
  <si>
    <t>0x920A</t>
  </si>
  <si>
    <t>StartMovieRecord</t>
  </si>
  <si>
    <t>0x920B</t>
  </si>
  <si>
    <t>EndMovieRecord</t>
  </si>
  <si>
    <t>0x920C</t>
  </si>
  <si>
    <t>TerminateCapture</t>
  </si>
  <si>
    <t>0x920F</t>
  </si>
  <si>
    <t>GetFhdPicture</t>
  </si>
  <si>
    <t>0x9400</t>
  </si>
  <si>
    <t>GetPartialObjectHighSpeed</t>
  </si>
  <si>
    <t>0x9401</t>
  </si>
  <si>
    <t>GetIPTCInfo</t>
  </si>
  <si>
    <t>0x9402</t>
  </si>
  <si>
    <t>StartSpotWb</t>
  </si>
  <si>
    <t>0x9403</t>
  </si>
  <si>
    <t>EndSpotWb</t>
  </si>
  <si>
    <t>0x9404</t>
  </si>
  <si>
    <t>ChangeSpotWbArea</t>
  </si>
  <si>
    <t>0x9405</t>
  </si>
  <si>
    <t>MeasureSpotWb</t>
  </si>
  <si>
    <t>0x9406</t>
  </si>
  <si>
    <t>EndSpotWbResultDisp</t>
  </si>
  <si>
    <t>0x940C</t>
  </si>
  <si>
    <t>CancelImagesInSdram</t>
  </si>
  <si>
    <t>0x9412</t>
  </si>
  <si>
    <t>GetIPTCPresetInfo</t>
  </si>
  <si>
    <t>0x9413</t>
  </si>
  <si>
    <t>SetIPTCPresetInfo</t>
  </si>
  <si>
    <t>0x9414</t>
  </si>
  <si>
    <t>GetSBHandles</t>
  </si>
  <si>
    <t>0x9415</t>
  </si>
  <si>
    <t>GetSBAttrDesc</t>
  </si>
  <si>
    <t>0x9416</t>
  </si>
  <si>
    <t>GetSBAttrValue</t>
  </si>
  <si>
    <t>0x9417</t>
  </si>
  <si>
    <t>SetSBAttrValue</t>
  </si>
  <si>
    <t>0x9418</t>
  </si>
  <si>
    <t>GetSBGroupAttrDesc</t>
  </si>
  <si>
    <t>0x9419</t>
  </si>
  <si>
    <t>GetSBGroupAttrValue</t>
  </si>
  <si>
    <t>0x941A</t>
  </si>
  <si>
    <t>SetSBGroupAttrValue</t>
  </si>
  <si>
    <t>0x941B</t>
  </si>
  <si>
    <t>TestFlash</t>
  </si>
  <si>
    <t>0x941C</t>
  </si>
  <si>
    <t>GetEventEx</t>
  </si>
  <si>
    <t>0x9420</t>
  </si>
  <si>
    <t>SaveCameraSetting</t>
  </si>
  <si>
    <t>0x9421</t>
  </si>
  <si>
    <t>GetObjectSize</t>
  </si>
  <si>
    <t>0x9422</t>
  </si>
  <si>
    <t>ChangeMonitorOff</t>
  </si>
  <si>
    <t>0x9423</t>
  </si>
  <si>
    <t>GetLiveViewCompressedSize</t>
  </si>
  <si>
    <t>0x9424</t>
  </si>
  <si>
    <t>StartTracking</t>
  </si>
  <si>
    <t>0x9425</t>
  </si>
  <si>
    <t>EndTracking</t>
  </si>
  <si>
    <t>0x9426</t>
  </si>
  <si>
    <t>ChangeAELock</t>
  </si>
  <si>
    <t>0x9428</t>
  </si>
  <si>
    <t>GetLiveViewImageEx</t>
  </si>
  <si>
    <t>0x942E</t>
  </si>
  <si>
    <t>GetHLGQualityData</t>
  </si>
  <si>
    <t>0x942F</t>
  </si>
  <si>
    <t>SetHLGQualityData</t>
  </si>
  <si>
    <t>0x9431</t>
  </si>
  <si>
    <t>GetPartialObjectEx</t>
  </si>
  <si>
    <t>0x9433</t>
  </si>
  <si>
    <t>InitiatePixelMapping</t>
  </si>
  <si>
    <t>0x9434</t>
  </si>
  <si>
    <t>GetObjectsMetaData</t>
  </si>
  <si>
    <t>0x9435</t>
  </si>
  <si>
    <t>ChangeApplicationMode</t>
  </si>
  <si>
    <t>0x9436</t>
  </si>
  <si>
    <t>ResetMenu</t>
  </si>
  <si>
    <t>0x9439</t>
  </si>
  <si>
    <t>GetVendorCodes</t>
  </si>
  <si>
    <t>0x943A</t>
  </si>
  <si>
    <t>GetDevicePropDescEx</t>
  </si>
  <si>
    <t>0x943B</t>
  </si>
  <si>
    <t>GetDevicePropValueEx</t>
  </si>
  <si>
    <t>0x943C</t>
  </si>
  <si>
    <t>SetDevicePropValueEx</t>
  </si>
  <si>
    <t>0x943D</t>
  </si>
  <si>
    <t>RegisterDevicePropGroup</t>
  </si>
  <si>
    <t>0x943E</t>
  </si>
  <si>
    <t>GetDevicePropDescList</t>
  </si>
  <si>
    <t>0x943F</t>
  </si>
  <si>
    <t>GetDevicePropValueList</t>
  </si>
  <si>
    <t>0x9440</t>
  </si>
  <si>
    <t>OperationDataNone</t>
  </si>
  <si>
    <t>0x9441</t>
  </si>
  <si>
    <t>OperationReceiveData</t>
  </si>
  <si>
    <t>0x9442</t>
  </si>
  <si>
    <t>OperationSendData</t>
  </si>
  <si>
    <t>0x9443</t>
  </si>
  <si>
    <t>GetPicCtrlDataList</t>
  </si>
  <si>
    <t>0x9444</t>
  </si>
  <si>
    <t>GetPicCtrlCapabilityList</t>
  </si>
  <si>
    <t>0x9445</t>
  </si>
  <si>
    <t>InitiateOpenCaptureV</t>
  </si>
  <si>
    <t>0x9446</t>
  </si>
  <si>
    <t>TerminateOpenCaptureV</t>
  </si>
  <si>
    <t>0x9447</t>
  </si>
  <si>
    <t>GetOpenCaptureInfo</t>
  </si>
  <si>
    <t>0x944C</t>
  </si>
  <si>
    <t>GetCommandFeature</t>
  </si>
  <si>
    <t>0x944D</t>
  </si>
  <si>
    <t>GetPicCtrlHlgDataList</t>
  </si>
  <si>
    <t>0x944E</t>
  </si>
  <si>
    <t>SetPicCtrlHlgData</t>
  </si>
  <si>
    <t>0x944F</t>
  </si>
  <si>
    <t>GetPicCtrlHlgCapabilityList</t>
  </si>
  <si>
    <t>0x9453</t>
  </si>
  <si>
    <t>SetPortraitImpressionBalanceData</t>
  </si>
  <si>
    <t>0x9454</t>
  </si>
  <si>
    <t>GetPortraitImpressionBalanceDataList</t>
  </si>
  <si>
    <t>0x9461</t>
  </si>
  <si>
    <t>ClearEvent</t>
  </si>
  <si>
    <t>0x9463</t>
  </si>
  <si>
    <t>SetFlickerReductionShutterSpeed</t>
  </si>
  <si>
    <t>0x9464</t>
  </si>
  <si>
    <t>PowerZoomDrive</t>
  </si>
  <si>
    <t>0x946D</t>
  </si>
  <si>
    <t>GetCameraSettingData</t>
  </si>
  <si>
    <t>0x946E</t>
  </si>
  <si>
    <t>SendCameraSettingData</t>
  </si>
  <si>
    <t>0x9470</t>
  </si>
  <si>
    <t>GetManualSettingLensData2</t>
  </si>
  <si>
    <t>0x9801</t>
  </si>
  <si>
    <t>GetObjectPropsSupported</t>
  </si>
  <si>
    <t>0x9802</t>
  </si>
  <si>
    <t>GetObjectPropDesc</t>
  </si>
  <si>
    <t>0x9803</t>
  </si>
  <si>
    <t>GetObjectPropValue</t>
  </si>
  <si>
    <t>0x9805</t>
  </si>
  <si>
    <t>GetObjectPropList</t>
  </si>
  <si>
    <t>ResponseCode</t>
  </si>
  <si>
    <t>0x2001</t>
  </si>
  <si>
    <t>OK</t>
  </si>
  <si>
    <t>0x2002</t>
  </si>
  <si>
    <t>General_Error</t>
  </si>
  <si>
    <t>0x2003</t>
  </si>
  <si>
    <t>Session_Not_Open</t>
  </si>
  <si>
    <t>0x2004</t>
  </si>
  <si>
    <t>Invalid_TransactionID</t>
  </si>
  <si>
    <t>0x2005</t>
  </si>
  <si>
    <t>Operation_Not_Supported</t>
  </si>
  <si>
    <t>0x2006</t>
  </si>
  <si>
    <t>Parameter_Not_Supported</t>
  </si>
  <si>
    <t>0x2007</t>
  </si>
  <si>
    <t>Incomplete_Transfer</t>
  </si>
  <si>
    <t>0x2008</t>
  </si>
  <si>
    <t>Invalid_StorageID</t>
  </si>
  <si>
    <t>0x2009</t>
  </si>
  <si>
    <t>Invalid_Object_Handle</t>
  </si>
  <si>
    <t>0x200A</t>
  </si>
  <si>
    <t>DeviceProp_Not_Supported</t>
  </si>
  <si>
    <t>0x200B</t>
  </si>
  <si>
    <t>Invalid_ObjectFormatCode</t>
  </si>
  <si>
    <t>0x200C</t>
  </si>
  <si>
    <t>Store_Full</t>
  </si>
  <si>
    <t>0x200D</t>
  </si>
  <si>
    <t>Object_Write_Protect</t>
  </si>
  <si>
    <t>0x200E</t>
  </si>
  <si>
    <t>Store_Read_Only</t>
  </si>
  <si>
    <t>0x200F</t>
  </si>
  <si>
    <t>Access_Denied</t>
  </si>
  <si>
    <t>0x2010</t>
  </si>
  <si>
    <t>No_Thumbnail_Present</t>
  </si>
  <si>
    <t>0x2012</t>
  </si>
  <si>
    <t>Partial_Deletion</t>
  </si>
  <si>
    <t>0x2013</t>
  </si>
  <si>
    <t>Store_Not_Available</t>
  </si>
  <si>
    <t>0x2014</t>
  </si>
  <si>
    <t>Specification_By_Format_Unsupported</t>
  </si>
  <si>
    <t>0x2015</t>
  </si>
  <si>
    <t>No_Valid_ObjectInfo</t>
  </si>
  <si>
    <t>0x2018</t>
  </si>
  <si>
    <t>Capture_Already_Terminated</t>
  </si>
  <si>
    <t>0x2019</t>
  </si>
  <si>
    <t>Device_Busy</t>
  </si>
  <si>
    <t>0x201A</t>
  </si>
  <si>
    <t>Invalid_Parent_Object</t>
  </si>
  <si>
    <t>0x201B</t>
  </si>
  <si>
    <t>Invalid_DeviceProp_Format</t>
  </si>
  <si>
    <t>0x201C</t>
  </si>
  <si>
    <t>Invalid_DeviceProp_Value</t>
  </si>
  <si>
    <t>0x201D</t>
  </si>
  <si>
    <t>Invalid_Parameter</t>
  </si>
  <si>
    <t>0x201E</t>
  </si>
  <si>
    <t>Session_Already_Open</t>
  </si>
  <si>
    <t>0x201F</t>
  </si>
  <si>
    <t>Transaction_Cancelled</t>
  </si>
  <si>
    <t>0x2020</t>
  </si>
  <si>
    <t>Specification_of_Destination_Unsupported</t>
  </si>
  <si>
    <t>0xA001</t>
  </si>
  <si>
    <t>Hardware_Error</t>
  </si>
  <si>
    <t>0xA002</t>
  </si>
  <si>
    <t>Out_of_Focus</t>
  </si>
  <si>
    <t>0xA003</t>
  </si>
  <si>
    <t>Change_CameraMode_Failed</t>
  </si>
  <si>
    <t>0xA004</t>
  </si>
  <si>
    <t>Invalid_Status</t>
  </si>
  <si>
    <t>0xA006</t>
  </si>
  <si>
    <t>Wb_Preset_Error</t>
  </si>
  <si>
    <t>0xA007</t>
  </si>
  <si>
    <t>Dust_Reference_Error</t>
  </si>
  <si>
    <t>0xA008</t>
  </si>
  <si>
    <t>Shutter_Speed_Bulb</t>
  </si>
  <si>
    <t>0xA00A</t>
  </si>
  <si>
    <t>CameraMode_Not_Adjust_Fnumber</t>
  </si>
  <si>
    <t>0xA00B</t>
  </si>
  <si>
    <t>Not_LiveView</t>
  </si>
  <si>
    <t>0xA00C</t>
  </si>
  <si>
    <t>MfDrive_Step_End</t>
  </si>
  <si>
    <t>0xA00E</t>
  </si>
  <si>
    <t>MfDrive_Step_Insufficiency</t>
  </si>
  <si>
    <t>0xA00F</t>
  </si>
  <si>
    <t>No_FullHD_Present</t>
  </si>
  <si>
    <t>0xA021</t>
  </si>
  <si>
    <t>Store_Error</t>
  </si>
  <si>
    <t>0xA022</t>
  </si>
  <si>
    <t>Store_Unformatted</t>
  </si>
  <si>
    <t>0xA200</t>
  </si>
  <si>
    <t>Bulb_Release_Busy</t>
  </si>
  <si>
    <t>0xA201</t>
  </si>
  <si>
    <t>Silent_Release_Busy</t>
  </si>
  <si>
    <t>0xA202</t>
  </si>
  <si>
    <t>MovieFrame_Release_Busy</t>
  </si>
  <si>
    <t>0xA204</t>
  </si>
  <si>
    <t>Shutter_Speed_Time</t>
  </si>
  <si>
    <t>0xA209</t>
  </si>
  <si>
    <t>Invalid_SBAttribute_Value</t>
  </si>
  <si>
    <t>0xA210</t>
  </si>
  <si>
    <t>Invalid_Data</t>
  </si>
  <si>
    <t>0xA801</t>
  </si>
  <si>
    <t>Invalid_ObjectPropCode</t>
  </si>
  <si>
    <t>0xA802</t>
  </si>
  <si>
    <t>Invalid_ObjectProp_Format</t>
  </si>
  <si>
    <t>0xA80A</t>
  </si>
  <si>
    <t>ObjectProp_Not_Supported</t>
  </si>
  <si>
    <t>EventCode</t>
  </si>
  <si>
    <t>0x4001</t>
  </si>
  <si>
    <t>CancelTransaction</t>
  </si>
  <si>
    <t>0x4002</t>
  </si>
  <si>
    <t>ObjectAdded</t>
  </si>
  <si>
    <t>0x4003</t>
  </si>
  <si>
    <t>ObjectRemoved</t>
  </si>
  <si>
    <t>0x4004</t>
  </si>
  <si>
    <t>StoreAdded</t>
  </si>
  <si>
    <t>0x4005</t>
  </si>
  <si>
    <t>StoreRemoved</t>
  </si>
  <si>
    <t>0x4006</t>
  </si>
  <si>
    <t>DevicePropChanged</t>
  </si>
  <si>
    <t>0x4007</t>
  </si>
  <si>
    <t>ObjectInfoChanged</t>
  </si>
  <si>
    <t>0x4008</t>
  </si>
  <si>
    <t>DeviceInfoChanged</t>
  </si>
  <si>
    <t>0x4009</t>
  </si>
  <si>
    <t>RequestObjectTransfer</t>
  </si>
  <si>
    <t>0x400A</t>
  </si>
  <si>
    <t>StoreFull</t>
  </si>
  <si>
    <t>0x400C</t>
  </si>
  <si>
    <t>StorageInfoChanged</t>
  </si>
  <si>
    <t>0x400D</t>
  </si>
  <si>
    <t>CaptureComplete</t>
  </si>
  <si>
    <t>0xC101</t>
  </si>
  <si>
    <t>ObjectAddedInSdram</t>
  </si>
  <si>
    <t>0xC102</t>
  </si>
  <si>
    <t>CaptureCompleteRecInSdram</t>
  </si>
  <si>
    <t>0xC103</t>
  </si>
  <si>
    <t>CaptureSkip</t>
  </si>
  <si>
    <t>0xC105</t>
  </si>
  <si>
    <t>MovieRecordInterrupted</t>
  </si>
  <si>
    <t>0xC108</t>
  </si>
  <si>
    <t>MovieRecordComplete</t>
  </si>
  <si>
    <t>0xC10A</t>
  </si>
  <si>
    <t>MovieRecordStarted</t>
  </si>
  <si>
    <t>0xC10B</t>
  </si>
  <si>
    <t>PictureControlAdjustChanged</t>
  </si>
  <si>
    <t>0xC10C</t>
  </si>
  <si>
    <t>LiveViewStateChanged</t>
  </si>
  <si>
    <t>0xC10D</t>
  </si>
  <si>
    <t>PixelMappingComplete</t>
  </si>
  <si>
    <t>0xC10E</t>
  </si>
  <si>
    <t>ManualSettingLensDataChanged</t>
  </si>
  <si>
    <t>0xC10F</t>
  </si>
  <si>
    <t>OpenCaptureComplete</t>
  </si>
  <si>
    <t>0xC120</t>
  </si>
  <si>
    <t>SBAdded</t>
  </si>
  <si>
    <t>0xC121</t>
  </si>
  <si>
    <t>SBRemoved</t>
  </si>
  <si>
    <t>0xC122</t>
  </si>
  <si>
    <t>SBAttrChanged</t>
  </si>
  <si>
    <t>0xC123</t>
  </si>
  <si>
    <t>SBGroupAttrChanged</t>
  </si>
  <si>
    <t>0xC125</t>
  </si>
  <si>
    <t>HlgQualityAdjustChanged</t>
  </si>
  <si>
    <t>0xC126</t>
  </si>
  <si>
    <t>PortraitImpressionBalanceAdjustChanged</t>
  </si>
  <si>
    <t>0xC127</t>
  </si>
  <si>
    <t>PictureControlHlgAdjustChanged</t>
  </si>
  <si>
    <t>DevicePropCode</t>
  </si>
  <si>
    <t>0x5001</t>
  </si>
  <si>
    <t>BatteryLevel</t>
  </si>
  <si>
    <t>0x5003</t>
  </si>
  <si>
    <t>ImageSize</t>
  </si>
  <si>
    <t>0x5004</t>
  </si>
  <si>
    <t>CompressionSetting</t>
  </si>
  <si>
    <t>0x5005</t>
  </si>
  <si>
    <t>WhiteBalance</t>
  </si>
  <si>
    <t>0x5007</t>
  </si>
  <si>
    <t>Fnumber</t>
  </si>
  <si>
    <t>0x5008</t>
  </si>
  <si>
    <t>FocalLength</t>
  </si>
  <si>
    <t>0x500A</t>
  </si>
  <si>
    <t>FocusMode</t>
  </si>
  <si>
    <t>0x500B</t>
  </si>
  <si>
    <t>ExposureMeteringMode</t>
  </si>
  <si>
    <t>0x500C</t>
  </si>
  <si>
    <t>FlashMode</t>
  </si>
  <si>
    <t>0x500D</t>
  </si>
  <si>
    <t>ExposureTime</t>
  </si>
  <si>
    <t>0x500E</t>
  </si>
  <si>
    <t>ExposureProgramMode</t>
  </si>
  <si>
    <t>0x500F</t>
  </si>
  <si>
    <t>ExposureIndex</t>
  </si>
  <si>
    <t>0x5010</t>
  </si>
  <si>
    <t>ExposureBiasCompensation</t>
  </si>
  <si>
    <t>0x5011</t>
  </si>
  <si>
    <t>DateTime</t>
  </si>
  <si>
    <t>0x5013</t>
  </si>
  <si>
    <t>StillCaptureMode</t>
  </si>
  <si>
    <t>0x5018</t>
  </si>
  <si>
    <t>BurstNumber</t>
  </si>
  <si>
    <t>0x501E</t>
  </si>
  <si>
    <t>Artist</t>
  </si>
  <si>
    <t>0x501F</t>
  </si>
  <si>
    <t>Copyright</t>
  </si>
  <si>
    <t>0xD010</t>
  </si>
  <si>
    <t>ShootingMenuBank</t>
  </si>
  <si>
    <t>0xD011</t>
  </si>
  <si>
    <t>ShootingBankNameA</t>
  </si>
  <si>
    <t>0xD012</t>
  </si>
  <si>
    <t>ShootingBankNameB</t>
  </si>
  <si>
    <t>0xD013</t>
  </si>
  <si>
    <t>ShootingBankNameC</t>
  </si>
  <si>
    <t>0xD014</t>
  </si>
  <si>
    <t>ShootingBankNameD</t>
  </si>
  <si>
    <t>0xD016</t>
  </si>
  <si>
    <t>RawCompressionType</t>
  </si>
  <si>
    <t>0xD017</t>
  </si>
  <si>
    <t>WbTuneAuto</t>
  </si>
  <si>
    <t>0xD018</t>
  </si>
  <si>
    <t>WbTuneIncandescent</t>
  </si>
  <si>
    <t>0xD019</t>
  </si>
  <si>
    <t>WbTuneFluorescent</t>
  </si>
  <si>
    <t>0xD01A</t>
  </si>
  <si>
    <t>WbTuneSunny</t>
  </si>
  <si>
    <t>0xD01B</t>
  </si>
  <si>
    <t>WbTuneFlash</t>
  </si>
  <si>
    <t>0xD01C</t>
  </si>
  <si>
    <t>WbTuneCloudy</t>
  </si>
  <si>
    <t>0xD01D</t>
  </si>
  <si>
    <t>WbTuneShade</t>
  </si>
  <si>
    <t>0xD01E</t>
  </si>
  <si>
    <t>WbColorTemp</t>
  </si>
  <si>
    <t>0xD01F</t>
  </si>
  <si>
    <t>WbPresetDataNo</t>
  </si>
  <si>
    <t>0xD021</t>
  </si>
  <si>
    <t>WbPresetDataComment1</t>
  </si>
  <si>
    <t>0xD022</t>
  </si>
  <si>
    <t>WbPresetDataComment2</t>
  </si>
  <si>
    <t>0xD023</t>
  </si>
  <si>
    <t>WbPresetDataComment3</t>
  </si>
  <si>
    <t>0xD024</t>
  </si>
  <si>
    <t>WbPresetDataComment4</t>
  </si>
  <si>
    <t>0xD026</t>
  </si>
  <si>
    <t>WbPresetDataValue1</t>
  </si>
  <si>
    <t>0xD027</t>
  </si>
  <si>
    <t>WbPresetDataValue2</t>
  </si>
  <si>
    <t>0xD028</t>
  </si>
  <si>
    <t>WbPresetDataValue3</t>
  </si>
  <si>
    <t>0xD029</t>
  </si>
  <si>
    <t>WbPresetDataValue4</t>
  </si>
  <si>
    <t>0xD030</t>
  </si>
  <si>
    <t>CaptureAreaCrop</t>
  </si>
  <si>
    <t>0xD032</t>
  </si>
  <si>
    <t>ColorSpace</t>
  </si>
  <si>
    <t>0xD034</t>
  </si>
  <si>
    <t>DecreaseFlicker</t>
  </si>
  <si>
    <t>0xD038</t>
  </si>
  <si>
    <t>WbPresetDataComment5</t>
  </si>
  <si>
    <t>0xD039</t>
  </si>
  <si>
    <t>WbPresetDataComment6</t>
  </si>
  <si>
    <t>0xD03A</t>
  </si>
  <si>
    <t>WbTunePreset5</t>
  </si>
  <si>
    <t>0xD03B</t>
  </si>
  <si>
    <t>WbTunePreset6</t>
  </si>
  <si>
    <t>0xD03C</t>
  </si>
  <si>
    <t>WbPresetProtect5</t>
  </si>
  <si>
    <t>0xD03D</t>
  </si>
  <si>
    <t>WbPresetProtect6</t>
  </si>
  <si>
    <t>0xD03E</t>
  </si>
  <si>
    <t>WbPresetDataValue5</t>
  </si>
  <si>
    <t>0xD03F</t>
  </si>
  <si>
    <t>WbPresetDataValue6</t>
  </si>
  <si>
    <t>0xD040</t>
  </si>
  <si>
    <t>CustomSettingBank</t>
  </si>
  <si>
    <t>0xD041</t>
  </si>
  <si>
    <t>CustomBankNameA</t>
  </si>
  <si>
    <t>0xD042</t>
  </si>
  <si>
    <t>CustomBankNameB</t>
  </si>
  <si>
    <t>0xD043</t>
  </si>
  <si>
    <t>CustomBankNameC</t>
  </si>
  <si>
    <t>0xD044</t>
  </si>
  <si>
    <t>CustomBankNameD</t>
  </si>
  <si>
    <t>0xD046</t>
  </si>
  <si>
    <t>AFStillLockOnAcross</t>
  </si>
  <si>
    <t>0xD047</t>
  </si>
  <si>
    <t>AFStillLockOnMove</t>
  </si>
  <si>
    <t>0xD048</t>
  </si>
  <si>
    <t>DynamicAFonAFC</t>
  </si>
  <si>
    <t>0xD049</t>
  </si>
  <si>
    <t>DynamicAFonAFS</t>
  </si>
  <si>
    <t>0xD04F</t>
  </si>
  <si>
    <t>FocusAreaSelect</t>
  </si>
  <si>
    <t>0xD053</t>
  </si>
  <si>
    <t>EnableCopyright</t>
  </si>
  <si>
    <t>0xD054</t>
  </si>
  <si>
    <t>ISOAutoControl</t>
  </si>
  <si>
    <t>0xD055</t>
  </si>
  <si>
    <t>IsoStep</t>
  </si>
  <si>
    <t>0xD056</t>
  </si>
  <si>
    <t>ExposureEVStep</t>
  </si>
  <si>
    <t>0xD059</t>
  </si>
  <si>
    <t>CenterWeightedExRange</t>
  </si>
  <si>
    <t>0xD05A</t>
  </si>
  <si>
    <t>ExposureBaseCompMatrix</t>
  </si>
  <si>
    <t>0xD05B</t>
  </si>
  <si>
    <t>ExposureBaseCompCenter</t>
  </si>
  <si>
    <t>0xD05C</t>
  </si>
  <si>
    <t>ExposureBaseCompSpot</t>
  </si>
  <si>
    <t>0xD05D</t>
  </si>
  <si>
    <t>StillFocusMeteringMode</t>
  </si>
  <si>
    <t>0xD060</t>
  </si>
  <si>
    <t>IPTCPresetSelect</t>
  </si>
  <si>
    <t>0xD061</t>
  </si>
  <si>
    <t>StillFocusMode</t>
  </si>
  <si>
    <t>0xD067</t>
  </si>
  <si>
    <t>AngleLevel</t>
  </si>
  <si>
    <t>0xD068</t>
  </si>
  <si>
    <t>CspeedLow</t>
  </si>
  <si>
    <t>0xD069</t>
  </si>
  <si>
    <t>BurstMaxNumber</t>
  </si>
  <si>
    <t>0xD06A</t>
  </si>
  <si>
    <t>ExposureDelay</t>
  </si>
  <si>
    <t>0xD06B</t>
  </si>
  <si>
    <t>NoiseReduction</t>
  </si>
  <si>
    <t>0xD06C</t>
  </si>
  <si>
    <t>NumberingMode</t>
  </si>
  <si>
    <t>0xD070</t>
  </si>
  <si>
    <t>NoiseReductionHiIso</t>
  </si>
  <si>
    <t>0xD072</t>
  </si>
  <si>
    <t>ArtistV</t>
  </si>
  <si>
    <t>0xD073</t>
  </si>
  <si>
    <t>CopyrightV</t>
  </si>
  <si>
    <t>0xD074</t>
  </si>
  <si>
    <t>FlashSyncSpeed</t>
  </si>
  <si>
    <t>0xD075</t>
  </si>
  <si>
    <t>FlashSlowSpeedLimit</t>
  </si>
  <si>
    <t>0xD078</t>
  </si>
  <si>
    <t>BracketingType</t>
  </si>
  <si>
    <t>0xD079</t>
  </si>
  <si>
    <t>SelectBracketChangeFactor</t>
  </si>
  <si>
    <t>0xD07A</t>
  </si>
  <si>
    <t>BracketingOrder</t>
  </si>
  <si>
    <t>0xD07D</t>
  </si>
  <si>
    <t>AngleLevelPitching</t>
  </si>
  <si>
    <t>0xD07E</t>
  </si>
  <si>
    <t>AngleLevelYawing</t>
  </si>
  <si>
    <t>0xD07F</t>
  </si>
  <si>
    <t>ExtendShootingMenu</t>
  </si>
  <si>
    <t>0xD08A</t>
  </si>
  <si>
    <t>EnableShutter</t>
  </si>
  <si>
    <t>0xD08D</t>
  </si>
  <si>
    <t>EnableAFAreaPoint</t>
  </si>
  <si>
    <t>0xD08F</t>
  </si>
  <si>
    <t>ImageSensorCleaning</t>
  </si>
  <si>
    <t>0xD090</t>
  </si>
  <si>
    <t>CommentString</t>
  </si>
  <si>
    <t>0xD091</t>
  </si>
  <si>
    <t>EnableComment</t>
  </si>
  <si>
    <t>0xD092</t>
  </si>
  <si>
    <t>OrientationSensorMode</t>
  </si>
  <si>
    <t>0xD093</t>
  </si>
  <si>
    <t>ManualSettingLensNo</t>
  </si>
  <si>
    <t>0xD09C</t>
  </si>
  <si>
    <t>RetractableLensWarning</t>
  </si>
  <si>
    <t>0xD09F</t>
  </si>
  <si>
    <t>MatrixMetering</t>
  </si>
  <si>
    <t>0xD0A0</t>
  </si>
  <si>
    <t>MovieRecordScreenSize</t>
  </si>
  <si>
    <t>0xD0A2</t>
  </si>
  <si>
    <t>MovieRecordMicrophoneLevel</t>
  </si>
  <si>
    <t>0xD0A3</t>
  </si>
  <si>
    <t>MovieRecordDestination</t>
  </si>
  <si>
    <t>0xD0A4</t>
  </si>
  <si>
    <t>MovieRecProhibitionCondition</t>
  </si>
  <si>
    <t>0xD0A8</t>
  </si>
  <si>
    <t>MovieRecordMicrophoneLevelValue</t>
  </si>
  <si>
    <t>0xD0AA</t>
  </si>
  <si>
    <t>MovieWindNoiseReduction</t>
  </si>
  <si>
    <t>0xD0AC</t>
  </si>
  <si>
    <t>MovieRecordingZone</t>
  </si>
  <si>
    <t>0xD0AD</t>
  </si>
  <si>
    <t>MovieISOAutoControl</t>
  </si>
  <si>
    <t>0xD0AE</t>
  </si>
  <si>
    <t>MovieISOAutoHighLimit</t>
  </si>
  <si>
    <t>0xD0AF</t>
  </si>
  <si>
    <t>MovieFileType</t>
  </si>
  <si>
    <t>0xD0B4</t>
  </si>
  <si>
    <t>ExposureIndexEx</t>
  </si>
  <si>
    <t>0xD0B5</t>
  </si>
  <si>
    <t>ISOControlSensitivity</t>
  </si>
  <si>
    <t>0xD0B7</t>
  </si>
  <si>
    <t>FlickerReductionSetting</t>
  </si>
  <si>
    <t>0xD0BA</t>
  </si>
  <si>
    <t>DiffractionCompensation</t>
  </si>
  <si>
    <t>0xD0BB</t>
  </si>
  <si>
    <t>MovieLogOutput</t>
  </si>
  <si>
    <t>0xD0BC</t>
  </si>
  <si>
    <t>MovieAutoDistortion</t>
  </si>
  <si>
    <t>0xD0BE</t>
  </si>
  <si>
    <t>RemainingExposureTime</t>
  </si>
  <si>
    <t>0xD0C0</t>
  </si>
  <si>
    <t>EnableBracketing</t>
  </si>
  <si>
    <t>0xD0C1</t>
  </si>
  <si>
    <t>AEBracketingStep</t>
  </si>
  <si>
    <t>0xD0C2</t>
  </si>
  <si>
    <t>AEBracketingPattern</t>
  </si>
  <si>
    <t>0xD0C3</t>
  </si>
  <si>
    <t>AEBracketingCount</t>
  </si>
  <si>
    <t>0xD0C4</t>
  </si>
  <si>
    <t>WBBracketingStep</t>
  </si>
  <si>
    <t>0xD0C5</t>
  </si>
  <si>
    <t>WBBracketingPattern</t>
  </si>
  <si>
    <t>0xD0C6</t>
  </si>
  <si>
    <t>ADLBracketingPattern</t>
  </si>
  <si>
    <t>0xD0C7</t>
  </si>
  <si>
    <t>ADLBracketingStep</t>
  </si>
  <si>
    <t>0xD0CD</t>
  </si>
  <si>
    <t>SaveFocusPosition</t>
  </si>
  <si>
    <t>0xD0E0</t>
  </si>
  <si>
    <t>LensID</t>
  </si>
  <si>
    <t>0xD0E1</t>
  </si>
  <si>
    <t>LensSort</t>
  </si>
  <si>
    <t>0xD0E2</t>
  </si>
  <si>
    <t>LensTypeF</t>
  </si>
  <si>
    <t>0xD0E3</t>
  </si>
  <si>
    <t>LensFocalMin</t>
  </si>
  <si>
    <t>0xD0E4</t>
  </si>
  <si>
    <t>LensFocalMax</t>
  </si>
  <si>
    <t>0xD0E5</t>
  </si>
  <si>
    <t>LensApatureMin</t>
  </si>
  <si>
    <t>0xD0E6</t>
  </si>
  <si>
    <t>LensApatureMax</t>
  </si>
  <si>
    <t>0xD0E7</t>
  </si>
  <si>
    <t>LensTypeML</t>
  </si>
  <si>
    <t>0xD0F7</t>
  </si>
  <si>
    <t>VignetteControl</t>
  </si>
  <si>
    <t>0xD0F8</t>
  </si>
  <si>
    <t>AutoDistortion</t>
  </si>
  <si>
    <t>0xD100</t>
  </si>
  <si>
    <t>ShutterSpeed</t>
  </si>
  <si>
    <t>0xD101</t>
  </si>
  <si>
    <t>ExternalDC</t>
  </si>
  <si>
    <t>0xD102</t>
  </si>
  <si>
    <t>WarningStatus</t>
  </si>
  <si>
    <t>0xD104</t>
  </si>
  <si>
    <t>AFLockStatus</t>
  </si>
  <si>
    <t>0xD105</t>
  </si>
  <si>
    <t>AELockStatus</t>
  </si>
  <si>
    <t>0xD106</t>
  </si>
  <si>
    <t>FVLockStatus</t>
  </si>
  <si>
    <t>0xD109</t>
  </si>
  <si>
    <t>FlexibleProgram</t>
  </si>
  <si>
    <t>0xD10B</t>
  </si>
  <si>
    <t>RecordingMedia</t>
  </si>
  <si>
    <t>0xD10C</t>
  </si>
  <si>
    <t>USBSpeed</t>
  </si>
  <si>
    <t>0xD10E</t>
  </si>
  <si>
    <t>Orientation</t>
  </si>
  <si>
    <t>0xD112</t>
  </si>
  <si>
    <t>TVLockSetting</t>
  </si>
  <si>
    <t>0xD113</t>
  </si>
  <si>
    <t>AVLockSetting</t>
  </si>
  <si>
    <t>0xD118</t>
  </si>
  <si>
    <t>ExposureCompFlashUsed</t>
  </si>
  <si>
    <t>0xD119</t>
  </si>
  <si>
    <t>Slot2JpegImageSize</t>
  </si>
  <si>
    <t>0xD120</t>
  </si>
  <si>
    <t>ExternalSpeedLightExist</t>
  </si>
  <si>
    <t>0xD121</t>
  </si>
  <si>
    <t>ExternalSpeedLightStatus</t>
  </si>
  <si>
    <t>0xD122</t>
  </si>
  <si>
    <t>ExternalSpeedLightSort</t>
  </si>
  <si>
    <t>0xD124</t>
  </si>
  <si>
    <t>FlashCompensation</t>
  </si>
  <si>
    <t>0xD125</t>
  </si>
  <si>
    <t>NewExternalSpeedLightMode</t>
  </si>
  <si>
    <t>0xD126</t>
  </si>
  <si>
    <t>InternalFlashCompensation</t>
  </si>
  <si>
    <t>0xD12D</t>
  </si>
  <si>
    <t>ExternalSpeedLightMultiFlashMode</t>
  </si>
  <si>
    <t>0xD12E</t>
  </si>
  <si>
    <t>ConnectionPath</t>
  </si>
  <si>
    <t>0xD12F</t>
  </si>
  <si>
    <t>AWBLockStatus</t>
  </si>
  <si>
    <t>0xD130</t>
  </si>
  <si>
    <t>HDRMode</t>
  </si>
  <si>
    <t>0xD132</t>
  </si>
  <si>
    <t>HDRStrength</t>
  </si>
  <si>
    <t>0xD133</t>
  </si>
  <si>
    <t>HDRSaveIndividualImages</t>
  </si>
  <si>
    <t>0xD138</t>
  </si>
  <si>
    <t>VibrationReduction</t>
  </si>
  <si>
    <t>0xD141</t>
  </si>
  <si>
    <t>WbAutoType</t>
  </si>
  <si>
    <t>0xD148</t>
  </si>
  <si>
    <t>Slot2ImageSaveMode</t>
  </si>
  <si>
    <t>0xD14E</t>
  </si>
  <si>
    <t>Active</t>
  </si>
  <si>
    <t>0xD14F</t>
  </si>
  <si>
    <t>WbFluorescentType</t>
  </si>
  <si>
    <t>0xD150</t>
  </si>
  <si>
    <t>WbTuneColorTemp</t>
  </si>
  <si>
    <t>0xD152</t>
  </si>
  <si>
    <t>WbTunePreset1</t>
  </si>
  <si>
    <t>0xD153</t>
  </si>
  <si>
    <t>WbTunePreset2</t>
  </si>
  <si>
    <t>0xD154</t>
  </si>
  <si>
    <t>WbTunePreset3</t>
  </si>
  <si>
    <t>0xD155</t>
  </si>
  <si>
    <t>WbTunePreset4</t>
  </si>
  <si>
    <t>0xD156</t>
  </si>
  <si>
    <t>PrimarySlot</t>
  </si>
  <si>
    <t>0xD158</t>
  </si>
  <si>
    <t>WbPresetProtect1</t>
  </si>
  <si>
    <t>0xD159</t>
  </si>
  <si>
    <t>WbPresetProtect2</t>
  </si>
  <si>
    <t>0xD15A</t>
  </si>
  <si>
    <t>WbPresetProtect3</t>
  </si>
  <si>
    <t>0xD15B</t>
  </si>
  <si>
    <t>ActiveFolder</t>
  </si>
  <si>
    <t>0xD15C</t>
  </si>
  <si>
    <t>WbPresetProtect4</t>
  </si>
  <si>
    <t>0xD15E</t>
  </si>
  <si>
    <t>WbTuneNatural</t>
  </si>
  <si>
    <t>0xD164</t>
  </si>
  <si>
    <t>ISOAutoShutterTime</t>
  </si>
  <si>
    <t>0xD16E</t>
  </si>
  <si>
    <t>ExtendedShutterSpeedsManual</t>
  </si>
  <si>
    <t>0xD177</t>
  </si>
  <si>
    <t>FocusModeRestrictions</t>
  </si>
  <si>
    <t>0xD17B</t>
  </si>
  <si>
    <t>ViewMode</t>
  </si>
  <si>
    <t>0xD17C</t>
  </si>
  <si>
    <t>MovieAfSpeed</t>
  </si>
  <si>
    <t>0xD17D</t>
  </si>
  <si>
    <t>MovieAfSpeedWhenToApply</t>
  </si>
  <si>
    <t>0xD17E</t>
  </si>
  <si>
    <t>MovieAfTrackingSensitivity</t>
  </si>
  <si>
    <t>0xD180</t>
  </si>
  <si>
    <t>FlushBurstPrioritize</t>
  </si>
  <si>
    <t>0xD183</t>
  </si>
  <si>
    <t>ISOAutoHighLimit</t>
  </si>
  <si>
    <t>0xD186</t>
  </si>
  <si>
    <t>CSpeedHigh</t>
  </si>
  <si>
    <t>0xD199</t>
  </si>
  <si>
    <t>FlashISOAutoHighLimit</t>
  </si>
  <si>
    <t>0xD1A2</t>
  </si>
  <si>
    <t>RemoteLiveViewStatus</t>
  </si>
  <si>
    <t>0xD1A4</t>
  </si>
  <si>
    <t>LiveViewProhibitionCondition</t>
  </si>
  <si>
    <t>0xD1A6</t>
  </si>
  <si>
    <t>LiveViewSelector</t>
  </si>
  <si>
    <t>0xD1A8</t>
  </si>
  <si>
    <t>MovieShutterSpeed</t>
  </si>
  <si>
    <t>0xD1A9</t>
  </si>
  <si>
    <t>MovieFnumber</t>
  </si>
  <si>
    <t>0xD1AA</t>
  </si>
  <si>
    <t>MovieExposureIndex</t>
  </si>
  <si>
    <t>0xD1AB</t>
  </si>
  <si>
    <t>MovieExposureBiasCompensation</t>
  </si>
  <si>
    <t>0xD1AC</t>
  </si>
  <si>
    <t>LiveViewImageSize</t>
  </si>
  <si>
    <t>0xD1AF</t>
  </si>
  <si>
    <t>MovieExposureMeteringMode</t>
  </si>
  <si>
    <t>0xD1B0</t>
  </si>
  <si>
    <t>ExposureDisplayStatus</t>
  </si>
  <si>
    <t>0xD1B1</t>
  </si>
  <si>
    <t>ExposureIndicateStatus</t>
  </si>
  <si>
    <t>0xD1B2</t>
  </si>
  <si>
    <t>InfoDisplayErrorStatus</t>
  </si>
  <si>
    <t>0xD1B3</t>
  </si>
  <si>
    <t>ExposureIndicateLightup</t>
  </si>
  <si>
    <t>0xD1B4</t>
  </si>
  <si>
    <t>ContinuousShootingCount</t>
  </si>
  <si>
    <t>0xD1B8</t>
  </si>
  <si>
    <t>CameraLiveViewStatus</t>
  </si>
  <si>
    <t>0xD1BA</t>
  </si>
  <si>
    <t>MonitorOffStatus</t>
  </si>
  <si>
    <t>0xD1BB</t>
  </si>
  <si>
    <t>LiveViewImageStatus</t>
  </si>
  <si>
    <t>0xD1BC</t>
  </si>
  <si>
    <t>LiveViewImageCompression</t>
  </si>
  <si>
    <t>0xD1BD</t>
  </si>
  <si>
    <t>LiveViewZoomArea</t>
  </si>
  <si>
    <t>0xD1C5</t>
  </si>
  <si>
    <t>AutoFlashIsoSensitivityControl</t>
  </si>
  <si>
    <t>0xD1C6</t>
  </si>
  <si>
    <t>KeepExposureWhenFNumberChanges</t>
  </si>
  <si>
    <t>0xD1DE</t>
  </si>
  <si>
    <t>ExternalRecordingControl</t>
  </si>
  <si>
    <t>0xD1DF</t>
  </si>
  <si>
    <t>HighlightBrightness</t>
  </si>
  <si>
    <t>0xD1E2</t>
  </si>
  <si>
    <t>SBWirelessMode</t>
  </si>
  <si>
    <t>0xD1E3</t>
  </si>
  <si>
    <t>SBWirelessMultipleFlashMode</t>
  </si>
  <si>
    <t>0xD1E4</t>
  </si>
  <si>
    <t>SBUsableGroup</t>
  </si>
  <si>
    <t>0xD1E5</t>
  </si>
  <si>
    <t>WirelessCLSEntryMode</t>
  </si>
  <si>
    <t>0xD1E6</t>
  </si>
  <si>
    <t>SBPINCode</t>
  </si>
  <si>
    <t>0xD1E7</t>
  </si>
  <si>
    <t>RadioMultipleFlashChannel</t>
  </si>
  <si>
    <t>0xD1E8</t>
  </si>
  <si>
    <t>OpticalMultipleFlashChannel</t>
  </si>
  <si>
    <t>0xD1E9</t>
  </si>
  <si>
    <t>FlashRangeDisplay</t>
  </si>
  <si>
    <t>0xD1EA</t>
  </si>
  <si>
    <t>AllTestFiringDisable</t>
  </si>
  <si>
    <t>0xD1EC</t>
  </si>
  <si>
    <t>SBSettingMemberLock</t>
  </si>
  <si>
    <t>0xD1ED</t>
  </si>
  <si>
    <t>SBIntegrationFlashReady</t>
  </si>
  <si>
    <t>0xD1F1</t>
  </si>
  <si>
    <t>ExposureRemaining</t>
  </si>
  <si>
    <t>0xD1F2</t>
  </si>
  <si>
    <t>ActiveSlot</t>
  </si>
  <si>
    <t>0xD1F4</t>
  </si>
  <si>
    <t>ISOAutoShutterTimeCorrectionValue</t>
  </si>
  <si>
    <t>0xD1F8</t>
  </si>
  <si>
    <t>MovieFocusMeteringMode</t>
  </si>
  <si>
    <t>0xD1F9</t>
  </si>
  <si>
    <t>MovieVibrationReduction</t>
  </si>
  <si>
    <t>0xD1FA</t>
  </si>
  <si>
    <t>MovieFocusMode</t>
  </si>
  <si>
    <t>0xD1FB</t>
  </si>
  <si>
    <t>RecordTimeCodes</t>
  </si>
  <si>
    <t>0xD1FC</t>
  </si>
  <si>
    <t>CountUpMethod</t>
  </si>
  <si>
    <t>0xD1FD</t>
  </si>
  <si>
    <t>TimeCodeOrigin</t>
  </si>
  <si>
    <t>0xD1FE</t>
  </si>
  <si>
    <t>DropFrame</t>
  </si>
  <si>
    <t>0xD200</t>
  </si>
  <si>
    <t>ActivePicCtrlItem</t>
  </si>
  <si>
    <t>0xD20F</t>
  </si>
  <si>
    <t>MovieCaptureAreaCrop</t>
  </si>
  <si>
    <t>0xD211</t>
  </si>
  <si>
    <t>MovieWbAutoType</t>
  </si>
  <si>
    <t>0xD212</t>
  </si>
  <si>
    <t>MovieWbTuneAuto</t>
  </si>
  <si>
    <t>0xD213</t>
  </si>
  <si>
    <t>MovieWbTuneIncandescent</t>
  </si>
  <si>
    <t>0xD214</t>
  </si>
  <si>
    <t>MovieWbFluorescentType</t>
  </si>
  <si>
    <t>0xD215</t>
  </si>
  <si>
    <t>MovieWbTuneFluorescent</t>
  </si>
  <si>
    <t>0xD216</t>
  </si>
  <si>
    <t>MovieWbTuneSunny</t>
  </si>
  <si>
    <t>0xD218</t>
  </si>
  <si>
    <t>MovieWbTuneCloudy</t>
  </si>
  <si>
    <t>0xD219</t>
  </si>
  <si>
    <t>MovieWbTuneShade</t>
  </si>
  <si>
    <t>0xD21A</t>
  </si>
  <si>
    <t>MovieWbColorTemp</t>
  </si>
  <si>
    <t>0xD21B</t>
  </si>
  <si>
    <t>MovieWbTuneColorTemp</t>
  </si>
  <si>
    <t>0xD21C</t>
  </si>
  <si>
    <t>MovieWbPresetDataNo</t>
  </si>
  <si>
    <t>0xD21D</t>
  </si>
  <si>
    <t>MovieWbPresetDataComment1</t>
  </si>
  <si>
    <t>0xD21E</t>
  </si>
  <si>
    <t>MovieWbPresetDataComment2</t>
  </si>
  <si>
    <t>0xD21F</t>
  </si>
  <si>
    <t>MovieWbPresetDataComment3</t>
  </si>
  <si>
    <t>0xD220</t>
  </si>
  <si>
    <t>MovieWbPresetDataComment4</t>
  </si>
  <si>
    <t>0xD221</t>
  </si>
  <si>
    <t>MovieWbPresetDataComment5</t>
  </si>
  <si>
    <t>0xD222</t>
  </si>
  <si>
    <t>MovieWbPresetDataComment6</t>
  </si>
  <si>
    <t>0xD223</t>
  </si>
  <si>
    <t>MovieWbPresetDataValue1</t>
  </si>
  <si>
    <t>0xD224</t>
  </si>
  <si>
    <t>MovieWbPresetDataValue2</t>
  </si>
  <si>
    <t>0xD225</t>
  </si>
  <si>
    <t>MovieWbPresetDataValue3</t>
  </si>
  <si>
    <t>0xD226</t>
  </si>
  <si>
    <t>MovieWbPresetDataValue4</t>
  </si>
  <si>
    <t>0xD227</t>
  </si>
  <si>
    <t>MovieWbPresetDataValue5</t>
  </si>
  <si>
    <t>0xD228</t>
  </si>
  <si>
    <t>MovieWbPresetDataValue6</t>
  </si>
  <si>
    <t>0xD229</t>
  </si>
  <si>
    <t>MovieWbTunePreset1</t>
  </si>
  <si>
    <t>0xD22A</t>
  </si>
  <si>
    <t>MovieWbTunePreset2</t>
  </si>
  <si>
    <t>0xD22B</t>
  </si>
  <si>
    <t>MovieWbTunePreset3</t>
  </si>
  <si>
    <t>0xD22C</t>
  </si>
  <si>
    <t>MovieWbTunePreset4</t>
  </si>
  <si>
    <t>0xD22D</t>
  </si>
  <si>
    <t>MovieWbTunePreset5</t>
  </si>
  <si>
    <t>0xD22E</t>
  </si>
  <si>
    <t>MovieWbTunePreset6</t>
  </si>
  <si>
    <t>0xD22F</t>
  </si>
  <si>
    <t>MovieWbPresetProtect1</t>
  </si>
  <si>
    <t>0xD230</t>
  </si>
  <si>
    <t>MovieWbPresetProtect2</t>
  </si>
  <si>
    <t>0xD231</t>
  </si>
  <si>
    <t>MovieWbPresetProtect3</t>
  </si>
  <si>
    <t>0xD232</t>
  </si>
  <si>
    <t>MovieWbPresetProtect4</t>
  </si>
  <si>
    <t>0xD233</t>
  </si>
  <si>
    <t>MovieWbPresetProtect5</t>
  </si>
  <si>
    <t>0xD234</t>
  </si>
  <si>
    <t>MovieWbPresetProtect6</t>
  </si>
  <si>
    <t>0xD236</t>
  </si>
  <si>
    <t>MovieNoiseReductionHiIso</t>
  </si>
  <si>
    <t>0xD237</t>
  </si>
  <si>
    <t>MovieActivePicCtrlItem</t>
  </si>
  <si>
    <t>0xD239</t>
  </si>
  <si>
    <t>ExposureBaseCompHighlight</t>
  </si>
  <si>
    <t>0xD23A</t>
  </si>
  <si>
    <t>MovieWhiteBalance</t>
  </si>
  <si>
    <t>0xD23B</t>
  </si>
  <si>
    <t>MovieActive</t>
  </si>
  <si>
    <t>0xD23C</t>
  </si>
  <si>
    <t>MovieWbTuneNatural</t>
  </si>
  <si>
    <t>0xD23D</t>
  </si>
  <si>
    <t>MovieAttenuator</t>
  </si>
  <si>
    <t>0xD23E</t>
  </si>
  <si>
    <t>MovieVignetteControl</t>
  </si>
  <si>
    <t>0xD23F</t>
  </si>
  <si>
    <t>MovieDiffractionCompensation</t>
  </si>
  <si>
    <t>0xD303</t>
  </si>
  <si>
    <t>UseDeviceStageFlag</t>
  </si>
  <si>
    <t>0xD314</t>
  </si>
  <si>
    <t>ElectronicVR</t>
  </si>
  <si>
    <t>0xD406</t>
  </si>
  <si>
    <t>SessionInitiatorVersionInfo</t>
  </si>
  <si>
    <t>0xD407</t>
  </si>
  <si>
    <t>PerceivedDeviceType</t>
  </si>
  <si>
    <t>0x0001D000</t>
  </si>
  <si>
    <t>MovieProResToneMode</t>
  </si>
  <si>
    <t>0x0001D001</t>
  </si>
  <si>
    <t>MovieH265ToneMode</t>
  </si>
  <si>
    <t>0x0001D002</t>
  </si>
  <si>
    <t>SpecialShootingMode</t>
  </si>
  <si>
    <t>0x0001D005</t>
  </si>
  <si>
    <t>AFSubjectDetection</t>
  </si>
  <si>
    <t>0x0001D006</t>
  </si>
  <si>
    <t>MovieAFSubjectDetection</t>
  </si>
  <si>
    <t>0x0001D007</t>
  </si>
  <si>
    <t>ViewModeEaseOfViewing</t>
  </si>
  <si>
    <t>0x0001D008</t>
  </si>
  <si>
    <t>ViewModeWhiteBalance</t>
  </si>
  <si>
    <t>0x0001D009</t>
  </si>
  <si>
    <t>ViewModeWbColorTemp</t>
  </si>
  <si>
    <t>0x0001D00A</t>
  </si>
  <si>
    <t>ViewModeWbTuneColorTemp</t>
  </si>
  <si>
    <t>0x0001D00B</t>
  </si>
  <si>
    <t>ViewModePictureControl</t>
  </si>
  <si>
    <t>0x0001D00C</t>
  </si>
  <si>
    <t>ViewModeBrightenShadow</t>
  </si>
  <si>
    <t>0x0001D00E</t>
  </si>
  <si>
    <t>StarlightView</t>
  </si>
  <si>
    <t>0x0001D00F</t>
  </si>
  <si>
    <t>MovieTVLockSetting</t>
  </si>
  <si>
    <t>0x0001D010</t>
  </si>
  <si>
    <t>MovieAVLockSetting</t>
  </si>
  <si>
    <t>0x0001D011</t>
  </si>
  <si>
    <t>SilentMode</t>
  </si>
  <si>
    <t>0x0001D012</t>
  </si>
  <si>
    <t>ShutterSoundEffect</t>
  </si>
  <si>
    <t>0x0001D014</t>
  </si>
  <si>
    <t>AFWhenSubjectNotDetected</t>
  </si>
  <si>
    <t>0x0001D015</t>
  </si>
  <si>
    <t>FocusPointLock</t>
  </si>
  <si>
    <t>0x0001D016</t>
  </si>
  <si>
    <t>MovieFocusPointLock</t>
  </si>
  <si>
    <t>0x0001D017</t>
  </si>
  <si>
    <t>SkinSoftening</t>
  </si>
  <si>
    <t>0x0001D018</t>
  </si>
  <si>
    <t>MovieSkinSoftening</t>
  </si>
  <si>
    <t>0x0001D019</t>
  </si>
  <si>
    <t>PortraitImpressionBalance</t>
  </si>
  <si>
    <t>0x0001D01A</t>
  </si>
  <si>
    <t>MoviePortraitImpressionBalance</t>
  </si>
  <si>
    <t>0x0001D01B</t>
  </si>
  <si>
    <t>MovieExtendedShutterSpeedsManual</t>
  </si>
  <si>
    <t>0x0001D01C</t>
  </si>
  <si>
    <t>ToneMode</t>
  </si>
  <si>
    <t>0x0001D01D</t>
  </si>
  <si>
    <t>ActivePicCtrlHlgItem</t>
  </si>
  <si>
    <t>0x0001D01E</t>
  </si>
  <si>
    <t>ExtendedOverSampling</t>
  </si>
  <si>
    <t>0x0001D01F</t>
  </si>
  <si>
    <t>MovieExtendedIsoStepManual</t>
  </si>
  <si>
    <t>0x0001D025</t>
  </si>
  <si>
    <t>PreCapturePreReleaseBurst</t>
  </si>
  <si>
    <t>0x0001D026</t>
  </si>
  <si>
    <t>PreCapturePostReleaseBurst</t>
  </si>
  <si>
    <t>0x0001D028</t>
  </si>
  <si>
    <t>MovieNRaw12bitToneMode</t>
  </si>
  <si>
    <t>0x0001D029</t>
  </si>
  <si>
    <t>MovieProResRawHq12bitToneMode</t>
  </si>
  <si>
    <t>0x0001D02A</t>
  </si>
  <si>
    <t>MovieQualityNRaw</t>
  </si>
  <si>
    <t>0x0001D031</t>
  </si>
  <si>
    <t>HighFrequencyFlickerReduction</t>
  </si>
  <si>
    <t>0x0001D032</t>
  </si>
  <si>
    <t>MovieHighFrequencyFlickerReduction</t>
  </si>
  <si>
    <t>0x0001D033</t>
  </si>
  <si>
    <t>HiResZoom</t>
  </si>
  <si>
    <t>0x0001D036</t>
  </si>
  <si>
    <t>ViewModeShowEffectsOfSettings</t>
  </si>
  <si>
    <t>0x0001D03D</t>
  </si>
  <si>
    <t>FlickerReductionShutterSpeed</t>
  </si>
  <si>
    <t>0x0001D041</t>
  </si>
  <si>
    <t>EnableDXImageSize</t>
  </si>
  <si>
    <t>0x0001D042</t>
  </si>
  <si>
    <t>ImageSizeDX</t>
  </si>
  <si>
    <t>0x0001D046</t>
  </si>
  <si>
    <t>WideAreaAFC1</t>
  </si>
  <si>
    <t>0x0001D045</t>
  </si>
  <si>
    <t>PixelShiftShootingMode</t>
  </si>
  <si>
    <t>0x0001D047</t>
  </si>
  <si>
    <t>WideAreaAFC2</t>
  </si>
  <si>
    <t>0x0001D048</t>
  </si>
  <si>
    <t>MovieWideAreaAFC1</t>
  </si>
  <si>
    <t>0x0001D049</t>
  </si>
  <si>
    <t>MovieWideAreaAFC2</t>
  </si>
  <si>
    <t>0x0001D04A</t>
  </si>
  <si>
    <t>FmmManualSetting2</t>
  </si>
  <si>
    <t>0x0001D04B</t>
  </si>
  <si>
    <t>F0ManualSetting2</t>
  </si>
  <si>
    <t>0x0001D04C</t>
  </si>
  <si>
    <t>ManualSettingLensName</t>
  </si>
  <si>
    <t>0x0001D050</t>
  </si>
  <si>
    <t>PixelShiftShootingInterval</t>
  </si>
  <si>
    <t>ObjectPropCode</t>
  </si>
  <si>
    <t>0xDC01</t>
  </si>
  <si>
    <t>StorageID</t>
  </si>
  <si>
    <t>0xDC02</t>
  </si>
  <si>
    <t>ObjectFormat</t>
  </si>
  <si>
    <t>0xDC03</t>
  </si>
  <si>
    <t>ProtectionStatus</t>
  </si>
  <si>
    <t>0xDC04</t>
  </si>
  <si>
    <t>ObjectSize</t>
  </si>
  <si>
    <t>0xDC07</t>
  </si>
  <si>
    <t>ObjectFilename</t>
  </si>
  <si>
    <t>0xDC08</t>
  </si>
  <si>
    <t>DateCreated</t>
  </si>
  <si>
    <t>0xDC09</t>
  </si>
  <si>
    <t>DateModified</t>
  </si>
  <si>
    <t>0xDC0B</t>
  </si>
  <si>
    <t>ParentObject</t>
  </si>
  <si>
    <t>0xDC0D</t>
  </si>
  <si>
    <t>Hidden</t>
  </si>
  <si>
    <t>0xDC41</t>
  </si>
  <si>
    <t>PersistentUniqueObjectIdentifier</t>
  </si>
  <si>
    <t>0xDC44</t>
  </si>
  <si>
    <t>Name</t>
  </si>
  <si>
    <t>0xDC81</t>
  </si>
  <si>
    <t>RepresentativeSampleFormat</t>
  </si>
  <si>
    <t>0xDC82</t>
  </si>
  <si>
    <t>RepresentativeSampleSize</t>
  </si>
  <si>
    <t>0xDC83</t>
  </si>
  <si>
    <t>RepresentativeSampleHeight</t>
  </si>
  <si>
    <t>0xDC84</t>
  </si>
  <si>
    <t>RepresentativeSampleWidth</t>
  </si>
  <si>
    <t>0xDC86</t>
  </si>
  <si>
    <t>RepresentativeSampleData</t>
  </si>
  <si>
    <t>0xDC87</t>
  </si>
  <si>
    <t>Width</t>
  </si>
  <si>
    <t>0xDC88</t>
  </si>
  <si>
    <t>Height</t>
  </si>
  <si>
    <t>0xDC8A</t>
  </si>
  <si>
    <t>Rating</t>
  </si>
  <si>
    <t>0xDCD3</t>
  </si>
  <si>
    <t>ImageBitDepth</t>
  </si>
  <si>
    <t>0xDC89</t>
  </si>
  <si>
    <t>Duration</t>
  </si>
  <si>
    <t>0xDE93</t>
  </si>
  <si>
    <t>SampleRate</t>
  </si>
  <si>
    <t>0xDE94</t>
  </si>
  <si>
    <t>NumberOfChannels</t>
  </si>
  <si>
    <t>0xDE97</t>
  </si>
  <si>
    <t>ScanType</t>
  </si>
  <si>
    <t>0xDE9A</t>
  </si>
  <si>
    <t>AudioBitRate</t>
  </si>
  <si>
    <t>0xDE9B</t>
  </si>
  <si>
    <t>VideoFourCCCode</t>
  </si>
  <si>
    <t>0xDE9C</t>
  </si>
  <si>
    <t>VideoBitRate</t>
  </si>
  <si>
    <t>0xDE9D</t>
  </si>
  <si>
    <t>FramesPerThousandSeconds</t>
  </si>
  <si>
    <t>SBName</t>
  </si>
  <si>
    <t>SBGroupID</t>
  </si>
  <si>
    <t>SBStatus</t>
  </si>
  <si>
    <t>SBTestFlashDisable</t>
  </si>
  <si>
    <t>SBGroupFlashMode</t>
  </si>
  <si>
    <t>SBGroupFlashCompensation</t>
  </si>
  <si>
    <t>SBGroupFlashRatio</t>
  </si>
  <si>
    <t>SBGroupFlashLevel</t>
  </si>
  <si>
    <t>SBGroupFlashRange</t>
  </si>
  <si>
    <t>SBGroupRepeat</t>
  </si>
  <si>
    <t>SBGroupRepeatCount</t>
  </si>
  <si>
    <t>SBGroupRepeatInterval</t>
  </si>
  <si>
    <t>SBGroupValid</t>
  </si>
  <si>
    <t>SBAttributeCode</t>
  </si>
  <si>
    <t>0x1012</t>
  </si>
  <si>
    <t>SetObjectProtection</t>
  </si>
  <si>
    <t>0x945C</t>
  </si>
  <si>
    <t>ChangeAutoCaptureMode</t>
  </si>
  <si>
    <t>0x945D</t>
  </si>
  <si>
    <t>MeasureAutoCaptureFocus</t>
  </si>
  <si>
    <t>0x945E</t>
  </si>
  <si>
    <t>GetCaptureAreaDrawInfo</t>
  </si>
  <si>
    <t>0x945F</t>
  </si>
  <si>
    <t>GetCaptureArea</t>
  </si>
  <si>
    <t>0x9460</t>
  </si>
  <si>
    <t>SetCaptureArea</t>
  </si>
  <si>
    <t>0x9471</t>
  </si>
  <si>
    <t>SetAutoCaptureTimingOptions</t>
  </si>
  <si>
    <t>0x9472</t>
  </si>
  <si>
    <t>SendPartialObjectInfo</t>
  </si>
  <si>
    <t>0x9473</t>
  </si>
  <si>
    <t>SendPartialObject</t>
  </si>
  <si>
    <t>0x9804</t>
  </si>
  <si>
    <t>SetObjectPropValue</t>
  </si>
  <si>
    <t>0xA803</t>
  </si>
  <si>
    <t>Invalid_ObjectProp_Value</t>
  </si>
  <si>
    <t>0xD0F6</t>
  </si>
  <si>
    <t>StillCaptureModeQuick</t>
  </si>
  <si>
    <t>0x0001D02B</t>
  </si>
  <si>
    <t>AutoCaptureMode</t>
  </si>
  <si>
    <t>0x0001D02E</t>
  </si>
  <si>
    <t>AutoCaptureFocusNear</t>
  </si>
  <si>
    <t>0x0001D02F</t>
  </si>
  <si>
    <t>AutoCaptureFocusFar</t>
  </si>
  <si>
    <t>0x0001D030</t>
  </si>
  <si>
    <t>AutoCaptureProhibitCondition</t>
  </si>
  <si>
    <t>0x0001D052</t>
  </si>
  <si>
    <t>AutoCaptureCaptureCriteria</t>
  </si>
  <si>
    <t>0x0001D053</t>
  </si>
  <si>
    <t>AutoCaptureMotionSpeed</t>
  </si>
  <si>
    <t>0x0001D054</t>
  </si>
  <si>
    <t>AutoCaptureMotionSubjectSize</t>
  </si>
  <si>
    <t>0x0001D055</t>
  </si>
  <si>
    <t>AutoCaptureMotionDirection</t>
  </si>
  <si>
    <t>0x0001D056</t>
  </si>
  <si>
    <t>AutoCaptureSubjectDetectionSize</t>
  </si>
  <si>
    <t>0x0001D057</t>
  </si>
  <si>
    <t>AutoCaptureSubjectDetectionType</t>
  </si>
  <si>
    <t>0x0001D058</t>
  </si>
  <si>
    <t>AutoCaptureRecordingTime</t>
  </si>
  <si>
    <t>0x0001D059</t>
  </si>
  <si>
    <t>AutoCaptureWaitAfterShootingTime</t>
  </si>
  <si>
    <t>0x0001D05A</t>
  </si>
  <si>
    <t>AutoCaptureSelectUserPreset</t>
  </si>
  <si>
    <t>0x0001D05B</t>
  </si>
  <si>
    <t>AutoCaptureMovieSelectUserPreset</t>
  </si>
  <si>
    <t>0x0001D05C</t>
  </si>
  <si>
    <t>ImageQualityHSFC</t>
  </si>
  <si>
    <t>0x0001D05D</t>
  </si>
  <si>
    <t>PreCaptureState</t>
  </si>
  <si>
    <t>0x0001D05E</t>
  </si>
  <si>
    <t>HighISONRMode</t>
  </si>
  <si>
    <t>0x0001D061</t>
  </si>
  <si>
    <t>AutoCaptureFocusRange</t>
  </si>
  <si>
    <t>Z9</t>
  </si>
  <si>
    <t>6.00</t>
  </si>
  <si>
    <t>Z6 II</t>
  </si>
  <si>
    <t>1.10</t>
  </si>
  <si>
    <t>0x90CA</t>
  </si>
  <si>
    <t>GetVendorPropCodes</t>
  </si>
  <si>
    <t>0x9432</t>
  </si>
  <si>
    <t>GetManualSettingLensData</t>
  </si>
  <si>
    <t>0xD02E</t>
  </si>
  <si>
    <t>FmmManualSetting</t>
  </si>
  <si>
    <t>0xD02F</t>
  </si>
  <si>
    <t>F0ManualSetting</t>
  </si>
  <si>
    <t>CSpeedLow</t>
  </si>
  <si>
    <t>0xD0A7</t>
  </si>
  <si>
    <t>MovieRecordQuality</t>
  </si>
  <si>
    <t>0xD0B6</t>
  </si>
  <si>
    <t>RawImageSize</t>
  </si>
  <si>
    <t>0xD0BF</t>
  </si>
  <si>
    <t>MovieLogSetting</t>
  </si>
  <si>
    <t>0xD0CC</t>
  </si>
  <si>
    <t>HDMIOutputDataDepth</t>
  </si>
  <si>
    <t>0xD0FC</t>
  </si>
  <si>
    <t>UserMode</t>
  </si>
  <si>
    <t>0xD131</t>
  </si>
  <si>
    <t>HDREv</t>
  </si>
  <si>
    <t>HDRSmoothing</t>
  </si>
  <si>
    <t>0xD149</t>
  </si>
  <si>
    <t>RawCompressionBitMode</t>
  </si>
  <si>
    <t>0xD16A</t>
  </si>
  <si>
    <t>ISOAutoSetting</t>
  </si>
  <si>
    <t>0xD17A</t>
  </si>
  <si>
    <t>LowLightAF</t>
  </si>
  <si>
    <t>ApplyLiveViewSetting</t>
  </si>
  <si>
    <t>0xD197</t>
  </si>
  <si>
    <t>MovieReleaseButton</t>
  </si>
  <si>
    <t>0xD1AD</t>
  </si>
  <si>
    <t>SilentPhotography</t>
  </si>
  <si>
    <t>0xD1B7</t>
  </si>
  <si>
    <t>MovieRecFrameCount</t>
  </si>
  <si>
    <t>0xD1B9</t>
  </si>
  <si>
    <t>DetectionPeaking</t>
  </si>
  <si>
    <t>0xD1FF</t>
  </si>
  <si>
    <t>StillCaptureModeSaveFrame</t>
  </si>
  <si>
    <t>0xD20D</t>
  </si>
  <si>
    <t>ElectronicFrontCurtainShutter</t>
  </si>
  <si>
    <t>Z7 II</t>
  </si>
  <si>
    <t>MTP Doc</t>
  </si>
  <si>
    <t>Model</t>
  </si>
  <si>
    <t>Code</t>
  </si>
  <si>
    <t>Desc</t>
  </si>
  <si>
    <t>Id</t>
  </si>
  <si>
    <t>Year</t>
  </si>
  <si>
    <t>Processor</t>
  </si>
  <si>
    <t>Sensor</t>
  </si>
  <si>
    <t>CropSubSampling</t>
  </si>
  <si>
    <t>Type</t>
  </si>
  <si>
    <t>Bayer</t>
  </si>
  <si>
    <t>BitDepth</t>
  </si>
  <si>
    <t>ResX</t>
  </si>
  <si>
    <t>ResY</t>
  </si>
  <si>
    <t>SizeX</t>
  </si>
  <si>
    <t>SizeY</t>
  </si>
  <si>
    <t>PixelSizeX</t>
  </si>
  <si>
    <t>PixelSizeY</t>
  </si>
  <si>
    <t>FX</t>
  </si>
  <si>
    <t>DX</t>
  </si>
  <si>
    <t>1inch</t>
  </si>
  <si>
    <t>1.3x</t>
  </si>
  <si>
    <t>5:4</t>
  </si>
  <si>
    <t>1.2x</t>
  </si>
  <si>
    <t>1:1</t>
  </si>
  <si>
    <t>16:9</t>
  </si>
  <si>
    <t>Size L</t>
  </si>
  <si>
    <t>Size M</t>
  </si>
  <si>
    <t>Size S</t>
  </si>
  <si>
    <t>D3</t>
  </si>
  <si>
    <t>EXPEED</t>
  </si>
  <si>
    <t>Nikon NC81338L</t>
  </si>
  <si>
    <t>CMOS</t>
  </si>
  <si>
    <t>FX 0, DX 1, 5:4 2</t>
  </si>
  <si>
    <t>4256x2832</t>
  </si>
  <si>
    <t>3184x2120</t>
  </si>
  <si>
    <t>2128x1416</t>
  </si>
  <si>
    <t>2784x1848</t>
  </si>
  <si>
    <t>2080x1384</t>
  </si>
  <si>
    <t>1392x920</t>
  </si>
  <si>
    <t>3552x2832</t>
  </si>
  <si>
    <t>2656x2120</t>
  </si>
  <si>
    <t>1776x1416</t>
  </si>
  <si>
    <t>D3X</t>
  </si>
  <si>
    <t>Sony IMX-028</t>
  </si>
  <si>
    <t>6048x4032</t>
  </si>
  <si>
    <t>4544x3024</t>
  </si>
  <si>
    <t>3024x2016</t>
  </si>
  <si>
    <t>3968x2640</t>
  </si>
  <si>
    <t>2976x1976</t>
  </si>
  <si>
    <t>1984x1320</t>
  </si>
  <si>
    <t>5056x4032</t>
  </si>
  <si>
    <t>3792x3024</t>
  </si>
  <si>
    <t>2528x2016</t>
  </si>
  <si>
    <t>D3S</t>
  </si>
  <si>
    <t>Nikon NC81361A</t>
  </si>
  <si>
    <t>D4</t>
  </si>
  <si>
    <t>EXPEED 3</t>
  </si>
  <si>
    <t>Nikon NC81366W</t>
  </si>
  <si>
    <t>FX 0, DX 1, 5:4 2, 1.2x 3</t>
  </si>
  <si>
    <t>4928x3280</t>
  </si>
  <si>
    <t>3696x2456</t>
  </si>
  <si>
    <t>2464x1640</t>
  </si>
  <si>
    <t>3200x2128</t>
  </si>
  <si>
    <t>2400x1592</t>
  </si>
  <si>
    <t>1600x1064</t>
  </si>
  <si>
    <t>4096x3280</t>
  </si>
  <si>
    <t>3072x2456</t>
  </si>
  <si>
    <t>2048x1640</t>
  </si>
  <si>
    <t>4096x2720</t>
  </si>
  <si>
    <t>3072x2040</t>
  </si>
  <si>
    <t>2048x1360</t>
  </si>
  <si>
    <t>D4S</t>
  </si>
  <si>
    <t>EXPEED 4</t>
  </si>
  <si>
    <t>D5</t>
  </si>
  <si>
    <t>EXPEED 5</t>
  </si>
  <si>
    <t>Toshiba (Sony) T4K54</t>
  </si>
  <si>
    <t>5568x3712</t>
  </si>
  <si>
    <t>4176x2784</t>
  </si>
  <si>
    <t>2784x1856</t>
  </si>
  <si>
    <t>3648x2432</t>
  </si>
  <si>
    <t>2736x1824</t>
  </si>
  <si>
    <t>1824x1216</t>
  </si>
  <si>
    <t>4640x3712</t>
  </si>
  <si>
    <t>3472x2784</t>
  </si>
  <si>
    <t>2320x1856</t>
  </si>
  <si>
    <t>4640x3088</t>
  </si>
  <si>
    <t>3472x2312</t>
  </si>
  <si>
    <t>2320x1544</t>
  </si>
  <si>
    <t>D6</t>
  </si>
  <si>
    <t>EXPEED 6</t>
  </si>
  <si>
    <t>FX 0, 1.2x 1, DX 2, 5:4 3, 1:1 4, 16:9 5</t>
  </si>
  <si>
    <t>3712x3712</t>
  </si>
  <si>
    <t>2784x2784</t>
  </si>
  <si>
    <t>1856x1856</t>
  </si>
  <si>
    <t>5568x3128</t>
  </si>
  <si>
    <t>4176x2344</t>
  </si>
  <si>
    <t>2784x1560</t>
  </si>
  <si>
    <t>D40</t>
  </si>
  <si>
    <t>Sony ICX-453-AQ</t>
  </si>
  <si>
    <t>CCD</t>
  </si>
  <si>
    <t>3008x2000</t>
  </si>
  <si>
    <t>2256x1496</t>
  </si>
  <si>
    <t>1504x1000</t>
  </si>
  <si>
    <t>D40X</t>
  </si>
  <si>
    <t>Sony ICX-493-AQA</t>
  </si>
  <si>
    <t>3872x2592</t>
  </si>
  <si>
    <t>2896x1944</t>
  </si>
  <si>
    <t>1936x1296</t>
  </si>
  <si>
    <t>D60</t>
  </si>
  <si>
    <t>D80</t>
  </si>
  <si>
    <t>GBRG</t>
  </si>
  <si>
    <t>D90</t>
  </si>
  <si>
    <t>Sony IMX-038-BQL</t>
  </si>
  <si>
    <t>4288x2848</t>
  </si>
  <si>
    <t>3216x2136</t>
  </si>
  <si>
    <t>2144x1424</t>
  </si>
  <si>
    <t>D200</t>
  </si>
  <si>
    <t>Sony ICX-483-AQA</t>
  </si>
  <si>
    <t>D300</t>
  </si>
  <si>
    <t>Sony IMX-021-BQR</t>
  </si>
  <si>
    <t>D300S</t>
  </si>
  <si>
    <t>D500</t>
  </si>
  <si>
    <t>Sony IMX-321</t>
  </si>
  <si>
    <t>DX 0, 1.3x 1</t>
  </si>
  <si>
    <t>4272x2848</t>
  </si>
  <si>
    <t>3200x2136</t>
  </si>
  <si>
    <t>2128x1424</t>
  </si>
  <si>
    <t>D600</t>
  </si>
  <si>
    <t>Sony IMX-128- (L) -AQP</t>
  </si>
  <si>
    <t>FX 0, DX 1</t>
  </si>
  <si>
    <t>6016x4016</t>
  </si>
  <si>
    <t>4512x3008</t>
  </si>
  <si>
    <t>3008x2008</t>
  </si>
  <si>
    <t>3936x2624</t>
  </si>
  <si>
    <t>2944x1968</t>
  </si>
  <si>
    <t>1968x1312</t>
  </si>
  <si>
    <t>D610</t>
  </si>
  <si>
    <t>D700</t>
  </si>
  <si>
    <t>D750</t>
  </si>
  <si>
    <t>FX 0, DX 1, 1.2x 3</t>
  </si>
  <si>
    <t>5008x3336</t>
  </si>
  <si>
    <t>3752x2504</t>
  </si>
  <si>
    <t>2504x1664</t>
  </si>
  <si>
    <t>D780</t>
  </si>
  <si>
    <t>Sony ?</t>
  </si>
  <si>
    <t>BSI-CMOS</t>
  </si>
  <si>
    <t>FX 0, DX 2, 1:1 4, 16:9 5</t>
  </si>
  <si>
    <t>6048x4024</t>
  </si>
  <si>
    <t>4528x3016</t>
  </si>
  <si>
    <t>4016x4016</t>
  </si>
  <si>
    <t>3008x3008</t>
  </si>
  <si>
    <t>2000x2000</t>
  </si>
  <si>
    <t>6048x3400</t>
  </si>
  <si>
    <t>4528x2544</t>
  </si>
  <si>
    <t>3024x1696</t>
  </si>
  <si>
    <t>D800</t>
  </si>
  <si>
    <t>Sony IMX-094-AQP</t>
  </si>
  <si>
    <t>7360x4912</t>
  </si>
  <si>
    <t>5520x3680</t>
  </si>
  <si>
    <t>3680x2456</t>
  </si>
  <si>
    <t>4800x3200</t>
  </si>
  <si>
    <t>3600x2400</t>
  </si>
  <si>
    <t>2400x1600</t>
  </si>
  <si>
    <t>6144x4912</t>
  </si>
  <si>
    <t>4608x3680</t>
  </si>
  <si>
    <t>6144x4080</t>
  </si>
  <si>
    <t>4608x3056</t>
  </si>
  <si>
    <t>D800E</t>
  </si>
  <si>
    <t>CMOS (Without AA filter)</t>
  </si>
  <si>
    <t>D810</t>
  </si>
  <si>
    <t>D810A</t>
  </si>
  <si>
    <t>D850</t>
  </si>
  <si>
    <t>Sony IMX-309-AQJ</t>
  </si>
  <si>
    <t>BSI-CMOS (without AA filter)</t>
  </si>
  <si>
    <t>FX 0, DX 1, 5:4 2, 1.2x 3, 1:1 4</t>
  </si>
  <si>
    <t>8256x5504</t>
  </si>
  <si>
    <t>6192x4128</t>
  </si>
  <si>
    <t>4128x2752</t>
  </si>
  <si>
    <t>5408x3600</t>
  </si>
  <si>
    <t>4048x2696</t>
  </si>
  <si>
    <t>2704x1800</t>
  </si>
  <si>
    <t>6880x5504</t>
  </si>
  <si>
    <t>5152x4120</t>
  </si>
  <si>
    <t>3440x2752</t>
  </si>
  <si>
    <t>6880x4584</t>
  </si>
  <si>
    <t>5152x3432</t>
  </si>
  <si>
    <t>3440x2288</t>
  </si>
  <si>
    <t>5504x5504</t>
  </si>
  <si>
    <t>4128x4128</t>
  </si>
  <si>
    <t>2752x2752</t>
  </si>
  <si>
    <t>D3000</t>
  </si>
  <si>
    <t>D3100</t>
  </si>
  <si>
    <t>EXPEED 2</t>
  </si>
  <si>
    <t>Nikon NC81362A</t>
  </si>
  <si>
    <t>4608x3072</t>
  </si>
  <si>
    <t>3456x2304</t>
  </si>
  <si>
    <t>2304x1536</t>
  </si>
  <si>
    <t>D3200</t>
  </si>
  <si>
    <t>Nikon NC81369R</t>
  </si>
  <si>
    <t>6016x4000</t>
  </si>
  <si>
    <t>4512x3000</t>
  </si>
  <si>
    <t>D3300</t>
  </si>
  <si>
    <t>Sony IMX-193-AQK</t>
  </si>
  <si>
    <t>6000x4000</t>
  </si>
  <si>
    <t>4496x3000</t>
  </si>
  <si>
    <t>2992x2000</t>
  </si>
  <si>
    <t>D3400</t>
  </si>
  <si>
    <t>D3500</t>
  </si>
  <si>
    <t>D5000</t>
  </si>
  <si>
    <t>D5100</t>
  </si>
  <si>
    <t>Sony IMX071</t>
  </si>
  <si>
    <t>4928x3264</t>
  </si>
  <si>
    <t>3696x2448</t>
  </si>
  <si>
    <t>2464x1632</t>
  </si>
  <si>
    <t>D5200</t>
  </si>
  <si>
    <t>Toshiba HEZ1 TOS-5105</t>
  </si>
  <si>
    <t>D5300</t>
  </si>
  <si>
    <t>D5500</t>
  </si>
  <si>
    <t>D5600</t>
  </si>
  <si>
    <t>D7000</t>
  </si>
  <si>
    <t>D7100</t>
  </si>
  <si>
    <t>D7200</t>
  </si>
  <si>
    <t>D7500</t>
  </si>
  <si>
    <t>DF</t>
  </si>
  <si>
    <t>1V3</t>
  </si>
  <si>
    <t>EXPEED 4A</t>
  </si>
  <si>
    <t>5232x3488</t>
  </si>
  <si>
    <t>3920x2616</t>
  </si>
  <si>
    <t>2608x1744</t>
  </si>
  <si>
    <t>Z5</t>
  </si>
  <si>
    <t>Z 5</t>
  </si>
  <si>
    <t>FX 0, DX 1, 1:1 2, 16:9 3</t>
  </si>
  <si>
    <t>6016x3384</t>
  </si>
  <si>
    <t>4512x2536</t>
  </si>
  <si>
    <t>3008x1688</t>
  </si>
  <si>
    <t>Z5II</t>
  </si>
  <si>
    <t>Z 5_2</t>
  </si>
  <si>
    <t>EXPEED 7</t>
  </si>
  <si>
    <t>4528x3024</t>
  </si>
  <si>
    <t>3984x2656</t>
  </si>
  <si>
    <t>2976x1992</t>
  </si>
  <si>
    <t>1984x1328</t>
  </si>
  <si>
    <t>4032x4032</t>
  </si>
  <si>
    <t>3024x3024</t>
  </si>
  <si>
    <t>2016x2016</t>
  </si>
  <si>
    <t>Z6</t>
  </si>
  <si>
    <t>Z 6</t>
  </si>
  <si>
    <t>Z6II</t>
  </si>
  <si>
    <t>Z 6_2</t>
  </si>
  <si>
    <t>EXPEED 6 Dual</t>
  </si>
  <si>
    <t>RGGB</t>
  </si>
  <si>
    <t>Z6III</t>
  </si>
  <si>
    <t>Z 6_3</t>
  </si>
  <si>
    <t>Partially Stacked BSI-CMOS</t>
  </si>
  <si>
    <t>Z7</t>
  </si>
  <si>
    <t>Z 7</t>
  </si>
  <si>
    <t>Sony IMX-309-BQJ</t>
  </si>
  <si>
    <t>FX 0, DX 1, 5:4 2, 1:1 3, 16:9 4</t>
  </si>
  <si>
    <t>8256x4640</t>
  </si>
  <si>
    <t>6192x3480</t>
  </si>
  <si>
    <t>4128x2320</t>
  </si>
  <si>
    <t>Z7II</t>
  </si>
  <si>
    <t>Z 7_2</t>
  </si>
  <si>
    <t>FX 0, DX 2, 5:4 3, 1:1 4, 16:9 5</t>
  </si>
  <si>
    <t>Z 8</t>
  </si>
  <si>
    <t>Stacked BSI-CMOS (Without AA filter)</t>
  </si>
  <si>
    <t>5392x3592</t>
  </si>
  <si>
    <t>4032x2688</t>
  </si>
  <si>
    <t>2688x1792</t>
  </si>
  <si>
    <t>Z 9</t>
  </si>
  <si>
    <t>Z50</t>
  </si>
  <si>
    <t>Z 50</t>
  </si>
  <si>
    <t>DX 0, 1:1 1, 16:9 2</t>
  </si>
  <si>
    <t>Z50II</t>
  </si>
  <si>
    <t>Z50_2</t>
  </si>
  <si>
    <t>Zf</t>
  </si>
  <si>
    <t>Z f</t>
  </si>
  <si>
    <t>Zfc</t>
  </si>
  <si>
    <t>Z fc</t>
  </si>
  <si>
    <t>2.0</t>
  </si>
  <si>
    <t>0x501C</t>
  </si>
  <si>
    <t>FocusMeteringMode</t>
  </si>
  <si>
    <t>0xD015</t>
  </si>
  <si>
    <t>ResetShootingMenu</t>
  </si>
  <si>
    <t>0xD037</t>
  </si>
  <si>
    <t>EffectMode</t>
  </si>
  <si>
    <t>0xD045</t>
  </si>
  <si>
    <t>ResetCustomSetting</t>
  </si>
  <si>
    <t>AfModeAtLiveView</t>
  </si>
  <si>
    <t>0xD09D</t>
  </si>
  <si>
    <t>FaceDetection</t>
  </si>
  <si>
    <t>0xD0F9</t>
  </si>
  <si>
    <t>SceneMode</t>
  </si>
  <si>
    <t>0xD15D</t>
  </si>
  <si>
    <t>WhiteBalanceReset</t>
  </si>
  <si>
    <t>0xD167</t>
  </si>
  <si>
    <t>InternalFlashMode</t>
  </si>
  <si>
    <t>LiveViewPhotography</t>
  </si>
  <si>
    <t>0xD1C0</t>
  </si>
  <si>
    <t>InternalFlashPopup</t>
  </si>
  <si>
    <t>0xD1C1</t>
  </si>
  <si>
    <t>InternalFlashStatus</t>
  </si>
  <si>
    <t>0xD1F0</t>
  </si>
  <si>
    <t>ApplicationMode</t>
  </si>
  <si>
    <t>MovieAfAreaMode</t>
  </si>
  <si>
    <t>0xD20E</t>
  </si>
  <si>
    <t>MovieResetShootingMenu</t>
  </si>
  <si>
    <t>0xD235</t>
  </si>
  <si>
    <t>MovieWhiteBalanceReset</t>
  </si>
  <si>
    <t>1.40</t>
  </si>
  <si>
    <t>NikonMtpOperationCode</t>
  </si>
  <si>
    <t>NikonMtpResponseCode</t>
  </si>
  <si>
    <t>NikonMtpEventCode</t>
  </si>
  <si>
    <t>NikonMtpDevicePropCode</t>
  </si>
  <si>
    <t>NikonMtpObjectPropCode</t>
  </si>
  <si>
    <t xml:space="preserve">The contents of the field depend on the FormFlag field. </t>
  </si>
  <si>
    <t>DTS</t>
  </si>
  <si>
    <t>Form</t>
  </si>
  <si>
    <t>Indicates the property description data set.</t>
  </si>
  <si>
    <t>FormFlag</t>
  </si>
  <si>
    <t>Indicates the search group of the property.</t>
  </si>
  <si>
    <t>Group Code</t>
  </si>
  <si>
    <t>Indicates the default value of the property.</t>
  </si>
  <si>
    <t>DefaultValue</t>
  </si>
  <si>
    <t>Indicates the access attribute of the property.</t>
  </si>
  <si>
    <t>GetSet</t>
  </si>
  <si>
    <t>Indicates the data type of the property.</t>
  </si>
  <si>
    <t>DataType</t>
  </si>
  <si>
    <t>Indicates ObjectPropCode of the property.</t>
  </si>
  <si>
    <t>ObjectPropertyCode</t>
  </si>
  <si>
    <t>Size (Byte):</t>
  </si>
  <si>
    <t>Field:</t>
  </si>
  <si>
    <t>ObjectPropDesc DataSet</t>
  </si>
  <si>
    <t>Indicates the current value of the property.</t>
  </si>
  <si>
    <t>Current Value</t>
  </si>
  <si>
    <t>Factory Default Value</t>
  </si>
  <si>
    <t xml:space="preserve">Indicates DevicePropCode of the property.
When acquiring with the  GetDevicePropDescEx command and GetDevicePropDescList command, the Field Size of DevicePropCode is 4Byte. </t>
  </si>
  <si>
    <t>2 or 4</t>
  </si>
  <si>
    <t>DevicePropDesc DataSet</t>
  </si>
  <si>
    <t>String</t>
  </si>
  <si>
    <t>2*Length</t>
  </si>
  <si>
    <t>An optional human-readable string used to indicate the serial number of the camera.</t>
  </si>
  <si>
    <t>Length</t>
  </si>
  <si>
    <t>SerialNumber</t>
  </si>
  <si>
    <t>An optional human-readable string used to indicate the version of the device.</t>
  </si>
  <si>
    <t>DeviceVersion</t>
  </si>
  <si>
    <t>An optional human-readable string used to indicate the device name.</t>
  </si>
  <si>
    <t>An optional human-readable string used to indicate the device manufacturer.</t>
  </si>
  <si>
    <t>Manufacture</t>
  </si>
  <si>
    <t>An array of ObjectFormatCodes supported by the camera.</t>
  </si>
  <si>
    <t>ImageFormats</t>
  </si>
  <si>
    <t>An array of ObjectFormatCodes that can be created by the camera with InitiateCapture.</t>
  </si>
  <si>
    <t>CaptureFormats</t>
  </si>
  <si>
    <t>An array of DevicePropCodes supported by the camera.</t>
  </si>
  <si>
    <t>DevicePropertiesSupported</t>
  </si>
  <si>
    <t>An array of EventCodes supported by the camera.</t>
  </si>
  <si>
    <t>EventsSupported</t>
  </si>
  <si>
    <t>An array of OperationCodes supported by the camera.</t>
  </si>
  <si>
    <t>OperationsSupported</t>
  </si>
  <si>
    <t>An optional field used to hold the functional mode.</t>
  </si>
  <si>
    <t>FunctionalMode</t>
  </si>
  <si>
    <t>An optional string used to hold a human-readable description of the VendorExtensionID.</t>
  </si>
  <si>
    <t>VendorExtensionDesc</t>
  </si>
  <si>
    <t>The vendor-specific version number of extensions that are supported.</t>
  </si>
  <si>
    <t>VendorExtensionVersion</t>
  </si>
  <si>
    <t>The vendor extension ID used by the device.</t>
  </si>
  <si>
    <t>VendorExtensionID</t>
  </si>
  <si>
    <t>The highest version of the standard that can support the device.</t>
  </si>
  <si>
    <t>StandardVersion</t>
  </si>
  <si>
    <t>DeviceInfo DataSet</t>
  </si>
  <si>
    <t>Reserved</t>
  </si>
  <si>
    <t>X</t>
  </si>
  <si>
    <t>V</t>
  </si>
  <si>
    <t>H</t>
  </si>
  <si>
    <t>AF frame center coord</t>
  </si>
  <si>
    <t>AF frame size</t>
  </si>
  <si>
    <t>AF area 4</t>
  </si>
  <si>
    <t>AF area 3</t>
  </si>
  <si>
    <t>AF area 2</t>
  </si>
  <si>
    <t>AF area 1</t>
  </si>
  <si>
    <t>AF area 0</t>
  </si>
  <si>
    <t>AF area index</t>
  </si>
  <si>
    <t>The number of persons whose faces can be detected by the system</t>
  </si>
  <si>
    <t>AF mode status of the face detection system</t>
  </si>
  <si>
    <t>Level Angle information</t>
  </si>
  <si>
    <t>AF driving enabled status</t>
  </si>
  <si>
    <t>Focusing judgement result</t>
  </si>
  <si>
    <t>Countdown time</t>
  </si>
  <si>
    <t>Aperture Value</t>
  </si>
  <si>
    <t>Shutter speed</t>
  </si>
  <si>
    <t>Exposure deviation</t>
  </si>
  <si>
    <t>Focus driving status</t>
  </si>
  <si>
    <t>Rotation direction</t>
  </si>
  <si>
    <t>Selected focus areas</t>
  </si>
  <si>
    <t>AF evaluation value</t>
  </si>
  <si>
    <t>X (*1)</t>
  </si>
  <si>
    <t>Display center coord</t>
  </si>
  <si>
    <t>Display area size</t>
  </si>
  <si>
    <t>Whole Size</t>
  </si>
  <si>
    <t>Image Size</t>
  </si>
  <si>
    <t>1.0</t>
  </si>
  <si>
    <t>Order in db</t>
  </si>
  <si>
    <t>0x941D</t>
  </si>
  <si>
    <t>MirrorUpCancel</t>
  </si>
  <si>
    <t>StartMovieRecInCard</t>
  </si>
  <si>
    <t>EndMovieRec</t>
  </si>
  <si>
    <t>0x940D</t>
  </si>
  <si>
    <t>GetPicCtrlDataEx</t>
  </si>
  <si>
    <t>0x940E</t>
  </si>
  <si>
    <t>SetPicCtrlDataEx</t>
  </si>
  <si>
    <t>0x940F</t>
  </si>
  <si>
    <t>DeleteMovieCustomPicCtrl</t>
  </si>
  <si>
    <t>0x9410</t>
  </si>
  <si>
    <t>GetMoviePicCtrlCapability</t>
  </si>
  <si>
    <t>0x9200</t>
  </si>
  <si>
    <t>GetPreviewImage</t>
  </si>
  <si>
    <t>InitiateCaptureRecInStorage</t>
  </si>
  <si>
    <t>0x9208</t>
  </si>
  <si>
    <t>AfAndCaptureRecInStorage</t>
  </si>
  <si>
    <t>0xC106</t>
  </si>
  <si>
    <t>1stCaptureComplete</t>
  </si>
  <si>
    <t>0xC107</t>
  </si>
  <si>
    <t>MirrorUpCancelComplete</t>
  </si>
  <si>
    <t>0xA207</t>
  </si>
  <si>
    <t>Waiting_2ndRelease</t>
  </si>
  <si>
    <t>0xA208</t>
  </si>
  <si>
    <t>MirrorUpCapture_Already_Start</t>
  </si>
  <si>
    <t>0xD033</t>
  </si>
  <si>
    <t>AutoDxCrop</t>
  </si>
  <si>
    <t>0xD057</t>
  </si>
  <si>
    <t>ExposureCompEVStep</t>
  </si>
  <si>
    <t>AutoAreaAfFaceDetection</t>
  </si>
  <si>
    <t>0xD0EB</t>
  </si>
  <si>
    <t>CustomGroupingsC2</t>
  </si>
  <si>
    <t>0xD0EC</t>
  </si>
  <si>
    <t>AutoAreaAfStartingPoint</t>
  </si>
  <si>
    <t>0xD0ED</t>
  </si>
  <si>
    <t>CustomGroupingsC1</t>
  </si>
  <si>
    <t>0xD0EE</t>
  </si>
  <si>
    <t>SinglePointAfWatchArea</t>
  </si>
  <si>
    <t>0xD0EF</t>
  </si>
  <si>
    <t>GroupAreaFaceDetection</t>
  </si>
  <si>
    <t>0xD0F1</t>
  </si>
  <si>
    <t>QuietShutterRelease</t>
  </si>
  <si>
    <t>0xD0FA</t>
  </si>
  <si>
    <t>LiveViewWbColorTemp</t>
  </si>
  <si>
    <t>0xD0FB</t>
  </si>
  <si>
    <t>LiveViewWbTuneColorTemp</t>
  </si>
  <si>
    <t>0xD108</t>
  </si>
  <si>
    <t>FocusArea</t>
  </si>
  <si>
    <t>0xD161</t>
  </si>
  <si>
    <t>FinderFocusMode</t>
  </si>
  <si>
    <t>AFModeRestrictions</t>
  </si>
  <si>
    <t>0xD179</t>
  </si>
  <si>
    <t>FocusPointPersistence</t>
  </si>
  <si>
    <t>0xD17F</t>
  </si>
  <si>
    <t>RearControlPanel</t>
  </si>
  <si>
    <t>0xD190</t>
  </si>
  <si>
    <t>BracketingBurstOptions</t>
  </si>
  <si>
    <t>0xD1A5</t>
  </si>
  <si>
    <t>LiveViewExposurePreview</t>
  </si>
  <si>
    <t>0xD1A7</t>
  </si>
  <si>
    <t>LiveViewWhiteBalance</t>
  </si>
  <si>
    <t>0xD1C4</t>
  </si>
  <si>
    <t>3D</t>
  </si>
  <si>
    <t>0xD1F6</t>
  </si>
  <si>
    <t>MirrorUpStatus</t>
  </si>
  <si>
    <t>0xD1F7</t>
  </si>
  <si>
    <t>MirrorUpReleaseShootingCount</t>
  </si>
  <si>
    <t>0xD210</t>
  </si>
  <si>
    <t>MovieAutoDxCrop</t>
  </si>
  <si>
    <t>0xA009</t>
  </si>
  <si>
    <t>MirrorUp_Sequence</t>
  </si>
  <si>
    <t>MfDrive_Step_</t>
  </si>
  <si>
    <t>RecordingInterrupted</t>
  </si>
  <si>
    <t>AfAtLiveView</t>
  </si>
  <si>
    <t>0xD087</t>
  </si>
  <si>
    <t>CommandDialSetting</t>
  </si>
  <si>
    <t>0xD09E</t>
  </si>
  <si>
    <t>3DTrackingCaptuerArea</t>
  </si>
  <si>
    <t>LensType</t>
  </si>
  <si>
    <t>QuietReleaseMode</t>
  </si>
  <si>
    <t>CustomStillCaptureMode</t>
  </si>
  <si>
    <t>AFModeSelect</t>
  </si>
  <si>
    <t>0xD176</t>
  </si>
  <si>
    <t>LimitedAFAreaMode</t>
  </si>
  <si>
    <t>0xD178</t>
  </si>
  <si>
    <t>LimitStillCaptureMode</t>
  </si>
  <si>
    <t>LiveViewStatus</t>
  </si>
  <si>
    <t>0xD1A3</t>
  </si>
  <si>
    <t>LiveViewImageZoomRatio</t>
  </si>
  <si>
    <t>0xD201</t>
  </si>
  <si>
    <t>ChangePicCtrlItem</t>
  </si>
  <si>
    <t>0xD238</t>
  </si>
  <si>
    <t>MovieChangePicCtrlItem</t>
  </si>
  <si>
    <t>0xD031</t>
  </si>
  <si>
    <t>JpegCompressionPolicy</t>
  </si>
  <si>
    <t>0xD051</t>
  </si>
  <si>
    <t>AFStillLockOn</t>
  </si>
  <si>
    <t>0xA005</t>
  </si>
  <si>
    <t>Set_Property_Not_Support</t>
  </si>
  <si>
    <t>CommandDialFSetting</t>
  </si>
  <si>
    <t>0xD0A9</t>
  </si>
  <si>
    <t>MovieIsoRange</t>
  </si>
  <si>
    <t>0xD103</t>
  </si>
  <si>
    <t>RemainingExposure</t>
  </si>
  <si>
    <t>WbTuneAutoType</t>
  </si>
  <si>
    <t>WbTuneFluorescentType</t>
  </si>
  <si>
    <t>WbTune</t>
  </si>
  <si>
    <t>WbTunePresetProtect1</t>
  </si>
  <si>
    <t>WbTunePresetProtect2</t>
  </si>
  <si>
    <t>WbTunePresetProtect3</t>
  </si>
  <si>
    <t>WbTunePresetProtect4</t>
  </si>
  <si>
    <t>Transfer_Cancelled</t>
  </si>
  <si>
    <t>0xC104</t>
  </si>
  <si>
    <t>PreviewImageAdded</t>
  </si>
  <si>
    <t>0xD020</t>
  </si>
  <si>
    <t>WbPresetDataComment0</t>
  </si>
  <si>
    <t>0xD025</t>
  </si>
  <si>
    <t>WbPresetDataValue0</t>
  </si>
  <si>
    <t>0xD04B</t>
  </si>
  <si>
    <t>AFDriveByRelease</t>
  </si>
  <si>
    <t>0xD04C</t>
  </si>
  <si>
    <t>FocusFrameMFSetting</t>
  </si>
  <si>
    <t>0xD04D</t>
  </si>
  <si>
    <t>FocusFrameCSetting</t>
  </si>
  <si>
    <t>0xD050</t>
  </si>
  <si>
    <t>VerticalAF</t>
  </si>
  <si>
    <t>0xD058</t>
  </si>
  <si>
    <t>ExposureCompSetting</t>
  </si>
  <si>
    <t>0xD05E</t>
  </si>
  <si>
    <t>AELockRelease</t>
  </si>
  <si>
    <t>0xD05F</t>
  </si>
  <si>
    <t>AEAFLockSetting</t>
  </si>
  <si>
    <t>0xD062</t>
  </si>
  <si>
    <t>AutoMeterOffDelay</t>
  </si>
  <si>
    <t>0xD063</t>
  </si>
  <si>
    <t>SelfTimerDelay</t>
  </si>
  <si>
    <t>0xD064</t>
  </si>
  <si>
    <t>LCDPowerOff</t>
  </si>
  <si>
    <t>0xD06D</t>
  </si>
  <si>
    <t>TFTDisplaySetting</t>
  </si>
  <si>
    <t>0xD06E</t>
  </si>
  <si>
    <t>FinderDisplaySetting</t>
  </si>
  <si>
    <t>0xD06F</t>
  </si>
  <si>
    <t>LCDIllumination</t>
  </si>
  <si>
    <t>0xD077</t>
  </si>
  <si>
    <t>ModelingOnPreviewButton</t>
  </si>
  <si>
    <t>0xD080</t>
  </si>
  <si>
    <t>CenterButtonOnShootingMode</t>
  </si>
  <si>
    <t>0xD081</t>
  </si>
  <si>
    <t>CenterButtonOnPlaybackMode</t>
  </si>
  <si>
    <t>0xD082</t>
  </si>
  <si>
    <t>MultiSelectorSetting</t>
  </si>
  <si>
    <t>0xD083</t>
  </si>
  <si>
    <t>MultiSelectorDirection</t>
  </si>
  <si>
    <t>0xD084</t>
  </si>
  <si>
    <t>FunctionButton</t>
  </si>
  <si>
    <t>0xD085</t>
  </si>
  <si>
    <t>CommandDialRotation</t>
  </si>
  <si>
    <t>0xD086</t>
  </si>
  <si>
    <t>CommandDialChange</t>
  </si>
  <si>
    <t>0xD088</t>
  </si>
  <si>
    <t>CommandDialActiveOnPlaybackMenu</t>
  </si>
  <si>
    <t>0xD089</t>
  </si>
  <si>
    <t>UniversalMode</t>
  </si>
  <si>
    <t>0xD08B</t>
  </si>
  <si>
    <t>AfZoomRatio</t>
  </si>
  <si>
    <t>0xD08C</t>
  </si>
  <si>
    <t>FunctionButton2</t>
  </si>
  <si>
    <t>0xD08E</t>
  </si>
  <si>
    <t>NomalAF</t>
  </si>
  <si>
    <t>0xD094</t>
  </si>
  <si>
    <t>AfTuneEnable</t>
  </si>
  <si>
    <t>0xD095</t>
  </si>
  <si>
    <t>AfTuneUnregistryLens</t>
  </si>
  <si>
    <t>0xD096</t>
  </si>
  <si>
    <t>AfTuneRegistryLens</t>
  </si>
  <si>
    <t>0xD097</t>
  </si>
  <si>
    <t>AfTuneLensNoIndex</t>
  </si>
  <si>
    <t>0xD098</t>
  </si>
  <si>
    <t>AfTuneLensNo</t>
  </si>
  <si>
    <t>0xD099</t>
  </si>
  <si>
    <t>AfTuneLensNoIndexNum</t>
  </si>
  <si>
    <t>0xD09A</t>
  </si>
  <si>
    <t>AfTuneLensNoIndexNow</t>
  </si>
  <si>
    <t>0xD09B</t>
  </si>
  <si>
    <t>AfTuneLensNoDelete</t>
  </si>
  <si>
    <t>0xD0B0</t>
  </si>
  <si>
    <t>CenterButtonOnLiveViewMode</t>
  </si>
  <si>
    <t>0xD0B1</t>
  </si>
  <si>
    <t>AfZoomRatioInLiveView</t>
  </si>
  <si>
    <t>0xD10A</t>
  </si>
  <si>
    <t>ExposureStatus</t>
  </si>
  <si>
    <t>0xD10D</t>
  </si>
  <si>
    <t>CCDNumber</t>
  </si>
  <si>
    <t>0xD110</t>
  </si>
  <si>
    <t>FnumberLock</t>
  </si>
  <si>
    <t>0xD111</t>
  </si>
  <si>
    <t>ShutterSpeedLock</t>
  </si>
  <si>
    <t>0xD115</t>
  </si>
  <si>
    <t>FocusPointBrightness</t>
  </si>
  <si>
    <t>0xD151</t>
  </si>
  <si>
    <t>WbTunePreset0</t>
  </si>
  <si>
    <t>0xD160</t>
  </si>
  <si>
    <t>Beep</t>
  </si>
  <si>
    <t>0xD184</t>
  </si>
  <si>
    <t>DynamicAFArea</t>
  </si>
  <si>
    <t>0xD187</t>
  </si>
  <si>
    <t>InformationScreenDisplaySetting</t>
  </si>
  <si>
    <t>0xD189</t>
  </si>
  <si>
    <t>PreviewButton</t>
  </si>
  <si>
    <t>0xD18A</t>
  </si>
  <si>
    <t>PreviewButton2</t>
  </si>
  <si>
    <t>0xD18B</t>
  </si>
  <si>
    <t>AEAFLockSetting2</t>
  </si>
  <si>
    <t>0xD18D</t>
  </si>
  <si>
    <t>IndicatorDisplay</t>
  </si>
  <si>
    <t>0xD1A0</t>
  </si>
  <si>
    <t>LiveViewMode</t>
  </si>
  <si>
    <t>0xD1A1</t>
  </si>
  <si>
    <t>LiveViewStillCaptureMode</t>
  </si>
  <si>
    <t>ExposuresRemaining</t>
  </si>
  <si>
    <t>ShootingMode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</si>
</sst>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1" fillId="0" borderId="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/>
    <xf numFmtId="0" fontId="1" fillId="0" borderId="0" xfId="0" applyFont="1" applyBorder="1"/>
    <xf numFmtId="0" fontId="1" fillId="0" borderId="2" xfId="0" applyFont="1" applyBorder="1"/>
    <xf numFmtId="0" fontId="0" fillId="0" borderId="1" xfId="0" applyFont="1" applyBorder="1"/>
    <xf numFmtId="0" fontId="1" fillId="0" borderId="1" xfId="0" applyFont="1" applyBorder="1"/>
    <xf numFmtId="0" fontId="0" fillId="0" borderId="0" xfId="0" applyBorder="1" applyAlignment="1">
      <alignment horizontal="center"/>
    </xf>
    <xf numFmtId="0" fontId="3" fillId="0" borderId="2" xfId="0" applyFont="1" applyBorder="1"/>
    <xf numFmtId="0" fontId="1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0" fontId="0" fillId="0" borderId="0" xfId="0" quotePrefix="1" applyNumberForma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0" fillId="0" borderId="7" xfId="0" applyBorder="1" applyAlignment="1">
      <alignment wrapText="1"/>
    </xf>
    <xf numFmtId="0" fontId="0" fillId="0" borderId="7" xfId="0" applyBorder="1"/>
    <xf numFmtId="0" fontId="0" fillId="0" borderId="8" xfId="0" applyBorder="1"/>
    <xf numFmtId="0" fontId="1" fillId="0" borderId="7" xfId="0" applyFont="1" applyBorder="1"/>
    <xf numFmtId="0" fontId="1" fillId="0" borderId="8" xfId="0" applyFont="1" applyBorder="1"/>
    <xf numFmtId="0" fontId="5" fillId="0" borderId="0" xfId="0" applyFont="1"/>
    <xf numFmtId="0" fontId="0" fillId="0" borderId="9" xfId="0" applyBorder="1" applyAlignment="1">
      <alignment horizontal="left" vertical="center" wrapText="1"/>
    </xf>
    <xf numFmtId="0" fontId="0" fillId="0" borderId="9" xfId="0" applyBorder="1"/>
    <xf numFmtId="0" fontId="0" fillId="0" borderId="3" xfId="0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10" xfId="0" applyBorder="1"/>
    <xf numFmtId="0" fontId="0" fillId="0" borderId="11" xfId="0" applyBorder="1" applyAlignment="1">
      <alignment horizontal="left" vertical="center"/>
    </xf>
    <xf numFmtId="0" fontId="0" fillId="0" borderId="3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9" xfId="0" applyBorder="1" applyAlignment="1">
      <alignment wrapText="1"/>
    </xf>
    <xf numFmtId="0" fontId="0" fillId="0" borderId="3" xfId="0" applyBorder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2" xfId="0" applyBorder="1"/>
    <xf numFmtId="0" fontId="0" fillId="0" borderId="12" xfId="0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605</v>
    <v>9</v>
  </rv>
</rvData>
</file>

<file path=xl/richData/rdrichvaluestructure.xml><?xml version="1.0" encoding="utf-8"?>
<rvStructures xmlns="http://schemas.microsoft.com/office/spreadsheetml/2017/richdata" count="1">
  <s t="_error">
    <k n="errorType" t="i"/>
    <k n="iftab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2A90C3-7ED4-4E73-99D2-062C63AEF6DF}" name="Cameras" displayName="Cameras" ref="A1:C15" totalsRowShown="0" headerRowDxfId="13">
  <autoFilter ref="A1:C15" xr:uid="{1D2A90C3-7ED4-4E73-99D2-062C63AEF6DF}"/>
  <tableColumns count="3">
    <tableColumn id="1" xr3:uid="{EEE02C0D-5BC8-4A2E-8404-6490072137DE}" name="Camera"/>
    <tableColumn id="2" xr3:uid="{02EC7334-DFF2-4770-9015-1C7DEDF084C0}" name="MTP Doc"/>
    <tableColumn id="3" xr3:uid="{3F119076-0336-4E98-8F2B-C143905CCAD7}" name="Order in db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C99CA-39B3-4D06-B863-6F09B5A59F50}">
  <sheetPr>
    <tabColor rgb="FF00B050"/>
  </sheetPr>
  <dimension ref="A1:AR60"/>
  <sheetViews>
    <sheetView zoomScaleNormal="100" workbookViewId="0">
      <pane xSplit="1" ySplit="3" topLeftCell="B4" activePane="bottomRight" state="frozen"/>
      <selection pane="topRight" activeCell="B1" sqref="B1"/>
      <selection pane="bottomLeft" activeCell="A3" sqref="A3"/>
      <selection pane="bottomRight" activeCell="E25" sqref="E25"/>
    </sheetView>
  </sheetViews>
  <sheetFormatPr defaultRowHeight="15" outlineLevelCol="1" x14ac:dyDescent="0.25"/>
  <cols>
    <col min="1" max="2" width="9.140625" style="33"/>
    <col min="3" max="3" width="10.7109375" style="20" bestFit="1" customWidth="1"/>
    <col min="4" max="4" width="13.5703125" style="20" bestFit="1" customWidth="1"/>
    <col min="5" max="5" width="3" style="20" customWidth="1"/>
    <col min="6" max="6" width="15.85546875" style="34" bestFit="1" customWidth="1" outlineLevel="1"/>
    <col min="7" max="8" width="7.28515625" style="35" customWidth="1" outlineLevel="1"/>
    <col min="9" max="15" width="9.140625" style="20" customWidth="1" outlineLevel="1"/>
    <col min="16" max="16" width="9.140625" style="20"/>
    <col min="17" max="17" width="9.140625" style="35" customWidth="1" outlineLevel="1"/>
    <col min="18" max="41" width="8.5703125" style="34" customWidth="1" outlineLevel="1"/>
    <col min="42" max="42" width="9.140625" style="20"/>
    <col min="43" max="43" width="9.140625" style="21"/>
    <col min="44" max="44" width="9.140625" style="21" customWidth="1"/>
    <col min="45" max="16384" width="9.140625" style="20"/>
  </cols>
  <sheetData>
    <row r="1" spans="1:44" x14ac:dyDescent="0.25">
      <c r="A1" s="15" t="s">
        <v>2</v>
      </c>
      <c r="B1" s="15" t="s">
        <v>1235</v>
      </c>
      <c r="C1" s="15" t="s">
        <v>1236</v>
      </c>
      <c r="D1" s="15" t="s">
        <v>1237</v>
      </c>
      <c r="E1" s="16"/>
      <c r="F1" s="17" t="s">
        <v>1238</v>
      </c>
      <c r="G1" s="15"/>
      <c r="H1" s="15"/>
      <c r="I1" s="15"/>
      <c r="J1" s="15"/>
      <c r="K1" s="15"/>
      <c r="L1" s="15"/>
      <c r="M1" s="15"/>
      <c r="N1" s="15"/>
      <c r="O1" s="18"/>
      <c r="P1" s="19"/>
      <c r="Q1" s="17" t="s">
        <v>1239</v>
      </c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8"/>
      <c r="AQ1" s="21" t="e" vm="1">
        <f>"{"&amp;_xlfn.TEXTJOIN(", ",TRUE,AQ4:AQ60)&amp;"}"</f>
        <v>#VALUE!</v>
      </c>
    </row>
    <row r="2" spans="1:44" x14ac:dyDescent="0.25">
      <c r="A2" s="15"/>
      <c r="B2" s="15"/>
      <c r="C2" s="15"/>
      <c r="D2" s="15"/>
      <c r="E2" s="16"/>
      <c r="F2" s="22" t="s">
        <v>1076</v>
      </c>
      <c r="G2" s="23" t="s">
        <v>1240</v>
      </c>
      <c r="H2" s="23" t="s">
        <v>1241</v>
      </c>
      <c r="I2" s="24" t="s">
        <v>1242</v>
      </c>
      <c r="J2" s="24" t="s">
        <v>1243</v>
      </c>
      <c r="K2" s="24" t="s">
        <v>1244</v>
      </c>
      <c r="L2" s="24" t="s">
        <v>1245</v>
      </c>
      <c r="M2" s="24" t="s">
        <v>1246</v>
      </c>
      <c r="N2" s="24" t="s">
        <v>1247</v>
      </c>
      <c r="O2" s="25" t="s">
        <v>1248</v>
      </c>
      <c r="P2" s="19"/>
      <c r="Q2" s="17" t="s">
        <v>1235</v>
      </c>
      <c r="R2" s="20" t="s">
        <v>1249</v>
      </c>
      <c r="S2" s="20" t="s">
        <v>1249</v>
      </c>
      <c r="T2" s="20" t="s">
        <v>1249</v>
      </c>
      <c r="U2" s="20" t="s">
        <v>1250</v>
      </c>
      <c r="V2" s="20" t="s">
        <v>1250</v>
      </c>
      <c r="W2" s="20" t="s">
        <v>1250</v>
      </c>
      <c r="X2" s="20" t="s">
        <v>1251</v>
      </c>
      <c r="Y2" s="20" t="s">
        <v>1251</v>
      </c>
      <c r="Z2" s="20" t="s">
        <v>1251</v>
      </c>
      <c r="AA2" s="20" t="s">
        <v>1252</v>
      </c>
      <c r="AB2" s="20" t="s">
        <v>1252</v>
      </c>
      <c r="AC2" s="20" t="s">
        <v>1252</v>
      </c>
      <c r="AD2" s="26" t="s">
        <v>1253</v>
      </c>
      <c r="AE2" s="26" t="s">
        <v>1253</v>
      </c>
      <c r="AF2" s="26" t="s">
        <v>1253</v>
      </c>
      <c r="AG2" s="26" t="s">
        <v>1254</v>
      </c>
      <c r="AH2" s="26" t="s">
        <v>1254</v>
      </c>
      <c r="AI2" s="26" t="s">
        <v>1254</v>
      </c>
      <c r="AJ2" s="26" t="s">
        <v>1255</v>
      </c>
      <c r="AK2" s="26" t="s">
        <v>1255</v>
      </c>
      <c r="AL2" s="26" t="s">
        <v>1255</v>
      </c>
      <c r="AM2" s="27" t="s">
        <v>1256</v>
      </c>
      <c r="AN2" s="27" t="s">
        <v>1256</v>
      </c>
      <c r="AO2" s="27" t="s">
        <v>1256</v>
      </c>
      <c r="AP2" s="28"/>
    </row>
    <row r="3" spans="1:44" s="31" customFormat="1" ht="13.5" x14ac:dyDescent="0.25">
      <c r="A3" s="15"/>
      <c r="B3" s="15"/>
      <c r="C3" s="15"/>
      <c r="D3" s="15"/>
      <c r="E3" s="29"/>
      <c r="F3" s="22"/>
      <c r="G3" s="23"/>
      <c r="H3" s="23"/>
      <c r="I3" s="24"/>
      <c r="J3" s="24"/>
      <c r="K3" s="24"/>
      <c r="L3" s="24"/>
      <c r="M3" s="24"/>
      <c r="N3" s="24"/>
      <c r="O3" s="25"/>
      <c r="P3" s="30"/>
      <c r="Q3" s="17"/>
      <c r="R3" s="31" t="s">
        <v>1257</v>
      </c>
      <c r="S3" s="31" t="s">
        <v>1258</v>
      </c>
      <c r="T3" s="31" t="s">
        <v>1259</v>
      </c>
      <c r="U3" s="31" t="s">
        <v>1257</v>
      </c>
      <c r="V3" s="31" t="s">
        <v>1258</v>
      </c>
      <c r="W3" s="31" t="s">
        <v>1259</v>
      </c>
      <c r="X3" s="31" t="s">
        <v>1257</v>
      </c>
      <c r="Y3" s="31" t="s">
        <v>1258</v>
      </c>
      <c r="Z3" s="31" t="s">
        <v>1259</v>
      </c>
      <c r="AA3" s="31" t="s">
        <v>1257</v>
      </c>
      <c r="AB3" s="31" t="s">
        <v>1258</v>
      </c>
      <c r="AC3" s="31" t="s">
        <v>1259</v>
      </c>
      <c r="AD3" s="31" t="s">
        <v>1257</v>
      </c>
      <c r="AE3" s="31" t="s">
        <v>1258</v>
      </c>
      <c r="AF3" s="31" t="s">
        <v>1259</v>
      </c>
      <c r="AG3" s="31" t="s">
        <v>1257</v>
      </c>
      <c r="AH3" s="31" t="s">
        <v>1258</v>
      </c>
      <c r="AI3" s="31" t="s">
        <v>1259</v>
      </c>
      <c r="AJ3" s="31" t="s">
        <v>1257</v>
      </c>
      <c r="AK3" s="31" t="s">
        <v>1258</v>
      </c>
      <c r="AL3" s="31" t="s">
        <v>1259</v>
      </c>
      <c r="AM3" s="31" t="s">
        <v>1257</v>
      </c>
      <c r="AN3" s="31" t="s">
        <v>1258</v>
      </c>
      <c r="AO3" s="29" t="s">
        <v>1259</v>
      </c>
      <c r="AQ3" s="32"/>
      <c r="AR3" s="32"/>
    </row>
    <row r="4" spans="1:44" ht="22.5" x14ac:dyDescent="0.25">
      <c r="A4" s="33" t="s">
        <v>1260</v>
      </c>
      <c r="B4" s="33" t="s">
        <v>1260</v>
      </c>
      <c r="C4" s="20">
        <v>2007</v>
      </c>
      <c r="D4" s="20" t="s">
        <v>1261</v>
      </c>
      <c r="F4" s="34" t="s">
        <v>1262</v>
      </c>
      <c r="G4" s="35" t="s">
        <v>1263</v>
      </c>
      <c r="I4" s="20">
        <v>14</v>
      </c>
      <c r="J4" s="20">
        <v>4256</v>
      </c>
      <c r="K4" s="20">
        <v>2832</v>
      </c>
      <c r="L4" s="20">
        <v>36</v>
      </c>
      <c r="M4" s="20">
        <v>23.9</v>
      </c>
      <c r="N4" s="20">
        <v>8.43</v>
      </c>
      <c r="O4" s="20">
        <v>8.43</v>
      </c>
      <c r="Q4" s="35" t="s">
        <v>1264</v>
      </c>
      <c r="R4" s="34" t="s">
        <v>1265</v>
      </c>
      <c r="S4" s="34" t="s">
        <v>1266</v>
      </c>
      <c r="T4" s="34" t="s">
        <v>1267</v>
      </c>
      <c r="U4" s="34" t="s">
        <v>1268</v>
      </c>
      <c r="V4" s="34" t="s">
        <v>1269</v>
      </c>
      <c r="W4" s="34" t="s">
        <v>1270</v>
      </c>
      <c r="AD4" s="34" t="s">
        <v>1271</v>
      </c>
      <c r="AE4" s="34" t="s">
        <v>1272</v>
      </c>
      <c r="AF4" s="34" t="s">
        <v>1273</v>
      </c>
      <c r="AQ4" s="21" t="str">
        <f t="shared" ref="AQ4:AQ60" si="0">""""&amp;B4&amp;""": {"&amp;"""Name"": "&amp;""""&amp;A4&amp;""", "&amp;"""Year"": "&amp;C4&amp;", "&amp;"""Processor"": "&amp;""""&amp;D4&amp;""", "&amp;"""Sensor"": {"&amp;"""Name"": "&amp;""""&amp;F4&amp;""", "&amp;"""Type"": "&amp;""""&amp;G4&amp;""", "&amp;"""Bayer"": "&amp;""""&amp;H4&amp;""", "&amp;"""BitDepth"": "&amp;""&amp;I4&amp;", "&amp;"""ResX"": "&amp;""&amp;J4&amp;", "&amp;"""ResY"": "&amp;""&amp;K4&amp;", "&amp;"""SizeX"": "&amp;""&amp;SUBSTITUTE(L4,",",".")&amp;", "&amp;"""SizeY"": "&amp;""&amp;SUBSTITUTE(M4,",",".")&amp;", "&amp;"""PixelSizeX"": "&amp;""&amp;SUBSTITUTE(N4,",",".")&amp;", "&amp;"""PixelSizeY"": "&amp;""&amp;SUBSTITUTE(O4,",",".")&amp;"}, "&amp;AR4&amp;"}"</f>
        <v>"D3": {"Name": "D3", "Year": 2007, "Processor": "EXPEED", "Sensor": {"Name": "Nikon NC81338L", "Type": "CMOS", "Bayer": "", "BitDepth": 14, "ResX": 4256, "ResY": 2832, "SizeX": 36, "SizeY": 23.9, "PixelSizeX": 8.43, "PixelSizeY": 8.43}, 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1416}}}]}</v>
      </c>
      <c r="AR4" s="21" t="str" cm="1">
        <f t="array" ref="AR4">_xlfn.LET(_xlpm.crop,$R$2:$AO$2,_xlpm.size,$R$3:$AO$3,_xlpm.value,R4:AO4,_xlpm.vf,_xlfn.MAP(_xlpm.size,_xlpm.value,_xlfn.LAMBDA(_xlpm.s,_xlpm.v,IF(_xlpm.v="","",""""&amp;_xlpm.s&amp;""":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</v>
      </c>
    </row>
    <row r="5" spans="1:44" ht="22.5" x14ac:dyDescent="0.25">
      <c r="A5" s="33" t="s">
        <v>1274</v>
      </c>
      <c r="B5" s="33" t="s">
        <v>1274</v>
      </c>
      <c r="C5" s="20">
        <v>2008</v>
      </c>
      <c r="D5" s="20" t="s">
        <v>1261</v>
      </c>
      <c r="F5" s="34" t="s">
        <v>1275</v>
      </c>
      <c r="G5" s="35" t="s">
        <v>1263</v>
      </c>
      <c r="I5" s="20">
        <v>14</v>
      </c>
      <c r="J5" s="20">
        <v>6048</v>
      </c>
      <c r="K5" s="20">
        <v>4032</v>
      </c>
      <c r="L5" s="20">
        <v>35.9</v>
      </c>
      <c r="M5" s="20">
        <v>24</v>
      </c>
      <c r="N5" s="20">
        <v>5.95</v>
      </c>
      <c r="O5" s="20">
        <v>5.95</v>
      </c>
      <c r="Q5" s="35" t="s">
        <v>1264</v>
      </c>
      <c r="R5" s="34" t="s">
        <v>1276</v>
      </c>
      <c r="S5" s="34" t="s">
        <v>1277</v>
      </c>
      <c r="T5" s="34" t="s">
        <v>1278</v>
      </c>
      <c r="U5" s="34" t="s">
        <v>1279</v>
      </c>
      <c r="V5" s="34" t="s">
        <v>1280</v>
      </c>
      <c r="W5" s="34" t="s">
        <v>1281</v>
      </c>
      <c r="AD5" s="34" t="s">
        <v>1282</v>
      </c>
      <c r="AE5" s="34" t="s">
        <v>1283</v>
      </c>
      <c r="AF5" s="34" t="s">
        <v>1284</v>
      </c>
      <c r="AQ5" s="21" t="str">
        <f t="shared" si="0"/>
        <v>"D3X": {"Name": "D3X", "Year": 2008, "Processor": "EXPEED", "Sensor": {"Name": "Sony IMX-028", "Type": "CMOS", "Bayer": "", "BitDepth": 14, "ResX": 6048, "ResY": 4032, "SizeX": 35.9, "SizeY": 24, "PixelSizeX": 5.95, "PixelSizeY": 5.95}, "CropSubSampling": [{"Crop": "FX", "Subs": {"Size L": {"ResX": 6048, "ResY": 4032}, "Size M": {"ResX": 4544, "ResY": 3024}, "Size S": {"ResX": 3024, "ResY": 2016}}}, {"Crop": "DX", "Subs": {"Size L": {"ResX": 3968, "ResY": 2640}, "Size M": {"ResX": 2976, "ResY": 1976}, "Size S": {"ResX": 1984, "ResY": 1320}}}, {"Crop": "5:4", "Subs": {"Size L": {"ResX": 5056, "ResY": 4032}, "Size M": {"ResX": 3792, "ResY": 3024}, "Size S": {"ResX": 2528, "ResY": 2016}}}]}</v>
      </c>
      <c r="AR5" s="21" t="str" cm="1">
        <f t="array" ref="AR5">_xlfn.LET(_xlpm.crop,$R$2:$AO$2,_xlpm.size,$R$3:$AO$3,_xlpm.value,R5:AO5,_xlpm.vf,_xlfn.MAP(_xlpm.size,_xlpm.value,_xlfn.LAMBDA(_xlpm.s,_xlpm.v,IF(_xlpm.v="","",""""&amp;_xlpm.s&amp;""":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4544, "ResY": 3024}, "Size S": {"ResX": 3024, "ResY": 2016}}}, {"Crop": "DX", "Subs": {"Size L": {"ResX": 3968, "ResY": 2640}, "Size M": {"ResX": 2976, "ResY": 1976}, "Size S": {"ResX": 1984, "ResY": 1320}}}, {"Crop": "5:4", "Subs": {"Size L": {"ResX": 5056, "ResY": 4032}, "Size M": {"ResX": 3792, "ResY": 3024}, "Size S": {"ResX": 2528, "ResY": 2016}}}]</v>
      </c>
    </row>
    <row r="6" spans="1:44" ht="22.5" x14ac:dyDescent="0.25">
      <c r="A6" s="33" t="s">
        <v>1285</v>
      </c>
      <c r="B6" s="33" t="s">
        <v>1285</v>
      </c>
      <c r="C6" s="20">
        <v>2009</v>
      </c>
      <c r="D6" s="20" t="s">
        <v>1261</v>
      </c>
      <c r="F6" s="34" t="s">
        <v>1286</v>
      </c>
      <c r="G6" s="35" t="s">
        <v>1263</v>
      </c>
      <c r="I6" s="20">
        <v>14</v>
      </c>
      <c r="J6" s="20">
        <v>4256</v>
      </c>
      <c r="K6" s="20">
        <v>2832</v>
      </c>
      <c r="L6" s="20">
        <v>36</v>
      </c>
      <c r="M6" s="20">
        <v>23.9</v>
      </c>
      <c r="N6" s="20">
        <v>8.43</v>
      </c>
      <c r="O6" s="20">
        <v>8.43</v>
      </c>
      <c r="Q6" s="35" t="s">
        <v>1264</v>
      </c>
      <c r="R6" s="34" t="s">
        <v>1265</v>
      </c>
      <c r="S6" s="34" t="s">
        <v>1266</v>
      </c>
      <c r="T6" s="34" t="s">
        <v>1267</v>
      </c>
      <c r="U6" s="34" t="s">
        <v>1268</v>
      </c>
      <c r="V6" s="34" t="s">
        <v>1269</v>
      </c>
      <c r="W6" s="34" t="s">
        <v>1270</v>
      </c>
      <c r="AD6" s="34" t="s">
        <v>1271</v>
      </c>
      <c r="AE6" s="34" t="s">
        <v>1272</v>
      </c>
      <c r="AF6" s="34" t="s">
        <v>1273</v>
      </c>
      <c r="AQ6" s="21" t="str">
        <f t="shared" si="0"/>
        <v>"D3S": {"Name": "D3S", "Year": 2009, "Processor": "EXPEED", "Sensor": {"Name": "Nikon NC81361A", "Type": "CMOS", "Bayer": "", "BitDepth": 14, "ResX": 4256, "ResY": 2832, "SizeX": 36, "SizeY": 23.9, "PixelSizeX": 8.43, "PixelSizeY": 8.43}, 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1416}}}]}</v>
      </c>
      <c r="AR6" s="21" t="str" cm="1">
        <f t="array" ref="AR6">_xlfn.LET(_xlpm.crop,$R$2:$AO$2,_xlpm.size,$R$3:$AO$3,_xlpm.value,R6:AO6,_xlpm.vf,_xlfn.MAP(_xlpm.size,_xlpm.value,_xlfn.LAMBDA(_xlpm.s,_xlpm.v,IF(_xlpm.v="","",""""&amp;_xlpm.s&amp;""":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920}}}, {"Crop": "5:4", "Subs": {"Size L": {"ResX": 3552, "ResY": 2832}, "Size M": {"ResX": 2656, "ResY": 2120}, "Size S": {"ResX": 1776, "ResY": 1416}}}]</v>
      </c>
    </row>
    <row r="7" spans="1:44" ht="22.5" x14ac:dyDescent="0.25">
      <c r="A7" s="33" t="s">
        <v>1287</v>
      </c>
      <c r="B7" s="33" t="s">
        <v>1287</v>
      </c>
      <c r="C7" s="20">
        <v>2012</v>
      </c>
      <c r="D7" s="20" t="s">
        <v>1288</v>
      </c>
      <c r="F7" s="34" t="s">
        <v>1289</v>
      </c>
      <c r="G7" s="35" t="s">
        <v>1263</v>
      </c>
      <c r="I7" s="20">
        <v>14</v>
      </c>
      <c r="J7" s="20">
        <v>4928</v>
      </c>
      <c r="K7" s="20">
        <v>3280</v>
      </c>
      <c r="L7" s="20">
        <v>36</v>
      </c>
      <c r="M7" s="20">
        <v>23.9</v>
      </c>
      <c r="N7" s="20">
        <v>7.29</v>
      </c>
      <c r="O7" s="20">
        <v>7.29</v>
      </c>
      <c r="Q7" s="35" t="s">
        <v>1290</v>
      </c>
      <c r="R7" s="34" t="s">
        <v>1291</v>
      </c>
      <c r="S7" s="34" t="s">
        <v>1292</v>
      </c>
      <c r="T7" s="34" t="s">
        <v>1293</v>
      </c>
      <c r="U7" s="34" t="s">
        <v>1294</v>
      </c>
      <c r="V7" s="34" t="s">
        <v>1295</v>
      </c>
      <c r="W7" s="34" t="s">
        <v>1296</v>
      </c>
      <c r="AD7" s="34" t="s">
        <v>1297</v>
      </c>
      <c r="AE7" s="34" t="s">
        <v>1298</v>
      </c>
      <c r="AF7" s="34" t="s">
        <v>1299</v>
      </c>
      <c r="AG7" s="34" t="s">
        <v>1300</v>
      </c>
      <c r="AH7" s="34" t="s">
        <v>1301</v>
      </c>
      <c r="AI7" s="34" t="s">
        <v>1302</v>
      </c>
      <c r="AQ7" s="21" t="str">
        <f t="shared" si="0"/>
        <v>"D4": {"Name": "D4", "Year": 2012, "Processor": "EXPEED 3", "Sensor": {"Name": "Nikon NC81366W", "Type": "CMOS", "Bayer": "", "BitDepth": 14, "ResX": 4928, "ResY": 3280, "SizeX": 36, "SizeY": 23.9, "PixelSizeX": 7.29, "PixelSizeY": 7.29}, 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1360}}}]}</v>
      </c>
      <c r="AR7" s="21" t="str" cm="1">
        <f t="array" ref="AR7">_xlfn.LET(_xlpm.crop,$R$2:$AO$2,_xlpm.size,$R$3:$AO$3,_xlpm.value,R7:AO7,_xlpm.vf,_xlfn.MAP(_xlpm.size,_xlpm.value,_xlfn.LAMBDA(_xlpm.s,_xlpm.v,IF(_xlpm.v="","",""""&amp;_xlpm.s&amp;""":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</v>
      </c>
    </row>
    <row r="8" spans="1:44" ht="22.5" x14ac:dyDescent="0.25">
      <c r="A8" s="33" t="s">
        <v>1303</v>
      </c>
      <c r="B8" s="33" t="s">
        <v>1303</v>
      </c>
      <c r="C8" s="20">
        <v>2014</v>
      </c>
      <c r="D8" s="20" t="s">
        <v>1304</v>
      </c>
      <c r="F8" s="34" t="s">
        <v>1289</v>
      </c>
      <c r="G8" s="35" t="s">
        <v>1263</v>
      </c>
      <c r="I8" s="20">
        <v>14</v>
      </c>
      <c r="J8" s="20">
        <v>4928</v>
      </c>
      <c r="K8" s="20">
        <v>3280</v>
      </c>
      <c r="L8" s="20">
        <v>36</v>
      </c>
      <c r="M8" s="20">
        <v>23.9</v>
      </c>
      <c r="N8" s="20">
        <v>7.29</v>
      </c>
      <c r="O8" s="20">
        <v>7.29</v>
      </c>
      <c r="Q8" s="35" t="s">
        <v>1290</v>
      </c>
      <c r="R8" s="34" t="s">
        <v>1291</v>
      </c>
      <c r="S8" s="34" t="s">
        <v>1292</v>
      </c>
      <c r="T8" s="34" t="s">
        <v>1293</v>
      </c>
      <c r="U8" s="34" t="s">
        <v>1294</v>
      </c>
      <c r="V8" s="34" t="s">
        <v>1295</v>
      </c>
      <c r="W8" s="34" t="s">
        <v>1296</v>
      </c>
      <c r="AD8" s="34" t="s">
        <v>1297</v>
      </c>
      <c r="AE8" s="34" t="s">
        <v>1298</v>
      </c>
      <c r="AF8" s="34" t="s">
        <v>1299</v>
      </c>
      <c r="AG8" s="34" t="s">
        <v>1300</v>
      </c>
      <c r="AH8" s="34" t="s">
        <v>1301</v>
      </c>
      <c r="AI8" s="34" t="s">
        <v>1302</v>
      </c>
      <c r="AQ8" s="21" t="str">
        <f t="shared" si="0"/>
        <v>"D4S": {"Name": "D4S", "Year": 2014, "Processor": "EXPEED 4", "Sensor": {"Name": "Nikon NC81366W", "Type": "CMOS", "Bayer": "", "BitDepth": 14, "ResX": 4928, "ResY": 3280, "SizeX": 36, "SizeY": 23.9, "PixelSizeX": 7.29, "PixelSizeY": 7.29}, 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1360}}}]}</v>
      </c>
      <c r="AR8" s="21" t="str" cm="1">
        <f t="array" ref="AR8">_xlfn.LET(_xlpm.crop,$R$2:$AO$2,_xlpm.size,$R$3:$AO$3,_xlpm.value,R8:AO8,_xlpm.vf,_xlfn.MAP(_xlpm.size,_xlpm.value,_xlfn.LAMBDA(_xlpm.s,_xlpm.v,IF(_xlpm.v="","",""""&amp;_xlpm.s&amp;""":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1064}}}, {"Crop": "5:4", "Subs": {"Size L": {"ResX": 4096, "ResY": 3280}, "Size M": {"ResX": 3072, "ResY": 2456}, "Size S": {"ResX": 2048, "ResY": 1640}}}, {"Crop": "1.2x", "Subs": {"Size L": {"ResX": 4096, "ResY": 2720}, "Size M": {"ResX": 3072, "ResY": 2040}, "Size S": {"ResX": 2048, "ResY": 1360}}}]</v>
      </c>
    </row>
    <row r="9" spans="1:44" ht="22.5" x14ac:dyDescent="0.25">
      <c r="A9" s="33" t="s">
        <v>1305</v>
      </c>
      <c r="B9" s="33" t="s">
        <v>1305</v>
      </c>
      <c r="C9" s="20">
        <v>2016</v>
      </c>
      <c r="D9" s="20" t="s">
        <v>1306</v>
      </c>
      <c r="F9" s="34" t="s">
        <v>1307</v>
      </c>
      <c r="G9" s="35" t="s">
        <v>1263</v>
      </c>
      <c r="I9" s="20">
        <v>14</v>
      </c>
      <c r="J9" s="20">
        <v>5568</v>
      </c>
      <c r="K9" s="20">
        <v>3712</v>
      </c>
      <c r="L9" s="20">
        <v>36</v>
      </c>
      <c r="M9" s="20">
        <v>23.9</v>
      </c>
      <c r="N9" s="20">
        <v>6.44</v>
      </c>
      <c r="O9" s="20">
        <v>6.44</v>
      </c>
      <c r="Q9" s="35" t="s">
        <v>1290</v>
      </c>
      <c r="R9" s="34" t="s">
        <v>1308</v>
      </c>
      <c r="S9" s="34" t="s">
        <v>1309</v>
      </c>
      <c r="T9" s="34" t="s">
        <v>1310</v>
      </c>
      <c r="U9" s="34" t="s">
        <v>1311</v>
      </c>
      <c r="V9" s="34" t="s">
        <v>1312</v>
      </c>
      <c r="W9" s="34" t="s">
        <v>1313</v>
      </c>
      <c r="AD9" s="34" t="s">
        <v>1314</v>
      </c>
      <c r="AE9" s="34" t="s">
        <v>1315</v>
      </c>
      <c r="AF9" s="34" t="s">
        <v>1316</v>
      </c>
      <c r="AG9" s="34" t="s">
        <v>1317</v>
      </c>
      <c r="AH9" s="34" t="s">
        <v>1318</v>
      </c>
      <c r="AI9" s="34" t="s">
        <v>1319</v>
      </c>
      <c r="AQ9" s="21" t="str">
        <f t="shared" si="0"/>
        <v>"D5": {"Name": "D5", "Year": 2016, "Processor": "EXPEED 5", "Sensor": {"Name": "Toshiba (Sony) T4K54", "Type": "CMOS", "Bayer": "", "BitDepth": 14, "ResX": 5568, "ResY": 3712, "SizeX": 36, "SizeY": 23.9, "PixelSizeX": 6.44, "PixelSizeY": 6.44}, 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1544}}}]}</v>
      </c>
      <c r="AR9" s="21" t="str" cm="1">
        <f t="array" ref="AR9">_xlfn.LET(_xlpm.crop,$R$2:$AO$2,_xlpm.size,$R$3:$AO$3,_xlpm.value,R9:AO9,_xlpm.vf,_xlfn.MAP(_xlpm.size,_xlpm.value,_xlfn.LAMBDA(_xlpm.s,_xlpm.v,IF(_xlpm.v="","",""""&amp;_xlpm.s&amp;""":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1544}}}]</v>
      </c>
    </row>
    <row r="10" spans="1:44" ht="33.75" x14ac:dyDescent="0.25">
      <c r="A10" s="33" t="s">
        <v>1320</v>
      </c>
      <c r="B10" s="33" t="s">
        <v>1320</v>
      </c>
      <c r="C10" s="20">
        <v>2020</v>
      </c>
      <c r="D10" s="20" t="s">
        <v>1321</v>
      </c>
      <c r="F10" s="34" t="s">
        <v>1307</v>
      </c>
      <c r="G10" s="35" t="s">
        <v>1263</v>
      </c>
      <c r="I10" s="20">
        <v>14</v>
      </c>
      <c r="J10" s="20">
        <v>5568</v>
      </c>
      <c r="K10" s="20">
        <v>3712</v>
      </c>
      <c r="L10" s="20">
        <v>36</v>
      </c>
      <c r="M10" s="20">
        <v>23.9</v>
      </c>
      <c r="N10" s="20">
        <v>6.44</v>
      </c>
      <c r="O10" s="20">
        <v>6.44</v>
      </c>
      <c r="Q10" s="36" t="s">
        <v>1322</v>
      </c>
      <c r="R10" s="34" t="s">
        <v>1308</v>
      </c>
      <c r="S10" s="34" t="s">
        <v>1309</v>
      </c>
      <c r="T10" s="34" t="s">
        <v>1310</v>
      </c>
      <c r="U10" s="34" t="s">
        <v>1311</v>
      </c>
      <c r="V10" s="34" t="s">
        <v>1312</v>
      </c>
      <c r="W10" s="34" t="s">
        <v>1313</v>
      </c>
      <c r="AD10" s="34" t="s">
        <v>1314</v>
      </c>
      <c r="AE10" s="34" t="s">
        <v>1315</v>
      </c>
      <c r="AF10" s="34" t="s">
        <v>1316</v>
      </c>
      <c r="AG10" s="34" t="s">
        <v>1317</v>
      </c>
      <c r="AH10" s="34" t="s">
        <v>1318</v>
      </c>
      <c r="AI10" s="34" t="s">
        <v>1319</v>
      </c>
      <c r="AJ10" s="34" t="s">
        <v>1323</v>
      </c>
      <c r="AK10" s="34" t="s">
        <v>1324</v>
      </c>
      <c r="AL10" s="34" t="s">
        <v>1325</v>
      </c>
      <c r="AM10" s="34" t="s">
        <v>1326</v>
      </c>
      <c r="AN10" s="34" t="s">
        <v>1327</v>
      </c>
      <c r="AO10" s="34" t="s">
        <v>1328</v>
      </c>
      <c r="AQ10" s="21" t="str">
        <f t="shared" si="0"/>
        <v>"D6": {"Name": "D6", "Year": 2020, "Processor": "EXPEED 6", "Sensor": {"Name": "Toshiba (Sony) T4K54", "Type": "CMOS", "Bayer": "", "BitDepth": 14, "ResX": 5568, "ResY": 3712, "SizeX": 36, "SizeY": 23.9, "PixelSizeX": 6.44, "PixelSizeY": 6.44}, 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10" s="21" t="str" cm="1">
        <f t="array" ref="AR10">_xlfn.LET(_xlpm.crop,$R$2:$AO$2,_xlpm.size,$R$3:$AO$3,_xlpm.value,R10:AO10,_xlpm.vf,_xlfn.MAP(_xlpm.size,_xlpm.value,_xlfn.LAMBDA(_xlpm.s,_xlpm.v,IF(_xlpm.v="","",""""&amp;_xlpm.s&amp;""":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5568, "ResY": 3712}, "Size M": {"ResX": 4176, "ResY": 2784}, "Size S": {"ResX": 2784, "ResY": 1856}}}, {"Crop": "DX", "Subs": {"Size L": {"ResX": 3648, "ResY": 2432}, "Size M": {"ResX": 2736, "ResY": 1824}, "Size S": {"ResX": 1824, "ResY": 1216}}}, {"Crop": "5:4", "Subs": {"Size L": {"ResX": 4640, "ResY": 3712}, "Size M": {"ResX": 3472, "ResY": 2784}, "Size S": {"ResX": 2320, "ResY": 1856}}}, {"Crop": "1.2x", "Subs": {"Size L": {"ResX": 4640, "ResY": 3088}, "Size M": {"ResX": 3472, "ResY": 2312}, "Size S": {"ResX": 2320, "ResY": 1544}}},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  <row r="11" spans="1:44" x14ac:dyDescent="0.25">
      <c r="A11" s="33" t="s">
        <v>1329</v>
      </c>
      <c r="B11" s="33" t="s">
        <v>1329</v>
      </c>
      <c r="C11" s="20">
        <v>2006</v>
      </c>
      <c r="F11" s="34" t="s">
        <v>1330</v>
      </c>
      <c r="G11" s="35" t="s">
        <v>1331</v>
      </c>
      <c r="I11" s="20">
        <v>12</v>
      </c>
      <c r="J11" s="20">
        <v>3008</v>
      </c>
      <c r="K11" s="20">
        <v>2000</v>
      </c>
      <c r="L11" s="20">
        <v>23.7</v>
      </c>
      <c r="M11" s="20">
        <v>15.6</v>
      </c>
      <c r="N11" s="20">
        <v>7.85</v>
      </c>
      <c r="O11" s="20">
        <v>7.85</v>
      </c>
      <c r="U11" s="34" t="s">
        <v>1332</v>
      </c>
      <c r="V11" s="34" t="s">
        <v>1333</v>
      </c>
      <c r="W11" s="34" t="s">
        <v>1334</v>
      </c>
      <c r="AQ11" s="21" t="str">
        <f t="shared" si="0"/>
        <v>"D40": {"Name": "D40", "Year": 2006, "Processor": "", "Sensor": {"Name": "Sony ICX-453-AQ", "Type": "CCD", "Bayer": "", "BitDepth": 12, "ResX": 3008, "ResY": 2000, "SizeX": 23.7, "SizeY": 15.6, "PixelSizeX": 7.85, "PixelSizeY": 7.85}, "CropSubSampling": [{"Crop": "DX", "Subs": {"Size L": {"ResX": 3008, "ResY": 2000}, "Size M": {"ResX": 2256, "ResY": 1496}, "Size S": {"ResX": 1504, "ResY": 1000}}}]}</v>
      </c>
      <c r="AR11" s="21" t="str" cm="1">
        <f t="array" ref="AR11">_xlfn.LET(_xlpm.crop,$R$2:$AO$2,_xlpm.size,$R$3:$AO$3,_xlpm.value,R11:AO11,_xlpm.vf,_xlfn.MAP(_xlpm.size,_xlpm.value,_xlfn.LAMBDA(_xlpm.s,_xlpm.v,IF(_xlpm.v="","",""""&amp;_xlpm.s&amp;""":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3008, "ResY": 2000}, "Size M": {"ResX": 2256, "ResY": 1496}, "Size S": {"ResX": 1504, "ResY": 1000}}}]</v>
      </c>
    </row>
    <row r="12" spans="1:44" x14ac:dyDescent="0.25">
      <c r="A12" s="33" t="s">
        <v>1335</v>
      </c>
      <c r="B12" s="33" t="s">
        <v>1335</v>
      </c>
      <c r="C12" s="20">
        <v>2007</v>
      </c>
      <c r="F12" s="34" t="s">
        <v>1336</v>
      </c>
      <c r="G12" s="35" t="s">
        <v>1331</v>
      </c>
      <c r="I12" s="20">
        <v>12</v>
      </c>
      <c r="J12" s="20">
        <v>3872</v>
      </c>
      <c r="K12" s="20">
        <v>2592</v>
      </c>
      <c r="L12" s="20">
        <v>23.6</v>
      </c>
      <c r="M12" s="20">
        <v>15.8</v>
      </c>
      <c r="N12" s="20">
        <v>6.11</v>
      </c>
      <c r="O12" s="20">
        <v>6.11</v>
      </c>
      <c r="U12" s="34" t="s">
        <v>1337</v>
      </c>
      <c r="V12" s="34" t="s">
        <v>1338</v>
      </c>
      <c r="W12" s="34" t="s">
        <v>1339</v>
      </c>
      <c r="AQ12" s="21" t="str">
        <f t="shared" si="0"/>
        <v>"D40X": {"Name": "D40X", "Year": 2007, "Processor": "", "Sensor": {"Name": "Sony ICX-493-AQA", "Type": "CCD", "Bayer": "",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2" s="21" t="str" cm="1">
        <f t="array" ref="AR12">_xlfn.LET(_xlpm.crop,$R$2:$AO$2,_xlpm.size,$R$3:$AO$3,_xlpm.value,R12:AO12,_xlpm.vf,_xlfn.MAP(_xlpm.size,_xlpm.value,_xlfn.LAMBDA(_xlpm.s,_xlpm.v,IF(_xlpm.v="","",""""&amp;_xlpm.s&amp;""":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3" spans="1:44" x14ac:dyDescent="0.25">
      <c r="A13" s="33" t="s">
        <v>1340</v>
      </c>
      <c r="B13" s="33" t="s">
        <v>1340</v>
      </c>
      <c r="C13" s="20">
        <v>2008</v>
      </c>
      <c r="D13" s="20" t="s">
        <v>1261</v>
      </c>
      <c r="F13" s="34" t="s">
        <v>1336</v>
      </c>
      <c r="G13" s="35" t="s">
        <v>1331</v>
      </c>
      <c r="I13" s="20">
        <v>12</v>
      </c>
      <c r="J13" s="20">
        <v>3872</v>
      </c>
      <c r="K13" s="20">
        <v>2592</v>
      </c>
      <c r="L13" s="20">
        <v>23.6</v>
      </c>
      <c r="M13" s="20">
        <v>15.8</v>
      </c>
      <c r="N13" s="20">
        <v>6.11</v>
      </c>
      <c r="O13" s="20">
        <v>6.11</v>
      </c>
      <c r="U13" s="34" t="s">
        <v>1337</v>
      </c>
      <c r="V13" s="34" t="s">
        <v>1338</v>
      </c>
      <c r="W13" s="34" t="s">
        <v>1339</v>
      </c>
      <c r="AQ13" s="21" t="str">
        <f t="shared" si="0"/>
        <v>"D60": {"Name": "D60", "Year": 2008, "Processor": "EXPEED", "Sensor": {"Name": "Sony ICX-493-AQA", "Type": "CCD", "Bayer": "",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3" s="21" t="str" cm="1">
        <f t="array" ref="AR13">_xlfn.LET(_xlpm.crop,$R$2:$AO$2,_xlpm.size,$R$3:$AO$3,_xlpm.value,R13:AO13,_xlpm.vf,_xlfn.MAP(_xlpm.size,_xlpm.value,_xlfn.LAMBDA(_xlpm.s,_xlpm.v,IF(_xlpm.v="","",""""&amp;_xlpm.s&amp;""":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4" spans="1:44" x14ac:dyDescent="0.25">
      <c r="A14" s="33" t="s">
        <v>1341</v>
      </c>
      <c r="B14" s="33" t="s">
        <v>1341</v>
      </c>
      <c r="C14" s="20">
        <v>2006</v>
      </c>
      <c r="F14" s="34" t="s">
        <v>1336</v>
      </c>
      <c r="G14" s="35" t="s">
        <v>1331</v>
      </c>
      <c r="H14" s="35" t="s">
        <v>1342</v>
      </c>
      <c r="I14" s="20">
        <v>12</v>
      </c>
      <c r="J14" s="20">
        <v>3872</v>
      </c>
      <c r="K14" s="20">
        <v>2592</v>
      </c>
      <c r="L14" s="20">
        <v>23.6</v>
      </c>
      <c r="M14" s="20">
        <v>15.8</v>
      </c>
      <c r="N14" s="20">
        <v>6.11</v>
      </c>
      <c r="O14" s="20">
        <v>6.11</v>
      </c>
      <c r="U14" s="34" t="s">
        <v>1337</v>
      </c>
      <c r="V14" s="34" t="s">
        <v>1338</v>
      </c>
      <c r="W14" s="34" t="s">
        <v>1339</v>
      </c>
      <c r="AQ14" s="21" t="str">
        <f t="shared" si="0"/>
        <v>"D80": {"Name": "D80", "Year": 2006, "Processor": "", "Sensor": {"Name": "Sony ICX-493-AQA", "Type": "CCD", "Bayer": "GBRG",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4" s="21" t="str" cm="1">
        <f t="array" ref="AR14">_xlfn.LET(_xlpm.crop,$R$2:$AO$2,_xlpm.size,$R$3:$AO$3,_xlpm.value,R14:AO14,_xlpm.vf,_xlfn.MAP(_xlpm.size,_xlpm.value,_xlfn.LAMBDA(_xlpm.s,_xlpm.v,IF(_xlpm.v="","",""""&amp;_xlpm.s&amp;""":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5" spans="1:44" x14ac:dyDescent="0.25">
      <c r="A15" s="33" t="s">
        <v>1343</v>
      </c>
      <c r="B15" s="33" t="s">
        <v>1343</v>
      </c>
      <c r="C15" s="20">
        <v>2008</v>
      </c>
      <c r="D15" s="20" t="s">
        <v>1261</v>
      </c>
      <c r="F15" s="34" t="s">
        <v>1344</v>
      </c>
      <c r="G15" s="35" t="s">
        <v>1263</v>
      </c>
      <c r="I15" s="20">
        <v>12</v>
      </c>
      <c r="J15" s="20">
        <v>4288</v>
      </c>
      <c r="K15" s="20">
        <v>2848</v>
      </c>
      <c r="L15" s="20">
        <v>23.6</v>
      </c>
      <c r="M15" s="20">
        <v>15.8</v>
      </c>
      <c r="N15" s="20">
        <v>5.53</v>
      </c>
      <c r="O15" s="20">
        <v>5.53</v>
      </c>
      <c r="U15" s="34" t="s">
        <v>1345</v>
      </c>
      <c r="V15" s="34" t="s">
        <v>1346</v>
      </c>
      <c r="W15" s="34" t="s">
        <v>1347</v>
      </c>
      <c r="AQ15" s="21" t="str">
        <f t="shared" si="0"/>
        <v>"D90": {"Name": "D90", "Year": 2008, "Processor": "EXPEED", "Sensor": {"Name": "Sony IMX-038-BQL", "Type": "CMOS", "Bayer": "", "BitDepth": 12, "ResX": 4288, "ResY": 2848, "SizeX": 23.6, "SizeY": 15.8, "PixelSizeX": 5.53, "PixelSizeY": 5.53}, "CropSubSampling": [{"Crop": "DX", "Subs": {"Size L": {"ResX": 4288, "ResY": 2848}, "Size M": {"ResX": 3216, "ResY": 2136}, "Size S": {"ResX": 2144, "ResY": 1424}}}]}</v>
      </c>
      <c r="AR15" s="21" t="str" cm="1">
        <f t="array" ref="AR15">_xlfn.LET(_xlpm.crop,$R$2:$AO$2,_xlpm.size,$R$3:$AO$3,_xlpm.value,R15:AO15,_xlpm.vf,_xlfn.MAP(_xlpm.size,_xlpm.value,_xlfn.LAMBDA(_xlpm.s,_xlpm.v,IF(_xlpm.v="","",""""&amp;_xlpm.s&amp;""":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16" spans="1:44" x14ac:dyDescent="0.25">
      <c r="A16" s="33" t="s">
        <v>1348</v>
      </c>
      <c r="B16" s="33" t="s">
        <v>1348</v>
      </c>
      <c r="C16" s="20">
        <v>2005</v>
      </c>
      <c r="F16" s="34" t="s">
        <v>1349</v>
      </c>
      <c r="G16" s="35" t="s">
        <v>1331</v>
      </c>
      <c r="I16" s="20">
        <v>12</v>
      </c>
      <c r="J16" s="20">
        <v>3872</v>
      </c>
      <c r="K16" s="20">
        <v>2592</v>
      </c>
      <c r="L16" s="20">
        <v>23.6</v>
      </c>
      <c r="M16" s="20">
        <v>15.8</v>
      </c>
      <c r="N16" s="20">
        <v>6.11</v>
      </c>
      <c r="O16" s="20">
        <v>6.11</v>
      </c>
      <c r="U16" s="34" t="s">
        <v>1337</v>
      </c>
      <c r="V16" s="34" t="s">
        <v>1338</v>
      </c>
      <c r="W16" s="34" t="s">
        <v>1339</v>
      </c>
      <c r="AQ16" s="21" t="str">
        <f t="shared" si="0"/>
        <v>"D200": {"Name": "D200", "Year": 2005, "Processor": "", "Sensor": {"Name": "Sony ICX-483-AQA", "Type": "CCD", "Bayer": "", "BitDepth": 12, "ResX": 3872, "ResY": 2592, "SizeX": 23.6, "SizeY": 15.8, "PixelSizeX": 6.11, "PixelSizeY": 6.11}, "CropSubSampling": [{"Crop": "DX", "Subs": {"Size L": {"ResX": 3872, "ResY": 2592}, "Size M": {"ResX": 2896, "ResY": 1944}, "Size S": {"ResX": 1936, "ResY": 1296}}}]}</v>
      </c>
      <c r="AR16" s="21" t="str" cm="1">
        <f t="array" ref="AR16">_xlfn.LET(_xlpm.crop,$R$2:$AO$2,_xlpm.size,$R$3:$AO$3,_xlpm.value,R16:AO16,_xlpm.vf,_xlfn.MAP(_xlpm.size,_xlpm.value,_xlfn.LAMBDA(_xlpm.s,_xlpm.v,IF(_xlpm.v="","",""""&amp;_xlpm.s&amp;""":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3872, "ResY": 2592}, "Size M": {"ResX": 2896, "ResY": 1944}, "Size S": {"ResX": 1936, "ResY": 1296}}}]</v>
      </c>
    </row>
    <row r="17" spans="1:44" x14ac:dyDescent="0.25">
      <c r="A17" s="33" t="s">
        <v>1350</v>
      </c>
      <c r="B17" s="33" t="s">
        <v>1350</v>
      </c>
      <c r="C17" s="20">
        <v>2007</v>
      </c>
      <c r="D17" s="20" t="s">
        <v>1261</v>
      </c>
      <c r="F17" s="34" t="s">
        <v>1351</v>
      </c>
      <c r="G17" s="35" t="s">
        <v>1263</v>
      </c>
      <c r="I17" s="20">
        <v>14</v>
      </c>
      <c r="J17" s="20">
        <v>4288</v>
      </c>
      <c r="K17" s="20">
        <v>2848</v>
      </c>
      <c r="L17" s="20">
        <v>23.6</v>
      </c>
      <c r="M17" s="20">
        <v>15.8</v>
      </c>
      <c r="N17" s="20">
        <v>5.5</v>
      </c>
      <c r="O17" s="20">
        <v>5.5</v>
      </c>
      <c r="U17" s="34" t="s">
        <v>1345</v>
      </c>
      <c r="V17" s="34" t="s">
        <v>1346</v>
      </c>
      <c r="W17" s="34" t="s">
        <v>1347</v>
      </c>
      <c r="AQ17" s="21" t="str">
        <f t="shared" si="0"/>
        <v>"D300": {"Name": "D300", "Year": 2007, "Processor": "EXPEED", "Sensor": {"Name": "Sony IMX-021-BQR", "Type": "CMOS", "Bayer": "", "BitDepth": 14, "ResX": 4288, "ResY": 2848, "SizeX": 23.6, "SizeY": 15.8, "PixelSizeX": 5.5, "PixelSizeY": 5.5}, "CropSubSampling": [{"Crop": "DX", "Subs": {"Size L": {"ResX": 4288, "ResY": 2848}, "Size M": {"ResX": 3216, "ResY": 2136}, "Size S": {"ResX": 2144, "ResY": 1424}}}]}</v>
      </c>
      <c r="AR17" s="21" t="str" cm="1">
        <f t="array" ref="AR17">_xlfn.LET(_xlpm.crop,$R$2:$AO$2,_xlpm.size,$R$3:$AO$3,_xlpm.value,R17:AO17,_xlpm.vf,_xlfn.MAP(_xlpm.size,_xlpm.value,_xlfn.LAMBDA(_xlpm.s,_xlpm.v,IF(_xlpm.v="","",""""&amp;_xlpm.s&amp;""":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18" spans="1:44" x14ac:dyDescent="0.25">
      <c r="A18" s="33" t="s">
        <v>1352</v>
      </c>
      <c r="B18" s="33" t="s">
        <v>1352</v>
      </c>
      <c r="C18" s="20">
        <v>2009</v>
      </c>
      <c r="D18" s="20" t="s">
        <v>1261</v>
      </c>
      <c r="F18" s="34" t="s">
        <v>1344</v>
      </c>
      <c r="G18" s="35" t="s">
        <v>1263</v>
      </c>
      <c r="I18" s="20">
        <v>14</v>
      </c>
      <c r="J18" s="20">
        <v>4288</v>
      </c>
      <c r="K18" s="20">
        <v>2848</v>
      </c>
      <c r="L18" s="20">
        <v>23.6</v>
      </c>
      <c r="M18" s="20">
        <v>15.8</v>
      </c>
      <c r="N18" s="20">
        <v>5.5</v>
      </c>
      <c r="O18" s="20">
        <v>5.5</v>
      </c>
      <c r="U18" s="34" t="s">
        <v>1345</v>
      </c>
      <c r="V18" s="34" t="s">
        <v>1346</v>
      </c>
      <c r="W18" s="34" t="s">
        <v>1347</v>
      </c>
      <c r="AQ18" s="21" t="str">
        <f t="shared" si="0"/>
        <v>"D300S": {"Name": "D300S", "Year": 2009, "Processor": "EXPEED", "Sensor": {"Name": "Sony IMX-038-BQL", "Type": "CMOS", "Bayer": "", "BitDepth": 14, "ResX": 4288, "ResY": 2848, "SizeX": 23.6, "SizeY": 15.8, "PixelSizeX": 5.5, "PixelSizeY": 5.5}, "CropSubSampling": [{"Crop": "DX", "Subs": {"Size L": {"ResX": 4288, "ResY": 2848}, "Size M": {"ResX": 3216, "ResY": 2136}, "Size S": {"ResX": 2144, "ResY": 1424}}}]}</v>
      </c>
      <c r="AR18" s="21" t="str" cm="1">
        <f t="array" ref="AR18">_xlfn.LET(_xlpm.crop,$R$2:$AO$2,_xlpm.size,$R$3:$AO$3,_xlpm.value,R18:AO18,_xlpm.vf,_xlfn.MAP(_xlpm.size,_xlpm.value,_xlfn.LAMBDA(_xlpm.s,_xlpm.v,IF(_xlpm.v="","",""""&amp;_xlpm.s&amp;""":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19" spans="1:44" x14ac:dyDescent="0.25">
      <c r="A19" s="33" t="s">
        <v>1353</v>
      </c>
      <c r="B19" s="33" t="s">
        <v>1353</v>
      </c>
      <c r="C19" s="20">
        <v>2016</v>
      </c>
      <c r="D19" s="20" t="s">
        <v>1306</v>
      </c>
      <c r="F19" s="34" t="s">
        <v>1354</v>
      </c>
      <c r="G19" s="35" t="s">
        <v>1263</v>
      </c>
      <c r="I19" s="20">
        <v>14</v>
      </c>
      <c r="J19" s="20">
        <v>5568</v>
      </c>
      <c r="K19" s="20">
        <v>3712</v>
      </c>
      <c r="L19" s="20">
        <v>23.5</v>
      </c>
      <c r="M19" s="20">
        <v>15.7</v>
      </c>
      <c r="N19" s="20">
        <v>4.22</v>
      </c>
      <c r="O19" s="20">
        <v>4.22</v>
      </c>
      <c r="Q19" s="35" t="s">
        <v>1355</v>
      </c>
      <c r="U19" s="34" t="s">
        <v>1308</v>
      </c>
      <c r="V19" s="34" t="s">
        <v>1309</v>
      </c>
      <c r="W19" s="34" t="s">
        <v>1310</v>
      </c>
      <c r="AA19" s="34" t="s">
        <v>1356</v>
      </c>
      <c r="AB19" s="34" t="s">
        <v>1357</v>
      </c>
      <c r="AC19" s="34" t="s">
        <v>1358</v>
      </c>
      <c r="AQ19" s="21" t="str">
        <f t="shared" si="0"/>
        <v>"D500": {"Name": "D500", "Year": 2016, "Processor": "EXPEED 5", "Sensor": {"Name": "Sony IMX-321", "Type": "CMOS",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1424}}}]}</v>
      </c>
      <c r="AR19" s="21" t="str" cm="1">
        <f t="array" ref="AR19">_xlfn.LET(_xlpm.crop,$R$2:$AO$2,_xlpm.size,$R$3:$AO$3,_xlpm.value,R19:AO19,_xlpm.vf,_xlfn.MAP(_xlpm.size,_xlpm.value,_xlfn.LAMBDA(_xlpm.s,_xlpm.v,IF(_xlpm.v="","",""""&amp;_xlpm.s&amp;""":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</v>
      </c>
    </row>
    <row r="20" spans="1:44" x14ac:dyDescent="0.25">
      <c r="A20" s="33" t="s">
        <v>1359</v>
      </c>
      <c r="B20" s="33" t="s">
        <v>1359</v>
      </c>
      <c r="C20" s="20">
        <v>2012</v>
      </c>
      <c r="D20" s="20" t="s">
        <v>1288</v>
      </c>
      <c r="F20" s="34" t="s">
        <v>1360</v>
      </c>
      <c r="G20" s="35" t="s">
        <v>1263</v>
      </c>
      <c r="I20" s="20">
        <v>14</v>
      </c>
      <c r="J20" s="20">
        <v>6016</v>
      </c>
      <c r="K20" s="20">
        <v>4016</v>
      </c>
      <c r="L20" s="20">
        <v>35.9</v>
      </c>
      <c r="M20" s="20">
        <v>24</v>
      </c>
      <c r="N20" s="20">
        <v>5.95</v>
      </c>
      <c r="O20" s="20">
        <v>5.95</v>
      </c>
      <c r="Q20" s="35" t="s">
        <v>1361</v>
      </c>
      <c r="R20" s="34" t="s">
        <v>1362</v>
      </c>
      <c r="S20" s="34" t="s">
        <v>1363</v>
      </c>
      <c r="T20" s="34" t="s">
        <v>1364</v>
      </c>
      <c r="U20" s="34" t="s">
        <v>1365</v>
      </c>
      <c r="V20" s="34" t="s">
        <v>1366</v>
      </c>
      <c r="W20" s="34" t="s">
        <v>1367</v>
      </c>
      <c r="AQ20" s="21" t="str">
        <f t="shared" si="0"/>
        <v>"D600": {"Name": "D600", "Year": 2012, "Processor": "EXPEED 3", "Sensor": {"Name": "Sony IMX-128- (L) -AQP", "Type": "CMOS", "Bayer": "", "BitDepth": 14, "ResX": 6016, "ResY": 4016, "SizeX": 35.9, "SizeY": 24, "PixelSizeX": 5.95, "PixelSizeY": 5.95},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1312}}}]}</v>
      </c>
      <c r="AR20" s="21" t="str" cm="1">
        <f t="array" ref="AR20">_xlfn.LET(_xlpm.crop,$R$2:$AO$2,_xlpm.size,$R$3:$AO$3,_xlpm.value,R20:AO20,_xlpm.vf,_xlfn.MAP(_xlpm.size,_xlpm.value,_xlfn.LAMBDA(_xlpm.s,_xlpm.v,IF(_xlpm.v="","",""""&amp;_xlpm.s&amp;""":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</v>
      </c>
    </row>
    <row r="21" spans="1:44" x14ac:dyDescent="0.25">
      <c r="A21" s="33" t="s">
        <v>1368</v>
      </c>
      <c r="B21" s="33" t="s">
        <v>1368</v>
      </c>
      <c r="C21" s="20">
        <v>2013</v>
      </c>
      <c r="D21" s="20" t="s">
        <v>1288</v>
      </c>
      <c r="F21" s="34" t="s">
        <v>1360</v>
      </c>
      <c r="G21" s="35" t="s">
        <v>1263</v>
      </c>
      <c r="I21" s="20">
        <v>14</v>
      </c>
      <c r="J21" s="20">
        <v>6016</v>
      </c>
      <c r="K21" s="20">
        <v>4016</v>
      </c>
      <c r="L21" s="20">
        <v>35.9</v>
      </c>
      <c r="M21" s="20">
        <v>24</v>
      </c>
      <c r="N21" s="20">
        <v>5.95</v>
      </c>
      <c r="O21" s="20">
        <v>5.95</v>
      </c>
      <c r="Q21" s="35" t="s">
        <v>1361</v>
      </c>
      <c r="R21" s="34" t="s">
        <v>1362</v>
      </c>
      <c r="S21" s="34" t="s">
        <v>1363</v>
      </c>
      <c r="T21" s="34" t="s">
        <v>1364</v>
      </c>
      <c r="U21" s="34" t="s">
        <v>1365</v>
      </c>
      <c r="V21" s="34" t="s">
        <v>1366</v>
      </c>
      <c r="W21" s="34" t="s">
        <v>1367</v>
      </c>
      <c r="AQ21" s="21" t="str">
        <f t="shared" si="0"/>
        <v>"D610": {"Name": "D610", "Year": 2013, "Processor": "EXPEED 3", "Sensor": {"Name": "Sony IMX-128- (L) -AQP", "Type": "CMOS", "Bayer": "", "BitDepth": 14, "ResX": 6016, "ResY": 4016, "SizeX": 35.9, "SizeY": 24, "PixelSizeX": 5.95, "PixelSizeY": 5.95},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1312}}}]}</v>
      </c>
      <c r="AR21" s="21" t="str" cm="1">
        <f t="array" ref="AR21">_xlfn.LET(_xlpm.crop,$R$2:$AO$2,_xlpm.size,$R$3:$AO$3,_xlpm.value,R21:AO21,_xlpm.vf,_xlfn.MAP(_xlpm.size,_xlpm.value,_xlfn.LAMBDA(_xlpm.s,_xlpm.v,IF(_xlpm.v="","",""""&amp;_xlpm.s&amp;""":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1312}}}]</v>
      </c>
    </row>
    <row r="22" spans="1:44" x14ac:dyDescent="0.25">
      <c r="A22" s="33" t="s">
        <v>1369</v>
      </c>
      <c r="B22" s="33" t="s">
        <v>1369</v>
      </c>
      <c r="C22" s="20">
        <v>2008</v>
      </c>
      <c r="D22" s="20" t="s">
        <v>1261</v>
      </c>
      <c r="F22" s="34" t="s">
        <v>1262</v>
      </c>
      <c r="G22" s="35" t="s">
        <v>1263</v>
      </c>
      <c r="I22" s="20">
        <v>14</v>
      </c>
      <c r="J22" s="20">
        <v>4256</v>
      </c>
      <c r="K22" s="20">
        <v>2832</v>
      </c>
      <c r="L22" s="20">
        <v>36</v>
      </c>
      <c r="M22" s="20">
        <v>23.9</v>
      </c>
      <c r="N22" s="20">
        <v>8.4499999999999993</v>
      </c>
      <c r="O22" s="20">
        <v>8.4499999999999993</v>
      </c>
      <c r="Q22" s="35" t="s">
        <v>1361</v>
      </c>
      <c r="R22" s="34" t="s">
        <v>1265</v>
      </c>
      <c r="S22" s="34" t="s">
        <v>1266</v>
      </c>
      <c r="T22" s="34" t="s">
        <v>1267</v>
      </c>
      <c r="U22" s="34" t="s">
        <v>1268</v>
      </c>
      <c r="V22" s="34" t="s">
        <v>1269</v>
      </c>
      <c r="W22" s="34" t="s">
        <v>1270</v>
      </c>
      <c r="AQ22" s="21" t="str">
        <f t="shared" si="0"/>
        <v>"D700": {"Name": "D700", "Year": 2008, "Processor": "EXPEED", "Sensor": {"Name": "Nikon NC81338L", "Type": "CMOS", "Bayer": "", "BitDepth": 14, "ResX": 4256, "ResY": 2832, "SizeX": 36, "SizeY": 23.9, "PixelSizeX": 8.45, "PixelSizeY": 8.45}, 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920}}}]}</v>
      </c>
      <c r="AR22" s="21" t="str" cm="1">
        <f t="array" ref="AR22">_xlfn.LET(_xlpm.crop,$R$2:$AO$2,_xlpm.size,$R$3:$AO$3,_xlpm.value,R22:AO22,_xlpm.vf,_xlfn.MAP(_xlpm.size,_xlpm.value,_xlfn.LAMBDA(_xlpm.s,_xlpm.v,IF(_xlpm.v="","",""""&amp;_xlpm.s&amp;""":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4256, "ResY": 2832}, "Size M": {"ResX": 3184, "ResY": 2120}, "Size S": {"ResX": 2128, "ResY": 1416}}}, {"Crop": "DX", "Subs": {"Size L": {"ResX": 2784, "ResY": 1848}, "Size M": {"ResX": 2080, "ResY": 1384}, "Size S": {"ResX": 1392, "ResY": 920}}}]</v>
      </c>
    </row>
    <row r="23" spans="1:44" ht="22.5" x14ac:dyDescent="0.25">
      <c r="A23" s="33" t="s">
        <v>1370</v>
      </c>
      <c r="B23" s="33" t="s">
        <v>1370</v>
      </c>
      <c r="C23" s="20">
        <v>2014</v>
      </c>
      <c r="D23" s="20" t="s">
        <v>1304</v>
      </c>
      <c r="F23" s="34" t="s">
        <v>1360</v>
      </c>
      <c r="G23" s="35" t="s">
        <v>1263</v>
      </c>
      <c r="I23" s="20">
        <v>14</v>
      </c>
      <c r="J23" s="20">
        <v>6016</v>
      </c>
      <c r="K23" s="20">
        <v>4016</v>
      </c>
      <c r="L23" s="20">
        <v>35.9</v>
      </c>
      <c r="M23" s="20">
        <v>24</v>
      </c>
      <c r="N23" s="20">
        <v>5.97</v>
      </c>
      <c r="O23" s="20">
        <v>5.97</v>
      </c>
      <c r="Q23" s="35" t="s">
        <v>1371</v>
      </c>
      <c r="R23" s="34" t="s">
        <v>1362</v>
      </c>
      <c r="S23" s="34" t="s">
        <v>1363</v>
      </c>
      <c r="T23" s="34" t="s">
        <v>1364</v>
      </c>
      <c r="U23" s="34" t="s">
        <v>1365</v>
      </c>
      <c r="V23" s="34" t="s">
        <v>1366</v>
      </c>
      <c r="W23" s="34" t="s">
        <v>1367</v>
      </c>
      <c r="AG23" s="34" t="s">
        <v>1372</v>
      </c>
      <c r="AH23" s="34" t="s">
        <v>1373</v>
      </c>
      <c r="AI23" s="34" t="s">
        <v>1374</v>
      </c>
      <c r="AQ23" s="21" t="str">
        <f t="shared" si="0"/>
        <v>"D750": {"Name": "D750", "Year": 2014, "Processor": "EXPEED 4", "Sensor": {"Name": "Sony IMX-128- (L) -AQP", "Type": "CMOS", "Bayer": "", "BitDepth": 14, "ResX": 6016, "ResY": 4016, "SizeX": 35.9, "SizeY": 24, "PixelSizeX": 5.97, "PixelSizeY": 5.97},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"1.2x", "Subs": {"Size L": {"ResX": 5008, "ResY": 3336}, "Size M": {"ResX": 3752, "ResY": 2504}, "Size S": {"ResX": 2504, "ResY": 1664}}}]}</v>
      </c>
      <c r="AR23" s="21" t="str" cm="1">
        <f t="array" ref="AR23">_xlfn.LET(_xlpm.crop,$R$2:$AO$2,_xlpm.size,$R$3:$AO$3,_xlpm.value,R23:AO23,_xlpm.vf,_xlfn.MAP(_xlpm.size,_xlpm.value,_xlfn.LAMBDA(_xlpm.s,_xlpm.v,IF(_xlpm.v="","",""""&amp;_xlpm.s&amp;""":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"1.2x", "Subs": {"Size L": {"ResX": 5008, "ResY": 3336}, "Size M": {"ResX": 3752, "ResY": 2504}, "Size S": {"ResX": 2504, "ResY": 1664}}}]</v>
      </c>
    </row>
    <row r="24" spans="1:44" ht="22.5" x14ac:dyDescent="0.25">
      <c r="A24" s="33" t="s">
        <v>1375</v>
      </c>
      <c r="B24" s="33" t="s">
        <v>1375</v>
      </c>
      <c r="C24" s="20">
        <v>2020</v>
      </c>
      <c r="D24" s="20" t="s">
        <v>1321</v>
      </c>
      <c r="F24" s="34" t="s">
        <v>1376</v>
      </c>
      <c r="G24" s="35" t="s">
        <v>1377</v>
      </c>
      <c r="I24" s="20">
        <v>14</v>
      </c>
      <c r="J24" s="20">
        <v>6048</v>
      </c>
      <c r="K24" s="20">
        <v>4024</v>
      </c>
      <c r="L24" s="20">
        <v>35.9</v>
      </c>
      <c r="M24" s="20">
        <v>23.9</v>
      </c>
      <c r="N24" s="20">
        <v>5.94</v>
      </c>
      <c r="O24" s="20">
        <v>5.94</v>
      </c>
      <c r="Q24" s="35" t="s">
        <v>1378</v>
      </c>
      <c r="R24" s="34" t="s">
        <v>1379</v>
      </c>
      <c r="S24" s="34" t="s">
        <v>1380</v>
      </c>
      <c r="T24" s="34" t="s">
        <v>1278</v>
      </c>
      <c r="U24" s="34" t="s">
        <v>1365</v>
      </c>
      <c r="V24" s="34" t="s">
        <v>1366</v>
      </c>
      <c r="W24" s="34" t="s">
        <v>1367</v>
      </c>
      <c r="AJ24" s="34" t="s">
        <v>1381</v>
      </c>
      <c r="AK24" s="34" t="s">
        <v>1382</v>
      </c>
      <c r="AL24" s="34" t="s">
        <v>1383</v>
      </c>
      <c r="AM24" s="34" t="s">
        <v>1384</v>
      </c>
      <c r="AN24" s="34" t="s">
        <v>1385</v>
      </c>
      <c r="AO24" s="34" t="s">
        <v>1386</v>
      </c>
      <c r="AQ24" s="21" t="str">
        <f t="shared" si="0"/>
        <v>"D780": {"Name": "D780", "Year": 2020, "Processor": "EXPEED 6", "Sensor": {"Name": "Sony ?", "Type": "BSI-CMOS", "Bayer": "", "BitDepth": 14, "ResX": 6048, "ResY": 4024, "SizeX": 35.9, "SizeY": 23.9, "PixelSizeX": 5.94, "PixelSizeY": 5.94}, 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1696}}}]}</v>
      </c>
      <c r="AR24" s="21" t="str" cm="1">
        <f t="array" ref="AR24">_xlfn.LET(_xlpm.crop,$R$2:$AO$2,_xlpm.size,$R$3:$AO$3,_xlpm.value,R24:AO24,_xlpm.vf,_xlfn.MAP(_xlpm.size,_xlpm.value,_xlfn.LAMBDA(_xlpm.s,_xlpm.v,IF(_xlpm.v="","",""""&amp;_xlpm.s&amp;""":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</v>
      </c>
    </row>
    <row r="25" spans="1:44" ht="22.5" x14ac:dyDescent="0.25">
      <c r="A25" s="33" t="s">
        <v>1387</v>
      </c>
      <c r="B25" s="33" t="s">
        <v>1387</v>
      </c>
      <c r="C25" s="20">
        <v>2012</v>
      </c>
      <c r="D25" s="20" t="s">
        <v>1288</v>
      </c>
      <c r="F25" s="34" t="s">
        <v>1388</v>
      </c>
      <c r="G25" s="35" t="s">
        <v>1263</v>
      </c>
      <c r="I25" s="20">
        <v>14</v>
      </c>
      <c r="J25" s="20">
        <v>7360</v>
      </c>
      <c r="K25" s="20">
        <v>4912</v>
      </c>
      <c r="L25" s="20">
        <v>35.9</v>
      </c>
      <c r="M25" s="20">
        <v>24</v>
      </c>
      <c r="N25" s="20">
        <v>4.88</v>
      </c>
      <c r="O25" s="20">
        <v>4.88</v>
      </c>
      <c r="Q25" s="35" t="s">
        <v>1290</v>
      </c>
      <c r="R25" s="34" t="s">
        <v>1389</v>
      </c>
      <c r="S25" s="34" t="s">
        <v>1390</v>
      </c>
      <c r="T25" s="34" t="s">
        <v>1391</v>
      </c>
      <c r="U25" s="34" t="s">
        <v>1392</v>
      </c>
      <c r="V25" s="34" t="s">
        <v>1393</v>
      </c>
      <c r="W25" s="34" t="s">
        <v>1394</v>
      </c>
      <c r="AD25" s="34" t="s">
        <v>1395</v>
      </c>
      <c r="AE25" s="34" t="s">
        <v>1396</v>
      </c>
      <c r="AF25" s="34" t="s">
        <v>1298</v>
      </c>
      <c r="AG25" s="34" t="s">
        <v>1397</v>
      </c>
      <c r="AH25" s="34" t="s">
        <v>1398</v>
      </c>
      <c r="AI25" s="34" t="s">
        <v>1301</v>
      </c>
      <c r="AQ25" s="21" t="str">
        <f t="shared" si="0"/>
        <v>"D800": {"Name": "D800", "Year": 2012, "Processor": "EXPEED 3", "Sensor": {"Name": "Sony IMX-094-AQP", "Type": "CMOS",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5" s="21" t="str" cm="1">
        <f t="array" ref="AR25">_xlfn.LET(_xlpm.crop,$R$2:$AO$2,_xlpm.size,$R$3:$AO$3,_xlpm.value,R25:AO25,_xlpm.vf,_xlfn.MAP(_xlpm.size,_xlpm.value,_xlfn.LAMBDA(_xlpm.s,_xlpm.v,IF(_xlpm.v="","",""""&amp;_xlpm.s&amp;""":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6" spans="1:44" ht="33.75" x14ac:dyDescent="0.25">
      <c r="A26" s="33" t="s">
        <v>1399</v>
      </c>
      <c r="B26" s="33" t="s">
        <v>1399</v>
      </c>
      <c r="C26" s="20">
        <v>2012</v>
      </c>
      <c r="D26" s="20" t="s">
        <v>1288</v>
      </c>
      <c r="F26" s="34" t="s">
        <v>1388</v>
      </c>
      <c r="G26" s="35" t="s">
        <v>1400</v>
      </c>
      <c r="I26" s="20">
        <v>14</v>
      </c>
      <c r="J26" s="20">
        <v>7360</v>
      </c>
      <c r="K26" s="20">
        <v>4912</v>
      </c>
      <c r="L26" s="20">
        <v>35.9</v>
      </c>
      <c r="M26" s="20">
        <v>24</v>
      </c>
      <c r="N26" s="20">
        <v>4.88</v>
      </c>
      <c r="O26" s="20">
        <v>4.88</v>
      </c>
      <c r="Q26" s="35" t="s">
        <v>1290</v>
      </c>
      <c r="R26" s="34" t="s">
        <v>1389</v>
      </c>
      <c r="S26" s="34" t="s">
        <v>1390</v>
      </c>
      <c r="T26" s="34" t="s">
        <v>1391</v>
      </c>
      <c r="U26" s="34" t="s">
        <v>1392</v>
      </c>
      <c r="V26" s="34" t="s">
        <v>1393</v>
      </c>
      <c r="W26" s="34" t="s">
        <v>1394</v>
      </c>
      <c r="AD26" s="34" t="s">
        <v>1395</v>
      </c>
      <c r="AE26" s="34" t="s">
        <v>1396</v>
      </c>
      <c r="AF26" s="34" t="s">
        <v>1298</v>
      </c>
      <c r="AG26" s="34" t="s">
        <v>1397</v>
      </c>
      <c r="AH26" s="34" t="s">
        <v>1398</v>
      </c>
      <c r="AI26" s="34" t="s">
        <v>1301</v>
      </c>
      <c r="AQ26" s="21" t="str">
        <f t="shared" si="0"/>
        <v>"D800E": {"Name": "D800E", "Year": 2012, "Processor": "EXPEED 3", "Sensor": {"Name": "Sony IMX-094-AQP", "Type": "CMOS (Without AA filter)",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6" s="21" t="str" cm="1">
        <f t="array" ref="AR26">_xlfn.LET(_xlpm.crop,$R$2:$AO$2,_xlpm.size,$R$3:$AO$3,_xlpm.value,R26:AO26,_xlpm.vf,_xlfn.MAP(_xlpm.size,_xlpm.value,_xlfn.LAMBDA(_xlpm.s,_xlpm.v,IF(_xlpm.v="","",""""&amp;_xlpm.s&amp;""":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7" spans="1:44" ht="33.75" x14ac:dyDescent="0.25">
      <c r="A27" s="33" t="s">
        <v>1401</v>
      </c>
      <c r="B27" s="33" t="s">
        <v>1401</v>
      </c>
      <c r="C27" s="20">
        <v>2014</v>
      </c>
      <c r="D27" s="20" t="s">
        <v>1304</v>
      </c>
      <c r="F27" s="34" t="s">
        <v>1388</v>
      </c>
      <c r="G27" s="35" t="s">
        <v>1400</v>
      </c>
      <c r="I27" s="20">
        <v>14</v>
      </c>
      <c r="J27" s="20">
        <v>7360</v>
      </c>
      <c r="K27" s="20">
        <v>4912</v>
      </c>
      <c r="L27" s="20">
        <v>35.9</v>
      </c>
      <c r="M27" s="20">
        <v>24</v>
      </c>
      <c r="N27" s="20">
        <v>4.88</v>
      </c>
      <c r="O27" s="20">
        <v>4.88</v>
      </c>
      <c r="Q27" s="35" t="s">
        <v>1290</v>
      </c>
      <c r="R27" s="34" t="s">
        <v>1389</v>
      </c>
      <c r="S27" s="34" t="s">
        <v>1390</v>
      </c>
      <c r="T27" s="34" t="s">
        <v>1391</v>
      </c>
      <c r="U27" s="34" t="s">
        <v>1392</v>
      </c>
      <c r="V27" s="34" t="s">
        <v>1393</v>
      </c>
      <c r="W27" s="34" t="s">
        <v>1394</v>
      </c>
      <c r="AD27" s="34" t="s">
        <v>1395</v>
      </c>
      <c r="AE27" s="34" t="s">
        <v>1396</v>
      </c>
      <c r="AF27" s="34" t="s">
        <v>1298</v>
      </c>
      <c r="AG27" s="34" t="s">
        <v>1397</v>
      </c>
      <c r="AH27" s="34" t="s">
        <v>1398</v>
      </c>
      <c r="AI27" s="34" t="s">
        <v>1301</v>
      </c>
      <c r="AQ27" s="21" t="str">
        <f t="shared" si="0"/>
        <v>"D810": {"Name": "D810", "Year": 2014, "Processor": "EXPEED 4", "Sensor": {"Name": "Sony IMX-094-AQP", "Type": "CMOS (Without AA filter)",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7" s="21" t="str" cm="1">
        <f t="array" ref="AR27">_xlfn.LET(_xlpm.crop,$R$2:$AO$2,_xlpm.size,$R$3:$AO$3,_xlpm.value,R27:AO27,_xlpm.vf,_xlfn.MAP(_xlpm.size,_xlpm.value,_xlfn.LAMBDA(_xlpm.s,_xlpm.v,IF(_xlpm.v="","",""""&amp;_xlpm.s&amp;""":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8" spans="1:44" ht="33.75" x14ac:dyDescent="0.25">
      <c r="A28" s="33" t="s">
        <v>1402</v>
      </c>
      <c r="B28" s="33" t="s">
        <v>1402</v>
      </c>
      <c r="C28" s="20">
        <v>2015</v>
      </c>
      <c r="D28" s="20" t="s">
        <v>1304</v>
      </c>
      <c r="F28" s="34" t="s">
        <v>1388</v>
      </c>
      <c r="G28" s="35" t="s">
        <v>1400</v>
      </c>
      <c r="I28" s="20">
        <v>14</v>
      </c>
      <c r="J28" s="20">
        <v>7360</v>
      </c>
      <c r="K28" s="20">
        <v>4912</v>
      </c>
      <c r="L28" s="20">
        <v>35.9</v>
      </c>
      <c r="M28" s="20">
        <v>24</v>
      </c>
      <c r="N28" s="20">
        <v>4.88</v>
      </c>
      <c r="O28" s="20">
        <v>4.88</v>
      </c>
      <c r="Q28" s="35" t="s">
        <v>1290</v>
      </c>
      <c r="R28" s="34" t="s">
        <v>1389</v>
      </c>
      <c r="S28" s="34" t="s">
        <v>1390</v>
      </c>
      <c r="T28" s="34" t="s">
        <v>1391</v>
      </c>
      <c r="U28" s="34" t="s">
        <v>1392</v>
      </c>
      <c r="V28" s="34" t="s">
        <v>1393</v>
      </c>
      <c r="W28" s="34" t="s">
        <v>1394</v>
      </c>
      <c r="AD28" s="34" t="s">
        <v>1395</v>
      </c>
      <c r="AE28" s="34" t="s">
        <v>1396</v>
      </c>
      <c r="AF28" s="34" t="s">
        <v>1298</v>
      </c>
      <c r="AG28" s="34" t="s">
        <v>1397</v>
      </c>
      <c r="AH28" s="34" t="s">
        <v>1398</v>
      </c>
      <c r="AI28" s="34" t="s">
        <v>1301</v>
      </c>
      <c r="AQ28" s="21" t="str">
        <f t="shared" si="0"/>
        <v>"D810A": {"Name": "D810A", "Year": 2015, "Processor": "EXPEED 4", "Sensor": {"Name": "Sony IMX-094-AQP", "Type": "CMOS (Without AA filter)", "Bayer": "", "BitDepth": 14, "ResX": 7360, "ResY": 4912, "SizeX": 35.9, "SizeY": 24, "PixelSizeX": 4.88, "PixelSizeY": 4.88}, 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2040}}}]}</v>
      </c>
      <c r="AR28" s="21" t="str" cm="1">
        <f t="array" ref="AR28">_xlfn.LET(_xlpm.crop,$R$2:$AO$2,_xlpm.size,$R$3:$AO$3,_xlpm.value,R28:AO28,_xlpm.vf,_xlfn.MAP(_xlpm.size,_xlpm.value,_xlfn.LAMBDA(_xlpm.s,_xlpm.v,IF(_xlpm.v="","",""""&amp;_xlpm.s&amp;""":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7360, "ResY": 4912}, "Size M": {"ResX": 5520, "ResY": 3680}, "Size S": {"ResX": 3680, "ResY": 2456}}}, {"Crop": "DX", "Subs": {"Size L": {"ResX": 4800, "ResY": 3200}, "Size M": {"ResX": 3600, "ResY": 2400}, "Size S": {"ResX": 2400, "ResY": 1600}}}, {"Crop": "5:4", "Subs": {"Size L": {"ResX": 6144, "ResY": 4912}, "Size M": {"ResX": 4608, "ResY": 3680}, "Size S": {"ResX": 3072, "ResY": 2456}}}, {"Crop": "1.2x", "Subs": {"Size L": {"ResX": 6144, "ResY": 4080}, "Size M": {"ResX": 4608, "ResY": 3056}, "Size S": {"ResX": 3072, "ResY": 2040}}}]</v>
      </c>
    </row>
    <row r="29" spans="1:44" ht="45" x14ac:dyDescent="0.25">
      <c r="A29" s="33" t="s">
        <v>1403</v>
      </c>
      <c r="B29" s="33" t="s">
        <v>1403</v>
      </c>
      <c r="C29" s="20">
        <v>2017</v>
      </c>
      <c r="D29" s="20" t="s">
        <v>1306</v>
      </c>
      <c r="F29" s="34" t="s">
        <v>1404</v>
      </c>
      <c r="G29" s="35" t="s">
        <v>1405</v>
      </c>
      <c r="I29" s="20">
        <v>14</v>
      </c>
      <c r="J29" s="20">
        <v>8256</v>
      </c>
      <c r="K29" s="20">
        <v>5504</v>
      </c>
      <c r="L29" s="20">
        <v>35.9</v>
      </c>
      <c r="M29" s="20">
        <v>23.9</v>
      </c>
      <c r="N29" s="20">
        <v>4.3499999999999996</v>
      </c>
      <c r="O29" s="20">
        <v>4.3499999999999996</v>
      </c>
      <c r="Q29" s="35" t="s">
        <v>1406</v>
      </c>
      <c r="R29" s="34" t="s">
        <v>1407</v>
      </c>
      <c r="S29" s="34" t="s">
        <v>1408</v>
      </c>
      <c r="T29" s="34" t="s">
        <v>1409</v>
      </c>
      <c r="U29" s="34" t="s">
        <v>1410</v>
      </c>
      <c r="V29" s="34" t="s">
        <v>1411</v>
      </c>
      <c r="W29" s="34" t="s">
        <v>1412</v>
      </c>
      <c r="AD29" s="34" t="s">
        <v>1413</v>
      </c>
      <c r="AE29" s="34" t="s">
        <v>1414</v>
      </c>
      <c r="AF29" s="34" t="s">
        <v>1415</v>
      </c>
      <c r="AG29" s="34" t="s">
        <v>1416</v>
      </c>
      <c r="AH29" s="34" t="s">
        <v>1417</v>
      </c>
      <c r="AI29" s="34" t="s">
        <v>1418</v>
      </c>
      <c r="AJ29" s="34" t="s">
        <v>1419</v>
      </c>
      <c r="AK29" s="34" t="s">
        <v>1420</v>
      </c>
      <c r="AL29" s="34" t="s">
        <v>1421</v>
      </c>
      <c r="AQ29" s="21" t="str">
        <f t="shared" si="0"/>
        <v>"D850": {"Name": "D850", "Year": 2017, "Processor": "EXPEED 5", "Sensor": {"Name": "Sony IMX-309-AQJ", "Type": "BSI-CMOS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"1.2x", "Subs": {"Size L": {"ResX": 6880, "ResY": 4584}, "Size M": {"ResX": 5152, "ResY": 3432}, "Size S": {"ResX": 3440, "ResY": 2288}}}, {"Crop": "1:1", "Subs": {"Size L": {"ResX": 5504, "ResY": 5504}, "Size M": {"ResX": 4128, "ResY": 4128}, "Size S": {"ResX": 2752, "ResY": 2752}}}]}</v>
      </c>
      <c r="AR29" s="21" t="str" cm="1">
        <f t="array" ref="AR29">_xlfn.LET(_xlpm.crop,$R$2:$AO$2,_xlpm.size,$R$3:$AO$3,_xlpm.value,R29:AO29,_xlpm.vf,_xlfn.MAP(_xlpm.size,_xlpm.value,_xlfn.LAMBDA(_xlpm.s,_xlpm.v,IF(_xlpm.v="","",""""&amp;_xlpm.s&amp;""":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"1.2x", "Subs": {"Size L": {"ResX": 6880, "ResY": 4584}, "Size M": {"ResX": 5152, "ResY": 3432}, "Size S": {"ResX": 3440, "ResY": 2288}}}, {"Crop": "1:1", "Subs": {"Size L": {"ResX": 5504, "ResY": 5504}, "Size M": {"ResX": 4128, "ResY": 4128}, "Size S": {"ResX": 2752, "ResY": 2752}}}]</v>
      </c>
    </row>
    <row r="30" spans="1:44" x14ac:dyDescent="0.25">
      <c r="A30" s="33" t="s">
        <v>1422</v>
      </c>
      <c r="B30" s="33" t="s">
        <v>1422</v>
      </c>
      <c r="C30" s="20">
        <v>2009</v>
      </c>
      <c r="D30" s="20" t="s">
        <v>1261</v>
      </c>
      <c r="F30" s="34" t="s">
        <v>1336</v>
      </c>
      <c r="G30" s="35" t="s">
        <v>1331</v>
      </c>
      <c r="I30" s="20">
        <v>12</v>
      </c>
      <c r="J30" s="20">
        <v>3872</v>
      </c>
      <c r="K30" s="20">
        <v>2592</v>
      </c>
      <c r="L30" s="20">
        <v>23.9</v>
      </c>
      <c r="M30" s="20">
        <v>15.8</v>
      </c>
      <c r="N30" s="20">
        <v>6.11</v>
      </c>
      <c r="O30" s="20">
        <v>6.11</v>
      </c>
      <c r="U30" s="34" t="s">
        <v>1337</v>
      </c>
      <c r="V30" s="34" t="s">
        <v>1338</v>
      </c>
      <c r="W30" s="34" t="s">
        <v>1339</v>
      </c>
      <c r="AQ30" s="21" t="str">
        <f t="shared" ref="AQ30:AQ35" si="1">""""&amp;B30&amp;""": {"&amp;"""Name"": "&amp;""""&amp;A30&amp;""", "&amp;"""Year"": "&amp;C30&amp;", "&amp;"""Processor"": "&amp;""""&amp;D30&amp;""", "&amp;"""Sensor"": {"&amp;"""Name"": "&amp;""""&amp;F30&amp;""", "&amp;"""Type"": "&amp;""""&amp;G29&amp;""", "&amp;"""Bayer"": "&amp;""""&amp;H30&amp;""", "&amp;"""BitDepth"": "&amp;""&amp;I30&amp;", "&amp;"""ResX"": "&amp;""&amp;J30&amp;", "&amp;"""ResY"": "&amp;""&amp;K30&amp;", "&amp;"""SizeX"": "&amp;""&amp;SUBSTITUTE(L30,",",".")&amp;", "&amp;"""SizeY"": "&amp;""&amp;SUBSTITUTE(M30,",",".")&amp;", "&amp;"""PixelSizeX"": "&amp;""&amp;SUBSTITUTE(N30,",",".")&amp;", "&amp;"""PixelSizeY"": "&amp;""&amp;SUBSTITUTE(O30,",",".")&amp;"}, "&amp;AR30&amp;"}"</f>
        <v>"D3000": {"Name": "D3000", "Year": 2009, "Processor": "EXPEED", "Sensor": {"Name": "Sony ICX-493-AQA", "Type": "BSI-CMOS (without AA filter)", "Bayer": "", "BitDepth": 12, "ResX": 3872, "ResY": 2592, "SizeX": 23.9, "SizeY": 15.8, "PixelSizeX": 6.11, "PixelSizeY": 6.11}, }</v>
      </c>
    </row>
    <row r="31" spans="1:44" x14ac:dyDescent="0.25">
      <c r="A31" s="33" t="s">
        <v>1423</v>
      </c>
      <c r="B31" s="33" t="s">
        <v>1423</v>
      </c>
      <c r="C31" s="20">
        <v>2010</v>
      </c>
      <c r="D31" s="20" t="s">
        <v>1424</v>
      </c>
      <c r="F31" s="34" t="s">
        <v>1425</v>
      </c>
      <c r="G31" s="35" t="s">
        <v>1263</v>
      </c>
      <c r="I31" s="20">
        <v>12</v>
      </c>
      <c r="J31" s="20">
        <v>4608</v>
      </c>
      <c r="K31" s="20">
        <v>3072</v>
      </c>
      <c r="L31" s="20">
        <v>23.1</v>
      </c>
      <c r="M31" s="20">
        <v>15.4</v>
      </c>
      <c r="N31" s="20">
        <v>5.01</v>
      </c>
      <c r="O31" s="20">
        <v>5.01</v>
      </c>
      <c r="U31" s="34" t="s">
        <v>1426</v>
      </c>
      <c r="V31" s="34" t="s">
        <v>1427</v>
      </c>
      <c r="W31" s="34" t="s">
        <v>1428</v>
      </c>
      <c r="AQ31" s="21" t="str">
        <f t="shared" si="1"/>
        <v>"D3100": {"Name": "D3100", "Year": 2010, "Processor": "EXPEED 2", "Sensor": {"Name": "Nikon NC81362A", "Type": "CCD", "Bayer": "", "BitDepth": 12, "ResX": 4608, "ResY": 3072, "SizeX": 23.1, "SizeY": 15.4, "PixelSizeX": 5.01, "PixelSizeY": 5.01}, }</v>
      </c>
    </row>
    <row r="32" spans="1:44" x14ac:dyDescent="0.25">
      <c r="A32" s="33" t="s">
        <v>1429</v>
      </c>
      <c r="B32" s="33" t="s">
        <v>1429</v>
      </c>
      <c r="C32" s="20">
        <v>2012</v>
      </c>
      <c r="D32" s="20" t="s">
        <v>1288</v>
      </c>
      <c r="F32" s="34" t="s">
        <v>1430</v>
      </c>
      <c r="G32" s="35" t="s">
        <v>1263</v>
      </c>
      <c r="I32" s="20">
        <v>12</v>
      </c>
      <c r="J32" s="20">
        <v>6016</v>
      </c>
      <c r="K32" s="20">
        <v>4000</v>
      </c>
      <c r="L32" s="20">
        <v>23.2</v>
      </c>
      <c r="M32" s="20">
        <v>15.4</v>
      </c>
      <c r="N32" s="20">
        <v>3.85</v>
      </c>
      <c r="O32" s="20">
        <v>3.85</v>
      </c>
      <c r="U32" s="34" t="s">
        <v>1431</v>
      </c>
      <c r="V32" s="34" t="s">
        <v>1432</v>
      </c>
      <c r="W32" s="34" t="s">
        <v>1332</v>
      </c>
      <c r="AQ32" s="21" t="str">
        <f t="shared" si="1"/>
        <v>"D3200": {"Name": "D3200", "Year": 2012, "Processor": "EXPEED 3", "Sensor": {"Name": "Nikon NC81369R", "Type": "CMOS", "Bayer": "", "BitDepth": 12, "ResX": 6016, "ResY": 4000, "SizeX": 23.2, "SizeY": 15.4, "PixelSizeX": 3.85, "PixelSizeY": 3.85}, }</v>
      </c>
    </row>
    <row r="33" spans="1:44" ht="33.75" x14ac:dyDescent="0.25">
      <c r="A33" s="33" t="s">
        <v>1433</v>
      </c>
      <c r="B33" s="33" t="s">
        <v>1433</v>
      </c>
      <c r="C33" s="20">
        <v>2014</v>
      </c>
      <c r="D33" s="20" t="s">
        <v>1304</v>
      </c>
      <c r="F33" s="34" t="s">
        <v>1434</v>
      </c>
      <c r="G33" s="35" t="s">
        <v>1400</v>
      </c>
      <c r="I33" s="20">
        <v>12</v>
      </c>
      <c r="J33" s="20">
        <v>6000</v>
      </c>
      <c r="K33" s="20">
        <v>4000</v>
      </c>
      <c r="L33" s="20">
        <v>23.5</v>
      </c>
      <c r="M33" s="20">
        <v>15.6</v>
      </c>
      <c r="N33" s="20">
        <v>3.91</v>
      </c>
      <c r="O33" s="20">
        <v>3.91</v>
      </c>
      <c r="U33" s="34" t="s">
        <v>1435</v>
      </c>
      <c r="V33" s="34" t="s">
        <v>1436</v>
      </c>
      <c r="W33" s="34" t="s">
        <v>1437</v>
      </c>
      <c r="AQ33" s="21" t="str">
        <f t="shared" si="1"/>
        <v>"D3300": {"Name": "D3300", "Year": 2014, "Processor": "EXPEED 4", "Sensor": {"Name": "Sony IMX-193-AQK", "Type": "CMOS", "Bayer": "", "BitDepth": 12, "ResX": 6000, "ResY": 4000, "SizeX": 23.5, "SizeY": 15.6, "PixelSizeX": 3.91, "PixelSizeY": 3.91}, }</v>
      </c>
    </row>
    <row r="34" spans="1:44" ht="33.75" x14ac:dyDescent="0.25">
      <c r="A34" s="33" t="s">
        <v>1438</v>
      </c>
      <c r="B34" s="33" t="s">
        <v>1438</v>
      </c>
      <c r="C34" s="20">
        <v>2016</v>
      </c>
      <c r="D34" s="20" t="s">
        <v>1304</v>
      </c>
      <c r="F34" s="34" t="s">
        <v>1434</v>
      </c>
      <c r="G34" s="35" t="s">
        <v>1400</v>
      </c>
      <c r="I34" s="20">
        <v>12</v>
      </c>
      <c r="J34" s="20">
        <v>6000</v>
      </c>
      <c r="K34" s="20">
        <v>4000</v>
      </c>
      <c r="L34" s="20">
        <v>23.5</v>
      </c>
      <c r="M34" s="20">
        <v>15.6</v>
      </c>
      <c r="N34" s="20">
        <v>3.91</v>
      </c>
      <c r="O34" s="20">
        <v>3.91</v>
      </c>
      <c r="U34" s="34" t="s">
        <v>1435</v>
      </c>
      <c r="V34" s="34" t="s">
        <v>1436</v>
      </c>
      <c r="W34" s="34" t="s">
        <v>1437</v>
      </c>
      <c r="AQ34" s="21" t="str">
        <f t="shared" si="1"/>
        <v>"D3400": {"Name": "D3400", "Year": 2016, "Processor": "EXPEED 4", "Sensor": {"Name": "Sony IMX-193-AQK", "Type": "CMOS (Without AA filter)", "Bayer": "", "BitDepth": 12, "ResX": 6000, "ResY": 4000, "SizeX": 23.5, "SizeY": 15.6, "PixelSizeX": 3.91, "PixelSizeY": 3.91}, }</v>
      </c>
    </row>
    <row r="35" spans="1:44" ht="33.75" x14ac:dyDescent="0.25">
      <c r="A35" s="33" t="s">
        <v>1439</v>
      </c>
      <c r="B35" s="33" t="s">
        <v>1439</v>
      </c>
      <c r="C35" s="20">
        <v>2018</v>
      </c>
      <c r="D35" s="20" t="s">
        <v>1304</v>
      </c>
      <c r="F35" s="34" t="s">
        <v>1434</v>
      </c>
      <c r="G35" s="35" t="s">
        <v>1400</v>
      </c>
      <c r="I35" s="20">
        <v>12</v>
      </c>
      <c r="J35" s="20">
        <v>6000</v>
      </c>
      <c r="K35" s="20">
        <v>4000</v>
      </c>
      <c r="L35" s="20">
        <v>23.5</v>
      </c>
      <c r="M35" s="20">
        <v>15.6</v>
      </c>
      <c r="N35" s="20">
        <v>3.91</v>
      </c>
      <c r="O35" s="20">
        <v>3.91</v>
      </c>
      <c r="U35" s="34" t="s">
        <v>1435</v>
      </c>
      <c r="V35" s="34" t="s">
        <v>1436</v>
      </c>
      <c r="W35" s="34" t="s">
        <v>1437</v>
      </c>
      <c r="AQ35" s="21" t="str">
        <f t="shared" si="1"/>
        <v>"D3500": {"Name": "D3500", "Year": 2018, "Processor": "EXPEED 4", "Sensor": {"Name": "Sony IMX-193-AQK", "Type": "CMOS (Without AA filter)", "Bayer": "", "BitDepth": 12, "ResX": 6000, "ResY": 4000, "SizeX": 23.5, "SizeY": 15.6, "PixelSizeX": 3.91, "PixelSizeY": 3.91}, }</v>
      </c>
    </row>
    <row r="36" spans="1:44" x14ac:dyDescent="0.25">
      <c r="A36" s="33" t="s">
        <v>1440</v>
      </c>
      <c r="B36" s="33" t="s">
        <v>1440</v>
      </c>
      <c r="C36" s="20">
        <v>2009</v>
      </c>
      <c r="D36" s="20" t="s">
        <v>1261</v>
      </c>
      <c r="F36" s="34" t="s">
        <v>1344</v>
      </c>
      <c r="G36" s="35" t="s">
        <v>1263</v>
      </c>
      <c r="I36" s="20">
        <v>12</v>
      </c>
      <c r="J36" s="20">
        <v>4288</v>
      </c>
      <c r="K36" s="20">
        <v>2848</v>
      </c>
      <c r="L36" s="20">
        <v>23.6</v>
      </c>
      <c r="M36" s="20">
        <v>15.8</v>
      </c>
      <c r="N36" s="20">
        <v>5.53</v>
      </c>
      <c r="O36" s="20">
        <v>5.53</v>
      </c>
      <c r="U36" s="34" t="s">
        <v>1345</v>
      </c>
      <c r="V36" s="34" t="s">
        <v>1346</v>
      </c>
      <c r="W36" s="34" t="s">
        <v>1347</v>
      </c>
      <c r="AQ36" s="21" t="str">
        <f t="shared" ref="AQ36:AQ92" si="2">""""&amp;B36&amp;""": {"&amp;"""Name"": "&amp;""""&amp;A36&amp;""", "&amp;"""Year"": "&amp;C36&amp;", "&amp;"""Processor"": "&amp;""""&amp;D36&amp;""", "&amp;"""Sensor"": {"&amp;"""Name"": "&amp;""""&amp;F36&amp;""", "&amp;"""Type"": "&amp;""""&amp;G36&amp;""", "&amp;"""Bayer"": "&amp;""""&amp;H36&amp;""", "&amp;"""BitDepth"": "&amp;""&amp;I36&amp;", "&amp;"""ResX"": "&amp;""&amp;J36&amp;", "&amp;"""ResY"": "&amp;""&amp;K36&amp;", "&amp;"""SizeX"": "&amp;""&amp;SUBSTITUTE(L36,",",".")&amp;", "&amp;"""SizeY"": "&amp;""&amp;SUBSTITUTE(M36,",",".")&amp;", "&amp;"""PixelSizeX"": "&amp;""&amp;SUBSTITUTE(N36,",",".")&amp;", "&amp;"""PixelSizeY"": "&amp;""&amp;SUBSTITUTE(O36,",",".")&amp;"}, "&amp;AR36&amp;"}"</f>
        <v>"D5000": {"Name": "D5000", "Year": 2009, "Processor": "EXPEED", "Sensor": {"Name": "Sony IMX-038-BQL", "Type": "CMOS", "Bayer": "", "BitDepth": 12, "ResX": 4288, "ResY": 2848, "SizeX": 23.6, "SizeY": 15.8, "PixelSizeX": 5.53, "PixelSizeY": 5.53}, "CropSubSampling": [{"Crop": "DX", "Subs": {"Size L": {"ResX": 4288, "ResY": 2848}, "Size M": {"ResX": 3216, "ResY": 2136}, "Size S": {"ResX": 2144, "ResY": 1424}}}]}</v>
      </c>
      <c r="AR36" s="21" t="str" cm="1">
        <f t="array" ref="AR36">_xlfn.LET(_xlpm.crop,$R$2:$AO$2,_xlpm.size,$R$3:$AO$3,_xlpm.value,R36:AO36,_xlpm.vf,_xlfn.MAP(_xlpm.size,_xlpm.value,_xlfn.LAMBDA(_xlpm.s,_xlpm.v,IF(_xlpm.v="","",""""&amp;_xlpm.s&amp;""":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4288, "ResY": 2848}, "Size M": {"ResX": 3216, "ResY": 2136}, "Size S": {"ResX": 2144, "ResY": 1424}}}]</v>
      </c>
    </row>
    <row r="37" spans="1:44" x14ac:dyDescent="0.25">
      <c r="A37" s="33" t="s">
        <v>1441</v>
      </c>
      <c r="B37" s="33" t="s">
        <v>1441</v>
      </c>
      <c r="C37" s="20">
        <v>2011</v>
      </c>
      <c r="D37" s="20" t="s">
        <v>1424</v>
      </c>
      <c r="F37" s="34" t="s">
        <v>1442</v>
      </c>
      <c r="G37" s="35" t="s">
        <v>1263</v>
      </c>
      <c r="I37" s="20">
        <v>14</v>
      </c>
      <c r="J37" s="20">
        <v>4928</v>
      </c>
      <c r="K37" s="20">
        <v>3264</v>
      </c>
      <c r="L37" s="20">
        <v>23.6</v>
      </c>
      <c r="M37" s="20">
        <v>15.6</v>
      </c>
      <c r="N37" s="20">
        <v>4.78</v>
      </c>
      <c r="O37" s="20">
        <v>4.78</v>
      </c>
      <c r="U37" s="34" t="s">
        <v>1443</v>
      </c>
      <c r="V37" s="34" t="s">
        <v>1444</v>
      </c>
      <c r="W37" s="34" t="s">
        <v>1445</v>
      </c>
      <c r="AQ37" s="21" t="str">
        <f t="shared" si="2"/>
        <v>"D5100": {"Name": "D5100", "Year": 2011, "Processor": "EXPEED 2", "Sensor": {"Name": "Sony IMX071", "Type": "CMOS", "Bayer": "", "BitDepth": 14, "ResX": 4928, "ResY": 3264, "SizeX": 23.6, "SizeY": 15.6, "PixelSizeX": 4.78, "PixelSizeY": 4.78}, "CropSubSampling": [{"Crop": "DX", "Subs": {"Size L": {"ResX": 4928, "ResY": 3264}, "Size M": {"ResX": 3696, "ResY": 2448}, "Size S": {"ResX": 2464, "ResY": 1632}}}]}</v>
      </c>
      <c r="AR37" s="21" t="str" cm="1">
        <f t="array" ref="AR37">_xlfn.LET(_xlpm.crop,$R$2:$AO$2,_xlpm.size,$R$3:$AO$3,_xlpm.value,R37:AO37,_xlpm.vf,_xlfn.MAP(_xlpm.size,_xlpm.value,_xlfn.LAMBDA(_xlpm.s,_xlpm.v,IF(_xlpm.v="","",""""&amp;_xlpm.s&amp;""":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4928, "ResY": 3264}, "Size M": {"ResX": 3696, "ResY": 2448}, "Size S": {"ResX": 2464, "ResY": 1632}}}]</v>
      </c>
    </row>
    <row r="38" spans="1:44" x14ac:dyDescent="0.25">
      <c r="A38" s="33" t="s">
        <v>1446</v>
      </c>
      <c r="B38" s="33" t="s">
        <v>1446</v>
      </c>
      <c r="C38" s="20">
        <v>2012</v>
      </c>
      <c r="D38" s="20" t="s">
        <v>1288</v>
      </c>
      <c r="F38" s="34" t="s">
        <v>1447</v>
      </c>
      <c r="G38" s="35" t="s">
        <v>1263</v>
      </c>
      <c r="I38" s="20">
        <v>14</v>
      </c>
      <c r="J38" s="20">
        <v>6000</v>
      </c>
      <c r="K38" s="20">
        <v>4000</v>
      </c>
      <c r="L38" s="20">
        <v>23.5</v>
      </c>
      <c r="M38" s="20">
        <v>15.6</v>
      </c>
      <c r="N38" s="20">
        <v>3.91</v>
      </c>
      <c r="O38" s="20">
        <v>3.91</v>
      </c>
      <c r="U38" s="34" t="s">
        <v>1435</v>
      </c>
      <c r="V38" s="34" t="s">
        <v>1436</v>
      </c>
      <c r="W38" s="34" t="s">
        <v>1437</v>
      </c>
      <c r="AQ38" s="21" t="str">
        <f t="shared" si="2"/>
        <v>"D5200": {"Name": "D5200", "Year": 2012, "Processor": "EXPEED 3", "Sensor": {"Name": "Toshiba HEZ1 TOS-5105", "Type": "CMOS",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38" s="21" t="str" cm="1">
        <f t="array" ref="AR38">_xlfn.LET(_xlpm.crop,$R$2:$AO$2,_xlpm.size,$R$3:$AO$3,_xlpm.value,R38:AO38,_xlpm.vf,_xlfn.MAP(_xlpm.size,_xlpm.value,_xlfn.LAMBDA(_xlpm.s,_xlpm.v,IF(_xlpm.v="","",""""&amp;_xlpm.s&amp;""":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39" spans="1:44" ht="33.75" x14ac:dyDescent="0.25">
      <c r="A39" s="33" t="s">
        <v>1448</v>
      </c>
      <c r="B39" s="33" t="s">
        <v>1448</v>
      </c>
      <c r="C39" s="20">
        <v>2013</v>
      </c>
      <c r="D39" s="20" t="s">
        <v>1304</v>
      </c>
      <c r="F39" s="34" t="s">
        <v>1434</v>
      </c>
      <c r="G39" s="35" t="s">
        <v>1400</v>
      </c>
      <c r="I39" s="20">
        <v>14</v>
      </c>
      <c r="J39" s="20">
        <v>6000</v>
      </c>
      <c r="K39" s="20">
        <v>4000</v>
      </c>
      <c r="L39" s="20">
        <v>23.5</v>
      </c>
      <c r="M39" s="20">
        <v>15.6</v>
      </c>
      <c r="N39" s="20">
        <v>3.91</v>
      </c>
      <c r="O39" s="20">
        <v>3.91</v>
      </c>
      <c r="U39" s="34" t="s">
        <v>1435</v>
      </c>
      <c r="V39" s="34" t="s">
        <v>1436</v>
      </c>
      <c r="W39" s="34" t="s">
        <v>1437</v>
      </c>
      <c r="AQ39" s="21" t="str">
        <f t="shared" si="2"/>
        <v>"D5300": {"Name": "D5300", "Year": 2013,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39" s="21" t="str" cm="1">
        <f t="array" ref="AR39">_xlfn.LET(_xlpm.crop,$R$2:$AO$2,_xlpm.size,$R$3:$AO$3,_xlpm.value,R39:AO39,_xlpm.vf,_xlfn.MAP(_xlpm.size,_xlpm.value,_xlfn.LAMBDA(_xlpm.s,_xlpm.v,IF(_xlpm.v="","",""""&amp;_xlpm.s&amp;""":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40" spans="1:44" ht="33.75" x14ac:dyDescent="0.25">
      <c r="A40" s="33" t="s">
        <v>1449</v>
      </c>
      <c r="B40" s="33" t="s">
        <v>1449</v>
      </c>
      <c r="C40" s="20">
        <v>2015</v>
      </c>
      <c r="D40" s="20" t="s">
        <v>1304</v>
      </c>
      <c r="F40" s="34" t="s">
        <v>1434</v>
      </c>
      <c r="G40" s="35" t="s">
        <v>1400</v>
      </c>
      <c r="I40" s="20">
        <v>14</v>
      </c>
      <c r="J40" s="20">
        <v>6000</v>
      </c>
      <c r="K40" s="20">
        <v>4000</v>
      </c>
      <c r="L40" s="20">
        <v>23.5</v>
      </c>
      <c r="M40" s="20">
        <v>15.6</v>
      </c>
      <c r="N40" s="20">
        <v>3.91</v>
      </c>
      <c r="O40" s="20">
        <v>3.91</v>
      </c>
      <c r="U40" s="34" t="s">
        <v>1435</v>
      </c>
      <c r="V40" s="34" t="s">
        <v>1436</v>
      </c>
      <c r="W40" s="34" t="s">
        <v>1437</v>
      </c>
      <c r="AQ40" s="21" t="str">
        <f t="shared" si="2"/>
        <v>"D5500": {"Name": "D5500", "Year": 2015,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40" s="21" t="str" cm="1">
        <f t="array" ref="AR40">_xlfn.LET(_xlpm.crop,$R$2:$AO$2,_xlpm.size,$R$3:$AO$3,_xlpm.value,R40:AO40,_xlpm.vf,_xlfn.MAP(_xlpm.size,_xlpm.value,_xlfn.LAMBDA(_xlpm.s,_xlpm.v,IF(_xlpm.v="","",""""&amp;_xlpm.s&amp;""":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41" spans="1:44" ht="33.75" x14ac:dyDescent="0.25">
      <c r="A41" s="33" t="s">
        <v>1450</v>
      </c>
      <c r="B41" s="33" t="s">
        <v>1450</v>
      </c>
      <c r="C41" s="20">
        <v>2016</v>
      </c>
      <c r="D41" s="20" t="s">
        <v>1304</v>
      </c>
      <c r="F41" s="34" t="s">
        <v>1434</v>
      </c>
      <c r="G41" s="35" t="s">
        <v>1400</v>
      </c>
      <c r="I41" s="20">
        <v>14</v>
      </c>
      <c r="J41" s="20">
        <v>6000</v>
      </c>
      <c r="K41" s="20">
        <v>4000</v>
      </c>
      <c r="L41" s="20">
        <v>23.5</v>
      </c>
      <c r="M41" s="20">
        <v>15.6</v>
      </c>
      <c r="N41" s="20">
        <v>3.91</v>
      </c>
      <c r="O41" s="20">
        <v>3.91</v>
      </c>
      <c r="U41" s="34" t="s">
        <v>1435</v>
      </c>
      <c r="V41" s="34" t="s">
        <v>1436</v>
      </c>
      <c r="W41" s="34" t="s">
        <v>1437</v>
      </c>
      <c r="AQ41" s="21" t="str">
        <f t="shared" si="2"/>
        <v>"D5600": {"Name": "D5600", "Year": 2016,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2000}}}]}</v>
      </c>
      <c r="AR41" s="21" t="str" cm="1">
        <f t="array" ref="AR41">_xlfn.LET(_xlpm.crop,$R$2:$AO$2,_xlpm.size,$R$3:$AO$3,_xlpm.value,R41:AO41,_xlpm.vf,_xlfn.MAP(_xlpm.size,_xlpm.value,_xlfn.LAMBDA(_xlpm.s,_xlpm.v,IF(_xlpm.v="","",""""&amp;_xlpm.s&amp;""":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2000}}}]</v>
      </c>
    </row>
    <row r="42" spans="1:44" x14ac:dyDescent="0.25">
      <c r="A42" s="33" t="s">
        <v>1451</v>
      </c>
      <c r="B42" s="33" t="s">
        <v>1451</v>
      </c>
      <c r="C42" s="20">
        <v>2010</v>
      </c>
      <c r="D42" s="20" t="s">
        <v>1424</v>
      </c>
      <c r="F42" s="34" t="s">
        <v>1442</v>
      </c>
      <c r="G42" s="35" t="s">
        <v>1263</v>
      </c>
      <c r="I42" s="20">
        <v>14</v>
      </c>
      <c r="J42" s="20">
        <v>4928</v>
      </c>
      <c r="K42" s="20">
        <v>3264</v>
      </c>
      <c r="L42" s="20">
        <v>23.6</v>
      </c>
      <c r="M42" s="20">
        <v>15.6</v>
      </c>
      <c r="N42" s="20">
        <v>4.78</v>
      </c>
      <c r="O42" s="20">
        <v>4.78</v>
      </c>
      <c r="U42" s="34" t="s">
        <v>1443</v>
      </c>
      <c r="V42" s="34" t="s">
        <v>1444</v>
      </c>
      <c r="W42" s="34" t="s">
        <v>1445</v>
      </c>
      <c r="AQ42" s="21" t="str">
        <f t="shared" si="2"/>
        <v>"D7000": {"Name": "D7000", "Year": 2010, "Processor": "EXPEED 2", "Sensor": {"Name": "Sony IMX071", "Type": "CMOS", "Bayer": "", "BitDepth": 14, "ResX": 4928, "ResY": 3264, "SizeX": 23.6, "SizeY": 15.6, "PixelSizeX": 4.78, "PixelSizeY": 4.78}, "CropSubSampling": [{"Crop": "DX", "Subs": {"Size L": {"ResX": 4928, "ResY": 3264}, "Size M": {"ResX": 3696, "ResY": 2448}, "Size S": {"ResX": 2464, "ResY": 1632}}}]}</v>
      </c>
      <c r="AR42" s="21" t="str" cm="1">
        <f t="array" ref="AR42">_xlfn.LET(_xlpm.crop,$R$2:$AO$2,_xlpm.size,$R$3:$AO$3,_xlpm.value,R42:AO42,_xlpm.vf,_xlfn.MAP(_xlpm.size,_xlpm.value,_xlfn.LAMBDA(_xlpm.s,_xlpm.v,IF(_xlpm.v="","",""""&amp;_xlpm.s&amp;""":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4928, "ResY": 3264}, "Size M": {"ResX": 3696, "ResY": 2448}, "Size S": {"ResX": 2464, "ResY": 1632}}}]</v>
      </c>
    </row>
    <row r="43" spans="1:44" ht="33.75" x14ac:dyDescent="0.25">
      <c r="A43" s="33" t="s">
        <v>1452</v>
      </c>
      <c r="B43" s="33" t="s">
        <v>1452</v>
      </c>
      <c r="C43" s="20">
        <v>2013</v>
      </c>
      <c r="D43" s="20" t="s">
        <v>1288</v>
      </c>
      <c r="F43" s="34" t="s">
        <v>1447</v>
      </c>
      <c r="G43" s="35" t="s">
        <v>1400</v>
      </c>
      <c r="I43" s="20">
        <v>14</v>
      </c>
      <c r="J43" s="20">
        <v>6000</v>
      </c>
      <c r="K43" s="20">
        <v>4000</v>
      </c>
      <c r="L43" s="20">
        <v>23.5</v>
      </c>
      <c r="M43" s="20">
        <v>15.6</v>
      </c>
      <c r="N43" s="20">
        <v>3.91</v>
      </c>
      <c r="O43" s="20">
        <v>3.91</v>
      </c>
      <c r="Q43" s="35" t="s">
        <v>1355</v>
      </c>
      <c r="U43" s="34" t="s">
        <v>1435</v>
      </c>
      <c r="V43" s="34" t="s">
        <v>1436</v>
      </c>
      <c r="W43" s="34" t="s">
        <v>1437</v>
      </c>
      <c r="AA43" s="34" t="s">
        <v>1392</v>
      </c>
      <c r="AB43" s="34" t="s">
        <v>1393</v>
      </c>
      <c r="AC43" s="34" t="s">
        <v>1394</v>
      </c>
      <c r="AQ43" s="21" t="str">
        <f t="shared" si="2"/>
        <v>"D7100": {"Name": "D7100", "Year": 2013, "Processor": "EXPEED 3", "Sensor": {"Name": "Toshiba HEZ1 TOS-5105",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1600}}}]}</v>
      </c>
      <c r="AR43" s="21" t="str" cm="1">
        <f t="array" ref="AR43">_xlfn.LET(_xlpm.crop,$R$2:$AO$2,_xlpm.size,$R$3:$AO$3,_xlpm.value,R43:AO43,_xlpm.vf,_xlfn.MAP(_xlpm.size,_xlpm.value,_xlfn.LAMBDA(_xlpm.s,_xlpm.v,IF(_xlpm.v="","",""""&amp;_xlpm.s&amp;""":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</v>
      </c>
    </row>
    <row r="44" spans="1:44" ht="33.75" x14ac:dyDescent="0.25">
      <c r="A44" s="33" t="s">
        <v>1453</v>
      </c>
      <c r="B44" s="33" t="s">
        <v>1453</v>
      </c>
      <c r="C44" s="20">
        <v>2015</v>
      </c>
      <c r="D44" s="20" t="s">
        <v>1304</v>
      </c>
      <c r="F44" s="34" t="s">
        <v>1434</v>
      </c>
      <c r="G44" s="35" t="s">
        <v>1400</v>
      </c>
      <c r="I44" s="20">
        <v>14</v>
      </c>
      <c r="J44" s="20">
        <v>6000</v>
      </c>
      <c r="K44" s="20">
        <v>4000</v>
      </c>
      <c r="L44" s="20">
        <v>23.5</v>
      </c>
      <c r="M44" s="20">
        <v>15.6</v>
      </c>
      <c r="N44" s="20">
        <v>3.91</v>
      </c>
      <c r="O44" s="20">
        <v>3.91</v>
      </c>
      <c r="Q44" s="35" t="s">
        <v>1355</v>
      </c>
      <c r="U44" s="34" t="s">
        <v>1435</v>
      </c>
      <c r="V44" s="34" t="s">
        <v>1436</v>
      </c>
      <c r="W44" s="34" t="s">
        <v>1437</v>
      </c>
      <c r="AA44" s="34" t="s">
        <v>1392</v>
      </c>
      <c r="AB44" s="34" t="s">
        <v>1393</v>
      </c>
      <c r="AC44" s="34" t="s">
        <v>1394</v>
      </c>
      <c r="AQ44" s="21" t="str">
        <f t="shared" si="2"/>
        <v>"D7200": {"Name": "D7200", "Year": 2015, "Processor": "EXPEED 4", "Sensor": {"Name": "Sony IMX-193-AQK", "Type": "CMOS (Without AA filter)", "Bayer": "", "BitDepth": 14, "ResX": 6000, "ResY": 4000, "SizeX": 23.5, "SizeY": 15.6, "PixelSizeX": 3.91, "PixelSizeY": 3.91}, 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1600}}}]}</v>
      </c>
      <c r="AR44" s="21" t="str" cm="1">
        <f t="array" ref="AR44">_xlfn.LET(_xlpm.crop,$R$2:$AO$2,_xlpm.size,$R$3:$AO$3,_xlpm.value,R44:AO44,_xlpm.vf,_xlfn.MAP(_xlpm.size,_xlpm.value,_xlfn.LAMBDA(_xlpm.s,_xlpm.v,IF(_xlpm.v="","",""""&amp;_xlpm.s&amp;""":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6000, "ResY": 4000}, "Size M": {"ResX": 4496, "ResY": 3000}, "Size S": {"ResX": 2992, "ResY": 2000}}}, {"Crop": "1.3x", "Subs": {"Size L": {"ResX": 4800, "ResY": 3200}, "Size M": {"ResX": 3600, "ResY": 2400}, "Size S": {"ResX": 2400, "ResY": 1600}}}]</v>
      </c>
    </row>
    <row r="45" spans="1:44" ht="33.75" x14ac:dyDescent="0.25">
      <c r="A45" s="33" t="s">
        <v>1454</v>
      </c>
      <c r="B45" s="33" t="s">
        <v>1454</v>
      </c>
      <c r="C45" s="20">
        <v>2017</v>
      </c>
      <c r="D45" s="37" t="s">
        <v>1306</v>
      </c>
      <c r="F45" s="34" t="s">
        <v>1354</v>
      </c>
      <c r="G45" s="35" t="s">
        <v>1400</v>
      </c>
      <c r="I45" s="20">
        <v>14</v>
      </c>
      <c r="J45" s="20">
        <v>5568</v>
      </c>
      <c r="K45" s="20">
        <v>3712</v>
      </c>
      <c r="L45" s="20">
        <v>23.5</v>
      </c>
      <c r="M45" s="20">
        <v>15.7</v>
      </c>
      <c r="N45" s="20">
        <v>4.22</v>
      </c>
      <c r="O45" s="20">
        <v>4.22</v>
      </c>
      <c r="Q45" s="35" t="s">
        <v>1355</v>
      </c>
      <c r="U45" s="34" t="s">
        <v>1308</v>
      </c>
      <c r="V45" s="34" t="s">
        <v>1309</v>
      </c>
      <c r="W45" s="34" t="s">
        <v>1310</v>
      </c>
      <c r="AA45" s="34" t="s">
        <v>1356</v>
      </c>
      <c r="AB45" s="34" t="s">
        <v>1357</v>
      </c>
      <c r="AC45" s="34" t="s">
        <v>1358</v>
      </c>
      <c r="AQ45" s="21" t="str">
        <f t="shared" si="2"/>
        <v>"D7500": {"Name": "D7500", "Year": 2017, "Processor": "EXPEED 5", "Sensor": {"Name": "Sony IMX-321", "Type": "CMOS (Without AA filter)",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1424}}}]}</v>
      </c>
      <c r="AR45" s="21" t="str" cm="1">
        <f t="array" ref="AR45">_xlfn.LET(_xlpm.crop,$R$2:$AO$2,_xlpm.size,$R$3:$AO$3,_xlpm.value,R45:AO45,_xlpm.vf,_xlfn.MAP(_xlpm.size,_xlpm.value,_xlfn.LAMBDA(_xlpm.s,_xlpm.v,IF(_xlpm.v="","",""""&amp;_xlpm.s&amp;""":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"1.3x", "Subs": {"Size L": {"ResX": 4272, "ResY": 2848}, "Size M": {"ResX": 3200, "ResY": 2136}, "Size S": {"ResX": 2128, "ResY": 1424}}}]</v>
      </c>
    </row>
    <row r="46" spans="1:44" x14ac:dyDescent="0.25">
      <c r="A46" s="33" t="s">
        <v>1455</v>
      </c>
      <c r="B46" s="33" t="s">
        <v>1455</v>
      </c>
      <c r="C46" s="20">
        <v>2013</v>
      </c>
      <c r="D46" s="20" t="s">
        <v>1288</v>
      </c>
      <c r="F46" s="34" t="s">
        <v>1289</v>
      </c>
      <c r="G46" s="35" t="s">
        <v>1263</v>
      </c>
      <c r="I46" s="20">
        <v>14</v>
      </c>
      <c r="J46" s="20">
        <v>4928</v>
      </c>
      <c r="K46" s="20">
        <v>3280</v>
      </c>
      <c r="L46" s="20">
        <v>36</v>
      </c>
      <c r="M46" s="20">
        <v>23.9</v>
      </c>
      <c r="N46" s="20">
        <v>7.29</v>
      </c>
      <c r="O46" s="20">
        <v>7.29</v>
      </c>
      <c r="Q46" s="35" t="s">
        <v>1361</v>
      </c>
      <c r="R46" s="34" t="s">
        <v>1291</v>
      </c>
      <c r="S46" s="34" t="s">
        <v>1292</v>
      </c>
      <c r="T46" s="34" t="s">
        <v>1293</v>
      </c>
      <c r="U46" s="34" t="s">
        <v>1294</v>
      </c>
      <c r="V46" s="34" t="s">
        <v>1295</v>
      </c>
      <c r="W46" s="34" t="s">
        <v>1296</v>
      </c>
      <c r="AQ46" s="21" t="str">
        <f t="shared" si="2"/>
        <v>"DF": {"Name": "DF", "Year": 2013, "Processor": "EXPEED 3", "Sensor": {"Name": "Nikon NC81366W", "Type": "CMOS", "Bayer": "", "BitDepth": 14, "ResX": 4928, "ResY": 3280, "SizeX": 36, "SizeY": 23.9, "PixelSizeX": 7.29, "PixelSizeY": 7.29}, 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1064}}}]}</v>
      </c>
      <c r="AR46" s="21" t="str" cm="1">
        <f t="array" ref="AR46">_xlfn.LET(_xlpm.crop,$R$2:$AO$2,_xlpm.size,$R$3:$AO$3,_xlpm.value,R46:AO46,_xlpm.vf,_xlfn.MAP(_xlpm.size,_xlpm.value,_xlfn.LAMBDA(_xlpm.s,_xlpm.v,IF(_xlpm.v="","",""""&amp;_xlpm.s&amp;""":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4928, "ResY": 3280}, "Size M": {"ResX": 3696, "ResY": 2456}, "Size S": {"ResX": 2464, "ResY": 1640}}}, {"Crop": "DX", "Subs": {"Size L": {"ResX": 3200, "ResY": 2128}, "Size M": {"ResX": 2400, "ResY": 1592}, "Size S": {"ResX": 1600, "ResY": 1064}}}]</v>
      </c>
    </row>
    <row r="47" spans="1:44" ht="33.75" x14ac:dyDescent="0.25">
      <c r="A47" s="33" t="s">
        <v>1456</v>
      </c>
      <c r="B47" s="33" t="s">
        <v>1456</v>
      </c>
      <c r="C47" s="20">
        <v>2014</v>
      </c>
      <c r="D47" s="20" t="s">
        <v>1457</v>
      </c>
      <c r="G47" s="35" t="s">
        <v>1400</v>
      </c>
      <c r="I47" s="20">
        <v>12</v>
      </c>
      <c r="J47" s="20">
        <v>5232</v>
      </c>
      <c r="K47" s="20">
        <v>3488</v>
      </c>
      <c r="L47" s="20">
        <v>13.2</v>
      </c>
      <c r="M47" s="20">
        <v>8.8000000000000007</v>
      </c>
      <c r="N47" s="20">
        <v>2.52</v>
      </c>
      <c r="O47" s="20">
        <v>2.52</v>
      </c>
      <c r="X47" s="34" t="s">
        <v>1458</v>
      </c>
      <c r="Y47" s="34" t="s">
        <v>1459</v>
      </c>
      <c r="Z47" s="34" t="s">
        <v>1460</v>
      </c>
      <c r="AQ47" s="21" t="str">
        <f t="shared" si="2"/>
        <v>"1V3": {"Name": "1V3", "Year": 2014, "Processor": "EXPEED 4A", "Sensor": {"Name": "", "Type": "CMOS (Without AA filter)", "Bayer": "", "BitDepth": 12, "ResX": 5232, "ResY": 3488, "SizeX": 13.2, "SizeY": 8.8, "PixelSizeX": 2.52, "PixelSizeY": 2.52}, "CropSubSampling": [{"Crop": "1inch", "Subs": {"Size L": {"ResX": 5232, "ResY": 3488}, "Size M": {"ResX": 3920, "ResY": 2616}, "Size S": {"ResX": 2608, "ResY": 1744}}}]}</v>
      </c>
      <c r="AR47" s="21" t="str" cm="1">
        <f t="array" ref="AR47">_xlfn.LET(_xlpm.crop,$R$2:$AO$2,_xlpm.size,$R$3:$AO$3,_xlpm.value,R47:AO47,_xlpm.vf,_xlfn.MAP(_xlpm.size,_xlpm.value,_xlfn.LAMBDA(_xlpm.s,_xlpm.v,IF(_xlpm.v="","",""""&amp;_xlpm.s&amp;""":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"1inch", "Subs": {"Size L": {"ResX": 5232, "ResY": 3488}, "Size M": {"ResX": 3920, "ResY": 2616}, "Size S": {"ResX": 2608, "ResY": 1744}}}]</v>
      </c>
    </row>
    <row r="48" spans="1:44" ht="22.5" x14ac:dyDescent="0.25">
      <c r="A48" s="33" t="s">
        <v>1461</v>
      </c>
      <c r="B48" s="33" t="s">
        <v>1462</v>
      </c>
      <c r="C48" s="20">
        <v>2020</v>
      </c>
      <c r="D48" s="37" t="s">
        <v>1321</v>
      </c>
      <c r="G48" s="35" t="s">
        <v>1263</v>
      </c>
      <c r="I48" s="20">
        <v>14</v>
      </c>
      <c r="J48" s="20">
        <v>6016</v>
      </c>
      <c r="K48" s="20">
        <v>4016</v>
      </c>
      <c r="L48" s="20">
        <v>35.9</v>
      </c>
      <c r="M48" s="20">
        <v>23.9</v>
      </c>
      <c r="N48" s="20">
        <v>5.97</v>
      </c>
      <c r="O48" s="20">
        <v>5.97</v>
      </c>
      <c r="Q48" s="35" t="s">
        <v>1463</v>
      </c>
      <c r="R48" s="34" t="s">
        <v>1362</v>
      </c>
      <c r="S48" s="34" t="s">
        <v>1363</v>
      </c>
      <c r="T48" s="34" t="s">
        <v>1364</v>
      </c>
      <c r="U48" s="34" t="s">
        <v>1365</v>
      </c>
      <c r="V48" s="34" t="s">
        <v>1366</v>
      </c>
      <c r="W48" s="34" t="s">
        <v>1367</v>
      </c>
      <c r="AJ48" s="34" t="s">
        <v>1381</v>
      </c>
      <c r="AK48" s="34" t="s">
        <v>1382</v>
      </c>
      <c r="AL48" s="34" t="s">
        <v>1383</v>
      </c>
      <c r="AM48" s="34" t="s">
        <v>1464</v>
      </c>
      <c r="AN48" s="34" t="s">
        <v>1465</v>
      </c>
      <c r="AO48" s="34" t="s">
        <v>1466</v>
      </c>
      <c r="AQ48" s="21" t="str">
        <f t="shared" si="2"/>
        <v>"Z 5": {"Name": "Z5", "Year": 2020, "Processor": "EXPEED 6", "Sensor": {"Name": "", "Type": "CMOS", "Bayer": "", "BitDepth": 14, "ResX": 6016, "ResY": 4016, "SizeX": 35.9, "SizeY": 23.9, "PixelSizeX": 5.97, "PixelSizeY": 5.97}, 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6016, "ResY": 3384}, "Size M": {"ResX": 4512, "ResY": 2536}, "Size S": {"ResX": 3008, "ResY": 1688}}}]}</v>
      </c>
      <c r="AR48" s="21" t="str" cm="1">
        <f t="array" ref="AR48">_xlfn.LET(_xlpm.crop,$R$2:$AO$2,_xlpm.size,$R$3:$AO$3,_xlpm.value,R48:AO48,_xlpm.vf,_xlfn.MAP(_xlpm.size,_xlpm.value,_xlfn.LAMBDA(_xlpm.s,_xlpm.v,IF(_xlpm.v="","",""""&amp;_xlpm.s&amp;""":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6016, "ResY": 4016}, "Size M": {"ResX": 4512, "ResY": 3008}, "Size S": {"ResX": 3008, "ResY": 2008}}},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6016, "ResY": 3384}, "Size M": {"ResX": 4512, "ResY": 2536}, "Size S": {"ResX": 3008, "ResY": 1688}}}]</v>
      </c>
    </row>
    <row r="49" spans="1:44" ht="22.5" x14ac:dyDescent="0.25">
      <c r="A49" s="33" t="s">
        <v>1467</v>
      </c>
      <c r="B49" s="33" t="s">
        <v>1468</v>
      </c>
      <c r="C49" s="20">
        <v>2025</v>
      </c>
      <c r="D49" s="20" t="s">
        <v>1469</v>
      </c>
      <c r="F49" s="34" t="s">
        <v>1376</v>
      </c>
      <c r="G49" s="35" t="s">
        <v>1377</v>
      </c>
      <c r="I49" s="20">
        <v>14</v>
      </c>
      <c r="J49" s="20">
        <v>6048</v>
      </c>
      <c r="K49" s="20">
        <v>4032</v>
      </c>
      <c r="L49" s="20">
        <v>35.9</v>
      </c>
      <c r="M49" s="20">
        <v>23.9</v>
      </c>
      <c r="N49" s="20">
        <v>5.93</v>
      </c>
      <c r="O49" s="20">
        <v>5.93</v>
      </c>
      <c r="R49" s="34" t="s">
        <v>1276</v>
      </c>
      <c r="S49" s="34" t="s">
        <v>1470</v>
      </c>
      <c r="T49" s="34" t="s">
        <v>1278</v>
      </c>
      <c r="U49" s="34" t="s">
        <v>1471</v>
      </c>
      <c r="V49" s="34" t="s">
        <v>1472</v>
      </c>
      <c r="W49" s="34" t="s">
        <v>1473</v>
      </c>
      <c r="AJ49" s="34" t="s">
        <v>1474</v>
      </c>
      <c r="AK49" s="34" t="s">
        <v>1475</v>
      </c>
      <c r="AL49" s="34" t="s">
        <v>1476</v>
      </c>
      <c r="AM49" s="34" t="s">
        <v>1384</v>
      </c>
      <c r="AN49" s="34" t="s">
        <v>1385</v>
      </c>
      <c r="AO49" s="34" t="s">
        <v>1386</v>
      </c>
      <c r="AQ49" s="21" t="str">
        <f t="shared" si="2"/>
        <v>"Z 5_2": {"Name": "Z5II", "Year": 2025, "Processor": "EXPEED 7", "Sensor": {"Name": "Sony ?", "Type": "BSI-CMOS", "Bayer": "", "BitDepth": 14, "ResX": 6048, "ResY": 4032, "SizeX": 35.9, "SizeY": 23.9, "PixelSizeX": 5.93, "PixelSizeY": 5.93}, 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1696}}}]}</v>
      </c>
      <c r="AR49" s="21" t="str" cm="1">
        <f t="array" ref="AR49">_xlfn.LET(_xlpm.crop,$R$2:$AO$2,_xlpm.size,$R$3:$AO$3,_xlpm.value,R49:AO49,_xlpm.vf,_xlfn.MAP(_xlpm.size,_xlpm.value,_xlfn.LAMBDA(_xlpm.s,_xlpm.v,IF(_xlpm.v="","",""""&amp;_xlpm.s&amp;""":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</v>
      </c>
    </row>
    <row r="50" spans="1:44" ht="22.5" x14ac:dyDescent="0.25">
      <c r="A50" s="33" t="s">
        <v>1477</v>
      </c>
      <c r="B50" s="33" t="s">
        <v>1478</v>
      </c>
      <c r="C50" s="20">
        <v>2018</v>
      </c>
      <c r="D50" s="37" t="s">
        <v>1321</v>
      </c>
      <c r="F50" s="34" t="s">
        <v>1376</v>
      </c>
      <c r="G50" s="35" t="s">
        <v>1377</v>
      </c>
      <c r="I50" s="20">
        <v>14</v>
      </c>
      <c r="J50" s="20">
        <v>6048</v>
      </c>
      <c r="K50" s="20">
        <v>4024</v>
      </c>
      <c r="L50" s="20">
        <v>35.9</v>
      </c>
      <c r="M50" s="20">
        <v>23.9</v>
      </c>
      <c r="N50" s="20">
        <v>5.94</v>
      </c>
      <c r="O50" s="20">
        <v>5.94</v>
      </c>
      <c r="Q50" s="35" t="s">
        <v>1463</v>
      </c>
      <c r="R50" s="34" t="s">
        <v>1379</v>
      </c>
      <c r="S50" s="34" t="s">
        <v>1380</v>
      </c>
      <c r="T50" s="34" t="s">
        <v>1278</v>
      </c>
      <c r="U50" s="34" t="s">
        <v>1365</v>
      </c>
      <c r="V50" s="34" t="s">
        <v>1366</v>
      </c>
      <c r="W50" s="34" t="s">
        <v>1367</v>
      </c>
      <c r="AJ50" s="34" t="s">
        <v>1381</v>
      </c>
      <c r="AK50" s="34" t="s">
        <v>1382</v>
      </c>
      <c r="AL50" s="34" t="s">
        <v>1383</v>
      </c>
      <c r="AM50" s="34" t="s">
        <v>1384</v>
      </c>
      <c r="AN50" s="34" t="s">
        <v>1385</v>
      </c>
      <c r="AO50" s="34" t="s">
        <v>1386</v>
      </c>
      <c r="AQ50" s="21" t="str">
        <f t="shared" si="2"/>
        <v>"Z 6": {"Name": "Z6", "Year": 2018, "Processor": "EXPEED 6", "Sensor": {"Name": "Sony ?", "Type": "BSI-CMOS", "Bayer": "", "BitDepth": 14, "ResX": 6048, "ResY": 4024, "SizeX": 35.9, "SizeY": 23.9, "PixelSizeX": 5.94, "PixelSizeY": 5.94}, 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1696}}}]}</v>
      </c>
      <c r="AR50" s="21" t="str" cm="1">
        <f t="array" ref="AR50">_xlfn.LET(_xlpm.crop,$R$2:$AO$2,_xlpm.size,$R$3:$AO$3,_xlpm.value,R50:AO50,_xlpm.vf,_xlfn.MAP(_xlpm.size,_xlpm.value,_xlfn.LAMBDA(_xlpm.s,_xlpm.v,IF(_xlpm.v="","",""""&amp;_xlpm.s&amp;""":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</v>
      </c>
    </row>
    <row r="51" spans="1:44" ht="22.5" x14ac:dyDescent="0.25">
      <c r="A51" s="33" t="s">
        <v>1479</v>
      </c>
      <c r="B51" s="33" t="s">
        <v>1480</v>
      </c>
      <c r="C51" s="20">
        <v>2020</v>
      </c>
      <c r="D51" s="37" t="s">
        <v>1481</v>
      </c>
      <c r="F51" s="34" t="s">
        <v>1376</v>
      </c>
      <c r="G51" s="35" t="s">
        <v>1377</v>
      </c>
      <c r="H51" s="35" t="s">
        <v>1482</v>
      </c>
      <c r="I51" s="20">
        <v>14</v>
      </c>
      <c r="J51" s="20">
        <v>6048</v>
      </c>
      <c r="K51" s="20">
        <v>4024</v>
      </c>
      <c r="L51" s="20">
        <v>35.9</v>
      </c>
      <c r="M51" s="20">
        <v>23.9</v>
      </c>
      <c r="N51" s="20">
        <v>5.94</v>
      </c>
      <c r="O51" s="20">
        <v>5.94</v>
      </c>
      <c r="Q51" s="35" t="s">
        <v>1378</v>
      </c>
      <c r="R51" s="34" t="s">
        <v>1379</v>
      </c>
      <c r="S51" s="34" t="s">
        <v>1380</v>
      </c>
      <c r="T51" s="34" t="s">
        <v>1278</v>
      </c>
      <c r="U51" s="34" t="s">
        <v>1365</v>
      </c>
      <c r="V51" s="34" t="s">
        <v>1366</v>
      </c>
      <c r="W51" s="34" t="s">
        <v>1367</v>
      </c>
      <c r="AJ51" s="34" t="s">
        <v>1381</v>
      </c>
      <c r="AK51" s="34" t="s">
        <v>1382</v>
      </c>
      <c r="AL51" s="34" t="s">
        <v>1383</v>
      </c>
      <c r="AM51" s="34" t="s">
        <v>1384</v>
      </c>
      <c r="AN51" s="34" t="s">
        <v>1385</v>
      </c>
      <c r="AO51" s="34" t="s">
        <v>1386</v>
      </c>
      <c r="AQ51" s="21" t="str">
        <f t="shared" si="2"/>
        <v>"Z 6_2": {"Name": "Z6II", "Year": 2020, "Processor": "EXPEED 6 Dual", "Sensor": {"Name": "Sony ?", "Type": "BSI-CMOS", "Bayer": "RGGB", "BitDepth": 14, "ResX": 6048, "ResY": 4024, "SizeX": 35.9, "SizeY": 23.9, "PixelSizeX": 5.94, "PixelSizeY": 5.94}, 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1696}}}]}</v>
      </c>
      <c r="AR51" s="21" t="str" cm="1">
        <f t="array" ref="AR51">_xlfn.LET(_xlpm.crop,$R$2:$AO$2,_xlpm.size,$R$3:$AO$3,_xlpm.value,R51:AO51,_xlpm.vf,_xlfn.MAP(_xlpm.size,_xlpm.value,_xlfn.LAMBDA(_xlpm.s,_xlpm.v,IF(_xlpm.v="","",""""&amp;_xlpm.s&amp;""":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4024}, "Size M": {"ResX": 4528, "ResY": 3016}, "Size S": {"ResX": 3024, "ResY": 2016}}}, {"Crop": "DX", "Subs": {"Size L": {"ResX": 3936, "ResY": 2624}, "Size M": {"ResX": 2944, "ResY": 1968}, "Size S": {"ResX": 1968, "ResY": 1312}}}, {"Crop": "1:1", "Subs": {"Size L": {"ResX": 4016, "ResY": 4016}, "Size M": {"ResX": 3008, "ResY": 3008}, "Size S": {"ResX": 2000, "ResY": 2000}}}, {"Crop": "16:9", "Subs": {"Size L": {"ResX": 6048, "ResY": 3400}, "Size M": {"ResX": 4528, "ResY": 2544}, "Size S": {"ResX": 3024, "ResY": 1696}}}]</v>
      </c>
    </row>
    <row r="52" spans="1:44" ht="45" x14ac:dyDescent="0.25">
      <c r="A52" s="33" t="s">
        <v>1483</v>
      </c>
      <c r="B52" s="33" t="s">
        <v>1484</v>
      </c>
      <c r="C52" s="20">
        <v>2024</v>
      </c>
      <c r="D52" s="20" t="s">
        <v>1469</v>
      </c>
      <c r="F52" s="34" t="s">
        <v>1376</v>
      </c>
      <c r="G52" s="35" t="s">
        <v>1485</v>
      </c>
      <c r="I52" s="20">
        <v>14</v>
      </c>
      <c r="J52" s="20">
        <v>6048</v>
      </c>
      <c r="K52" s="20">
        <v>4032</v>
      </c>
      <c r="L52" s="20">
        <v>35.9</v>
      </c>
      <c r="M52" s="20">
        <v>23.9</v>
      </c>
      <c r="N52" s="20">
        <v>5.94</v>
      </c>
      <c r="O52" s="20">
        <v>5.94</v>
      </c>
      <c r="R52" s="34" t="s">
        <v>1276</v>
      </c>
      <c r="S52" s="34" t="s">
        <v>1470</v>
      </c>
      <c r="T52" s="34" t="s">
        <v>1278</v>
      </c>
      <c r="U52" s="34" t="s">
        <v>1471</v>
      </c>
      <c r="V52" s="38" t="s">
        <v>1472</v>
      </c>
      <c r="W52" s="34" t="s">
        <v>1473</v>
      </c>
      <c r="AJ52" s="34" t="s">
        <v>1474</v>
      </c>
      <c r="AK52" s="34" t="s">
        <v>1475</v>
      </c>
      <c r="AL52" s="34" t="s">
        <v>1476</v>
      </c>
      <c r="AM52" s="34" t="s">
        <v>1384</v>
      </c>
      <c r="AN52" s="34" t="s">
        <v>1385</v>
      </c>
      <c r="AO52" s="34" t="s">
        <v>1386</v>
      </c>
      <c r="AQ52" s="21" t="str">
        <f t="shared" si="2"/>
        <v>"Z 6_3": {"Name": "Z6III", "Year": 2024, "Processor": "EXPEED 7", "Sensor": {"Name": "Sony ?", "Type": "Partially Stacked BSI-CMOS", "Bayer": "", "BitDepth": 14, "ResX": 6048, "ResY": 4032, "SizeX": 35.9, "SizeY": 23.9, "PixelSizeX": 5.94, "PixelSizeY": 5.94}, 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1696}}}]}</v>
      </c>
      <c r="AR52" s="21" t="str" cm="1">
        <f t="array" ref="AR52">_xlfn.LET(_xlpm.crop,$R$2:$AO$2,_xlpm.size,$R$3:$AO$3,_xlpm.value,R52:AO52,_xlpm.vf,_xlfn.MAP(_xlpm.size,_xlpm.value,_xlfn.LAMBDA(_xlpm.s,_xlpm.v,IF(_xlpm.v="","",""""&amp;_xlpm.s&amp;""":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</v>
      </c>
    </row>
    <row r="53" spans="1:44" ht="45" x14ac:dyDescent="0.25">
      <c r="A53" s="33" t="s">
        <v>1486</v>
      </c>
      <c r="B53" s="33" t="s">
        <v>1487</v>
      </c>
      <c r="C53" s="20">
        <v>2018</v>
      </c>
      <c r="D53" s="37" t="s">
        <v>1321</v>
      </c>
      <c r="F53" s="34" t="s">
        <v>1488</v>
      </c>
      <c r="G53" s="35" t="s">
        <v>1405</v>
      </c>
      <c r="I53" s="20">
        <v>14</v>
      </c>
      <c r="J53" s="20">
        <v>8256</v>
      </c>
      <c r="K53" s="20">
        <v>5504</v>
      </c>
      <c r="L53" s="20">
        <v>35.9</v>
      </c>
      <c r="M53" s="20">
        <v>23.9</v>
      </c>
      <c r="N53" s="20">
        <v>4.3499999999999996</v>
      </c>
      <c r="O53" s="20">
        <v>4.3499999999999996</v>
      </c>
      <c r="Q53" s="35" t="s">
        <v>1489</v>
      </c>
      <c r="R53" s="34" t="s">
        <v>1407</v>
      </c>
      <c r="S53" s="34" t="s">
        <v>1408</v>
      </c>
      <c r="T53" s="34" t="s">
        <v>1409</v>
      </c>
      <c r="U53" s="34" t="s">
        <v>1410</v>
      </c>
      <c r="V53" s="34" t="s">
        <v>1411</v>
      </c>
      <c r="W53" s="34" t="s">
        <v>1412</v>
      </c>
      <c r="AD53" s="34" t="s">
        <v>1413</v>
      </c>
      <c r="AE53" s="34" t="s">
        <v>1414</v>
      </c>
      <c r="AF53" s="34" t="s">
        <v>1415</v>
      </c>
      <c r="AJ53" s="34" t="s">
        <v>1419</v>
      </c>
      <c r="AK53" s="34" t="s">
        <v>1420</v>
      </c>
      <c r="AL53" s="34" t="s">
        <v>1421</v>
      </c>
      <c r="AM53" s="34" t="s">
        <v>1490</v>
      </c>
      <c r="AN53" s="34" t="s">
        <v>1491</v>
      </c>
      <c r="AO53" s="34" t="s">
        <v>1492</v>
      </c>
      <c r="AQ53" s="21" t="str">
        <f t="shared" si="2"/>
        <v>"Z 7": {"Name": "Z7", "Year": 2018, "Processor": "EXPEED 6", "Sensor": {"Name": "Sony IMX-309-BQJ", "Type": "BSI-CMOS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3" s="21" t="str" cm="1">
        <f t="array" ref="AR53">_xlfn.LET(_xlpm.crop,$R$2:$AO$2,_xlpm.size,$R$3:$AO$3,_xlpm.value,R53:AO53,_xlpm.vf,_xlfn.MAP(_xlpm.size,_xlpm.value,_xlfn.LAMBDA(_xlpm.s,_xlpm.v,IF(_xlpm.v="","",""""&amp;_xlpm.s&amp;""":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4" spans="1:44" ht="45" x14ac:dyDescent="0.25">
      <c r="A54" s="33" t="s">
        <v>1493</v>
      </c>
      <c r="B54" s="33" t="s">
        <v>1494</v>
      </c>
      <c r="C54" s="20">
        <v>2020</v>
      </c>
      <c r="D54" s="37" t="s">
        <v>1481</v>
      </c>
      <c r="F54" s="34" t="s">
        <v>1488</v>
      </c>
      <c r="G54" s="35" t="s">
        <v>1405</v>
      </c>
      <c r="I54" s="20">
        <v>14</v>
      </c>
      <c r="J54" s="20">
        <v>8256</v>
      </c>
      <c r="K54" s="20">
        <v>5504</v>
      </c>
      <c r="L54" s="20">
        <v>35.9</v>
      </c>
      <c r="M54" s="20">
        <v>23.9</v>
      </c>
      <c r="N54" s="20">
        <v>4.3499999999999996</v>
      </c>
      <c r="O54" s="20">
        <v>4.3499999999999996</v>
      </c>
      <c r="Q54" s="35" t="s">
        <v>1495</v>
      </c>
      <c r="R54" s="34" t="s">
        <v>1407</v>
      </c>
      <c r="S54" s="34" t="s">
        <v>1408</v>
      </c>
      <c r="T54" s="34" t="s">
        <v>1409</v>
      </c>
      <c r="U54" s="34" t="s">
        <v>1410</v>
      </c>
      <c r="V54" s="34" t="s">
        <v>1411</v>
      </c>
      <c r="W54" s="34" t="s">
        <v>1412</v>
      </c>
      <c r="AD54" s="34" t="s">
        <v>1413</v>
      </c>
      <c r="AE54" s="34" t="s">
        <v>1414</v>
      </c>
      <c r="AF54" s="34" t="s">
        <v>1415</v>
      </c>
      <c r="AJ54" s="34" t="s">
        <v>1419</v>
      </c>
      <c r="AK54" s="34" t="s">
        <v>1420</v>
      </c>
      <c r="AL54" s="34" t="s">
        <v>1421</v>
      </c>
      <c r="AM54" s="34" t="s">
        <v>1490</v>
      </c>
      <c r="AN54" s="34" t="s">
        <v>1491</v>
      </c>
      <c r="AO54" s="34" t="s">
        <v>1492</v>
      </c>
      <c r="AQ54" s="21" t="str">
        <f t="shared" si="2"/>
        <v>"Z 7_2": {"Name": "Z7II", "Year": 2020, "Processor": "EXPEED 6 Dual", "Sensor": {"Name": "Sony IMX-309-BQJ", "Type": "BSI-CMOS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4" s="21" t="str" cm="1">
        <f t="array" ref="AR54">_xlfn.LET(_xlpm.crop,$R$2:$AO$2,_xlpm.size,$R$3:$AO$3,_xlpm.value,R54:AO54,_xlpm.vf,_xlfn.MAP(_xlpm.size,_xlpm.value,_xlfn.LAMBDA(_xlpm.s,_xlpm.v,IF(_xlpm.v="","",""""&amp;_xlpm.s&amp;""":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5408, "ResY": 3600}, "Size M": {"ResX": 4048, "ResY": 2696}, "Size S": {"ResX": 2704, "ResY": 1800}}}, {"Crop": "5:4", "Subs": {"Size L": {"ResX": 6880, "ResY": 5504}, "Size M": {"ResX": 5152, "ResY": 4120}, "Size S": {"ResX": 3440, "ResY": 2752}}},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5" spans="1:44" ht="56.25" x14ac:dyDescent="0.25">
      <c r="A55" s="33" t="s">
        <v>0</v>
      </c>
      <c r="B55" s="33" t="s">
        <v>1496</v>
      </c>
      <c r="C55" s="20">
        <v>2023</v>
      </c>
      <c r="D55" s="20" t="s">
        <v>1469</v>
      </c>
      <c r="F55" s="34" t="s">
        <v>1376</v>
      </c>
      <c r="G55" s="35" t="s">
        <v>1497</v>
      </c>
      <c r="I55" s="20">
        <v>14</v>
      </c>
      <c r="J55" s="20">
        <v>8256</v>
      </c>
      <c r="K55" s="20">
        <v>5504</v>
      </c>
      <c r="L55" s="20">
        <v>35.9</v>
      </c>
      <c r="M55" s="20">
        <v>23.9</v>
      </c>
      <c r="N55" s="20">
        <v>4.3499999999999996</v>
      </c>
      <c r="O55" s="20">
        <v>4.3499999999999996</v>
      </c>
      <c r="Q55" s="35" t="s">
        <v>1378</v>
      </c>
      <c r="R55" s="34" t="s">
        <v>1407</v>
      </c>
      <c r="S55" s="34" t="s">
        <v>1408</v>
      </c>
      <c r="T55" s="34" t="s">
        <v>1409</v>
      </c>
      <c r="U55" s="34" t="s">
        <v>1498</v>
      </c>
      <c r="V55" s="34" t="s">
        <v>1499</v>
      </c>
      <c r="W55" s="34" t="s">
        <v>1500</v>
      </c>
      <c r="AJ55" s="34" t="s">
        <v>1419</v>
      </c>
      <c r="AK55" s="34" t="s">
        <v>1420</v>
      </c>
      <c r="AL55" s="34" t="s">
        <v>1421</v>
      </c>
      <c r="AM55" s="34" t="s">
        <v>1490</v>
      </c>
      <c r="AN55" s="34" t="s">
        <v>1491</v>
      </c>
      <c r="AO55" s="34" t="s">
        <v>1492</v>
      </c>
      <c r="AQ55" s="21" t="str">
        <f t="shared" si="2"/>
        <v>"Z 8": {"Name": "Z8", "Year": 2023, "Processor": "EXPEED 7", "Sensor": {"Name": "Sony ?", "Type": "Stacked 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5" s="21" t="str" cm="1">
        <f t="array" ref="AR55">_xlfn.LET(_xlpm.crop,$R$2:$AO$2,_xlpm.size,$R$3:$AO$3,_xlpm.value,R55:AO55,_xlpm.vf,_xlfn.MAP(_xlpm.size,_xlpm.value,_xlfn.LAMBDA(_xlpm.s,_xlpm.v,IF(_xlpm.v="","",""""&amp;_xlpm.s&amp;""":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6" spans="1:44" ht="56.25" x14ac:dyDescent="0.25">
      <c r="A56" s="33" t="s">
        <v>1185</v>
      </c>
      <c r="B56" s="33" t="s">
        <v>1501</v>
      </c>
      <c r="C56" s="20">
        <v>2023</v>
      </c>
      <c r="D56" s="20" t="s">
        <v>1469</v>
      </c>
      <c r="F56" s="34" t="s">
        <v>1376</v>
      </c>
      <c r="G56" s="35" t="s">
        <v>1497</v>
      </c>
      <c r="I56" s="20">
        <v>14</v>
      </c>
      <c r="J56" s="20">
        <v>8256</v>
      </c>
      <c r="K56" s="20">
        <v>5504</v>
      </c>
      <c r="L56" s="20">
        <v>35.9</v>
      </c>
      <c r="M56" s="20">
        <v>23.9</v>
      </c>
      <c r="N56" s="20">
        <v>4.3499999999999996</v>
      </c>
      <c r="O56" s="20">
        <v>4.3499999999999996</v>
      </c>
      <c r="Q56" s="35" t="s">
        <v>1378</v>
      </c>
      <c r="R56" s="34" t="s">
        <v>1407</v>
      </c>
      <c r="S56" s="34" t="s">
        <v>1408</v>
      </c>
      <c r="T56" s="34" t="s">
        <v>1409</v>
      </c>
      <c r="U56" s="34" t="s">
        <v>1498</v>
      </c>
      <c r="V56" s="34" t="s">
        <v>1499</v>
      </c>
      <c r="W56" s="34" t="s">
        <v>1500</v>
      </c>
      <c r="AJ56" s="34" t="s">
        <v>1419</v>
      </c>
      <c r="AK56" s="34" t="s">
        <v>1420</v>
      </c>
      <c r="AL56" s="34" t="s">
        <v>1421</v>
      </c>
      <c r="AM56" s="34" t="s">
        <v>1490</v>
      </c>
      <c r="AN56" s="34" t="s">
        <v>1491</v>
      </c>
      <c r="AO56" s="34" t="s">
        <v>1492</v>
      </c>
      <c r="AQ56" s="21" t="str">
        <f t="shared" si="2"/>
        <v>"Z 9": {"Name": "Z9", "Year": 2023, "Processor": "EXPEED 7", "Sensor": {"Name": "Sony ?", "Type": "Stacked BSI-CMOS (Without AA filter)", "Bayer": "", "BitDepth": 14, "ResX": 8256, "ResY": 5504, "SizeX": 35.9, "SizeY": 23.9, "PixelSizeX": 4.35, "PixelSizeY": 4.35}, 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2320}}}]}</v>
      </c>
      <c r="AR56" s="21" t="str" cm="1">
        <f t="array" ref="AR56">_xlfn.LET(_xlpm.crop,$R$2:$AO$2,_xlpm.size,$R$3:$AO$3,_xlpm.value,R56:AO56,_xlpm.vf,_xlfn.MAP(_xlpm.size,_xlpm.value,_xlfn.LAMBDA(_xlpm.s,_xlpm.v,IF(_xlpm.v="","",""""&amp;_xlpm.s&amp;""":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8256, "ResY": 5504}, "Size M": {"ResX": 6192, "ResY": 4128}, "Size S": {"ResX": 4128, "ResY": 2752}}}, {"Crop": "DX", "Subs": {"Size L": {"ResX": 5392, "ResY": 3592}, "Size M": {"ResX": 4032, "ResY": 2688}, "Size S": {"ResX": 2688, "ResY": 1792}}}, {"Crop": "1:1", "Subs": {"Size L": {"ResX": 5504, "ResY": 5504}, "Size M": {"ResX": 4128, "ResY": 4128}, "Size S": {"ResX": 2752, "ResY": 2752}}}, {"Crop": "16:9", "Subs": {"Size L": {"ResX": 8256, "ResY": 4640}, "Size M": {"ResX": 6192, "ResY": 3480}, "Size S": {"ResX": 4128, "ResY": 2320}}}]</v>
      </c>
    </row>
    <row r="57" spans="1:44" ht="22.5" x14ac:dyDescent="0.25">
      <c r="A57" s="33" t="s">
        <v>1502</v>
      </c>
      <c r="B57" s="33" t="s">
        <v>1503</v>
      </c>
      <c r="C57" s="20">
        <v>2019</v>
      </c>
      <c r="D57" s="37" t="s">
        <v>1321</v>
      </c>
      <c r="G57" s="35" t="s">
        <v>1263</v>
      </c>
      <c r="I57" s="20">
        <v>14</v>
      </c>
      <c r="J57" s="20">
        <v>5568</v>
      </c>
      <c r="K57" s="20">
        <v>3712</v>
      </c>
      <c r="L57" s="20">
        <v>23.5</v>
      </c>
      <c r="M57" s="20">
        <v>15.7</v>
      </c>
      <c r="N57" s="20">
        <v>4.22</v>
      </c>
      <c r="O57" s="20">
        <v>4.22</v>
      </c>
      <c r="Q57" s="35" t="s">
        <v>1504</v>
      </c>
      <c r="U57" s="34" t="s">
        <v>1308</v>
      </c>
      <c r="V57" s="34" t="s">
        <v>1309</v>
      </c>
      <c r="W57" s="34" t="s">
        <v>1310</v>
      </c>
      <c r="AJ57" s="34" t="s">
        <v>1323</v>
      </c>
      <c r="AK57" s="34" t="s">
        <v>1324</v>
      </c>
      <c r="AL57" s="34" t="s">
        <v>1325</v>
      </c>
      <c r="AM57" s="34" t="s">
        <v>1326</v>
      </c>
      <c r="AN57" s="34" t="s">
        <v>1327</v>
      </c>
      <c r="AO57" s="34" t="s">
        <v>1328</v>
      </c>
      <c r="AQ57" s="21" t="str">
        <f t="shared" si="2"/>
        <v>"Z 50": {"Name": "Z50", "Year": 2019, "Processor": "EXPEED 6", "Sensor": {"Name": "", "Type": "CMOS",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57" s="21" t="str" cm="1">
        <f t="array" ref="AR57">_xlfn.LET(_xlpm.crop,$R$2:$AO$2,_xlpm.size,$R$3:$AO$3,_xlpm.value,R57:AO57,_xlpm.vf,_xlfn.MAP(_xlpm.size,_xlpm.value,_xlfn.LAMBDA(_xlpm.s,_xlpm.v,IF(_xlpm.v="","",""""&amp;_xlpm.s&amp;""":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  <row r="58" spans="1:44" ht="33.75" x14ac:dyDescent="0.25">
      <c r="A58" s="33" t="s">
        <v>1505</v>
      </c>
      <c r="B58" s="33" t="s">
        <v>1506</v>
      </c>
      <c r="C58" s="20">
        <v>2024</v>
      </c>
      <c r="D58" s="20" t="s">
        <v>1469</v>
      </c>
      <c r="F58" s="34" t="s">
        <v>1376</v>
      </c>
      <c r="G58" s="35" t="s">
        <v>1400</v>
      </c>
      <c r="I58" s="20">
        <v>14</v>
      </c>
      <c r="J58" s="20">
        <v>5568</v>
      </c>
      <c r="K58" s="20">
        <v>3712</v>
      </c>
      <c r="L58" s="20">
        <v>23.5</v>
      </c>
      <c r="M58" s="20">
        <v>15.7</v>
      </c>
      <c r="N58" s="20">
        <v>4.22</v>
      </c>
      <c r="O58" s="20">
        <v>4.22</v>
      </c>
      <c r="U58" s="34" t="s">
        <v>1308</v>
      </c>
      <c r="V58" s="34" t="s">
        <v>1309</v>
      </c>
      <c r="W58" s="34" t="s">
        <v>1310</v>
      </c>
      <c r="AJ58" s="34" t="s">
        <v>1323</v>
      </c>
      <c r="AK58" s="34" t="s">
        <v>1324</v>
      </c>
      <c r="AL58" s="34" t="s">
        <v>1325</v>
      </c>
      <c r="AM58" s="34" t="s">
        <v>1326</v>
      </c>
      <c r="AN58" s="34" t="s">
        <v>1327</v>
      </c>
      <c r="AO58" s="34" t="s">
        <v>1328</v>
      </c>
      <c r="AQ58" s="21" t="str">
        <f t="shared" si="2"/>
        <v>"Z50_2": {"Name": "Z50II", "Year": 2024, "Processor": "EXPEED 7", "Sensor": {"Name": "Sony ?", "Type": "CMOS (Without AA filter)",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58" s="21" t="str" cm="1">
        <f t="array" ref="AR58">_xlfn.LET(_xlpm.crop,$R$2:$AO$2,_xlpm.size,$R$3:$AO$3,_xlpm.value,R58:AO58,_xlpm.vf,_xlfn.MAP(_xlpm.size,_xlpm.value,_xlfn.LAMBDA(_xlpm.s,_xlpm.v,IF(_xlpm.v="","",""""&amp;_xlpm.s&amp;""":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  <row r="59" spans="1:44" ht="22.5" x14ac:dyDescent="0.25">
      <c r="A59" s="33" t="s">
        <v>1507</v>
      </c>
      <c r="B59" s="33" t="s">
        <v>1508</v>
      </c>
      <c r="C59" s="20">
        <v>2023</v>
      </c>
      <c r="D59" s="20" t="s">
        <v>1469</v>
      </c>
      <c r="F59" s="34" t="s">
        <v>1376</v>
      </c>
      <c r="G59" s="35" t="s">
        <v>1377</v>
      </c>
      <c r="I59" s="20">
        <v>14</v>
      </c>
      <c r="J59" s="20">
        <v>6048</v>
      </c>
      <c r="K59" s="20">
        <v>4032</v>
      </c>
      <c r="L59" s="20">
        <v>35.9</v>
      </c>
      <c r="M59" s="20">
        <v>23.9</v>
      </c>
      <c r="N59" s="20">
        <v>5.94</v>
      </c>
      <c r="O59" s="20">
        <v>5.94</v>
      </c>
      <c r="R59" s="34" t="s">
        <v>1276</v>
      </c>
      <c r="S59" s="34" t="s">
        <v>1470</v>
      </c>
      <c r="T59" s="34" t="s">
        <v>1278</v>
      </c>
      <c r="U59" s="34" t="s">
        <v>1471</v>
      </c>
      <c r="V59" s="34" t="s">
        <v>1472</v>
      </c>
      <c r="W59" s="34" t="s">
        <v>1473</v>
      </c>
      <c r="AJ59" s="34" t="s">
        <v>1474</v>
      </c>
      <c r="AK59" s="34" t="s">
        <v>1475</v>
      </c>
      <c r="AL59" s="34" t="s">
        <v>1476</v>
      </c>
      <c r="AM59" s="34" t="s">
        <v>1384</v>
      </c>
      <c r="AN59" s="34" t="s">
        <v>1385</v>
      </c>
      <c r="AO59" s="34" t="s">
        <v>1386</v>
      </c>
      <c r="AQ59" s="21" t="str">
        <f t="shared" si="2"/>
        <v>"Z f": {"Name": "Zf", "Year": 2023, "Processor": "EXPEED 7", "Sensor": {"Name": "Sony ?", "Type": "BSI-CMOS", "Bayer": "", "BitDepth": 14, "ResX": 6048, "ResY": 4032, "SizeX": 35.9, "SizeY": 23.9, "PixelSizeX": 5.94, "PixelSizeY": 5.94}, 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1696}}}]}</v>
      </c>
      <c r="AR59" s="21" t="str" cm="1">
        <f t="array" ref="AR59">_xlfn.LET(_xlpm.crop,$R$2:$AO$2,_xlpm.size,$R$3:$AO$3,_xlpm.value,R59:AO59,_xlpm.vf,_xlfn.MAP(_xlpm.size,_xlpm.value,_xlfn.LAMBDA(_xlpm.s,_xlpm.v,IF(_xlpm.v="","",""""&amp;_xlpm.s&amp;""":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"FX", "Subs": {"Size L": {"ResX": 6048, "ResY": 4032}, "Size M": {"ResX": 4528, "ResY": 3024}, "Size S": {"ResX": 3024, "ResY": 2016}}}, {"Crop": "DX", "Subs": {"Size L": {"ResX": 3984, "ResY": 2656}, "Size M": {"ResX": 2976, "ResY": 1992}, "Size S": {"ResX": 1984, "ResY": 1328}}}, {"Crop": "1:1", "Subs": {"Size L": {"ResX": 4032, "ResY": 4032}, "Size M": {"ResX": 3024, "ResY": 3024}, "Size S": {"ResX": 2016, "ResY": 2016}}}, {"Crop": "16:9", "Subs": {"Size L": {"ResX": 6048, "ResY": 3400}, "Size M": {"ResX": 4528, "ResY": 2544}, "Size S": {"ResX": 3024, "ResY": 1696}}}]</v>
      </c>
    </row>
    <row r="60" spans="1:44" ht="33.75" x14ac:dyDescent="0.25">
      <c r="A60" s="33" t="s">
        <v>1509</v>
      </c>
      <c r="B60" s="33" t="s">
        <v>1510</v>
      </c>
      <c r="C60" s="20">
        <v>2021</v>
      </c>
      <c r="D60" s="37" t="s">
        <v>1321</v>
      </c>
      <c r="F60" s="34" t="s">
        <v>1376</v>
      </c>
      <c r="G60" s="35" t="s">
        <v>1400</v>
      </c>
      <c r="I60" s="20">
        <v>14</v>
      </c>
      <c r="J60" s="20">
        <v>5568</v>
      </c>
      <c r="K60" s="20">
        <v>3712</v>
      </c>
      <c r="L60" s="20">
        <v>23.5</v>
      </c>
      <c r="M60" s="20">
        <v>15.7</v>
      </c>
      <c r="N60" s="20">
        <v>4.22</v>
      </c>
      <c r="O60" s="20">
        <v>4.22</v>
      </c>
      <c r="U60" s="34" t="s">
        <v>1308</v>
      </c>
      <c r="V60" s="34" t="s">
        <v>1309</v>
      </c>
      <c r="W60" s="34" t="s">
        <v>1310</v>
      </c>
      <c r="AJ60" s="34" t="s">
        <v>1323</v>
      </c>
      <c r="AK60" s="34" t="s">
        <v>1324</v>
      </c>
      <c r="AL60" s="34" t="s">
        <v>1325</v>
      </c>
      <c r="AM60" s="34" t="s">
        <v>1326</v>
      </c>
      <c r="AN60" s="34" t="s">
        <v>1327</v>
      </c>
      <c r="AO60" s="34" t="s">
        <v>1328</v>
      </c>
      <c r="AQ60" s="21" t="str">
        <f t="shared" si="2"/>
        <v>"Z fc": {"Name": "Zfc", "Year": 2021, "Processor": "EXPEED 6", "Sensor": {"Name": "Sony ?", "Type": "CMOS (Without AA filter)", "Bayer": "", "BitDepth": 14, "ResX": 5568, "ResY": 3712, "SizeX": 23.5, "SizeY": 15.7, "PixelSizeX": 4.22, "PixelSizeY": 4.22}, 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1560}}}]}</v>
      </c>
      <c r="AR60" s="21" t="str" cm="1">
        <f t="array" ref="AR60">_xlfn.LET(_xlpm.crop,$R$2:$AO$2,_xlpm.size,$R$3:$AO$3,_xlpm.value,R60:AO60,_xlpm.vf,_xlfn.MAP(_xlpm.size,_xlpm.value,_xlfn.LAMBDA(_xlpm.s,_xlpm.v,IF(_xlpm.v="","",""""&amp;_xlpm.s&amp;""": {""ResX"": "&amp;_xlfn.TEXTBEFORE(_xlpm.v,"x")&amp;", ""ResY"": "&amp;_xlfn.TEXTAFTER(_xlpm.v,"x")&amp;"}"))),_xlpm.vfc,_xlfn.GROUPBY(TRANSPOSE(_xlpm.crop),TRANSPOSE(_xlpm.vf),_xlfn.LAMBDA(_xlpm.v,_xlfn.TEXTJOIN(", ",TRUE,_xlpm.v)),0,0),_xlpm.vfcc,_xlfn.BYROW(_xlpm.vfc,_xlfn.LAMBDA(_xlpm.r,IF(INDEX(_xlpm.r,1,2)="","","{""Crop"": """&amp;INDEX(_xlpm.r,1,1)&amp;""", ""Subs"": {"&amp;INDEX(_xlpm.r,1,2)&amp;"}}"))),_xlpm.vs,_xlfn.SORTBY(_xlpm.vfcc,MATCH(INDEX(_xlpm.vfc,0,1),_xlpm.crop,0)),"""CropSubSampling"": ["&amp;_xlfn.TEXTJOIN(", ",TRUE,_xlpm.vs)&amp;"]")</f>
        <v>"CropSubSampling": [{"Crop": "DX", "Subs": {"Size L": {"ResX": 5568, "ResY": 3712}, "Size M": {"ResX": 4176, "ResY": 2784}, "Size S": {"ResX": 2784, "ResY": 1856}}}, {"Crop": "1:1", "Subs": {"Size L": {"ResX": 3712, "ResY": 3712}, "Size M": {"ResX": 2784, "ResY": 2784}, "Size S": {"ResX": 1856, "ResY": 1856}}}, {"Crop": "16:9", "Subs": {"Size L": {"ResX": 5568, "ResY": 3128}, "Size M": {"ResX": 4176, "ResY": 2344}, "Size S": {"ResX": 2784, "ResY": 1560}}}]</v>
      </c>
    </row>
  </sheetData>
  <mergeCells count="17">
    <mergeCell ref="Q2:Q3"/>
    <mergeCell ref="J2:J3"/>
    <mergeCell ref="K2:K3"/>
    <mergeCell ref="L2:L3"/>
    <mergeCell ref="M2:M3"/>
    <mergeCell ref="N2:N3"/>
    <mergeCell ref="O2:O3"/>
    <mergeCell ref="A1:A3"/>
    <mergeCell ref="B1:B3"/>
    <mergeCell ref="C1:C3"/>
    <mergeCell ref="D1:D3"/>
    <mergeCell ref="F1:O1"/>
    <mergeCell ref="Q1:AO1"/>
    <mergeCell ref="F2:F3"/>
    <mergeCell ref="G2:G3"/>
    <mergeCell ref="H2:H3"/>
    <mergeCell ref="I2:I3"/>
  </mergeCells>
  <conditionalFormatting sqref="R1:AO1048576">
    <cfRule type="cellIs" dxfId="12" priority="1" operator="equal">
      <formula>_xlfn.SINGLE($J:$J)&amp;"x"&amp;_xlfn.SINGLE($K:$K)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AEB8A-3663-4CB0-BC59-D6700D2ABA69}">
  <sheetPr>
    <tabColor rgb="FF0070C0"/>
  </sheetPr>
  <dimension ref="A1:C15"/>
  <sheetViews>
    <sheetView workbookViewId="0">
      <selection activeCell="F24" sqref="F24"/>
    </sheetView>
  </sheetViews>
  <sheetFormatPr defaultRowHeight="15" x14ac:dyDescent="0.25"/>
  <cols>
    <col min="1" max="1" width="10.28515625" bestFit="1" customWidth="1"/>
    <col min="2" max="2" width="11" bestFit="1" customWidth="1"/>
    <col min="3" max="3" width="13.28515625" bestFit="1" customWidth="1"/>
  </cols>
  <sheetData>
    <row r="1" spans="1:3" x14ac:dyDescent="0.25">
      <c r="A1" s="1" t="s">
        <v>2</v>
      </c>
      <c r="B1" s="1" t="s">
        <v>1231</v>
      </c>
      <c r="C1" s="1" t="s">
        <v>1633</v>
      </c>
    </row>
    <row r="2" spans="1:3" x14ac:dyDescent="0.25">
      <c r="A2" t="s">
        <v>0</v>
      </c>
      <c r="B2" t="s">
        <v>1</v>
      </c>
      <c r="C2">
        <v>1</v>
      </c>
    </row>
    <row r="3" spans="1:3" x14ac:dyDescent="0.25">
      <c r="A3" t="s">
        <v>1185</v>
      </c>
      <c r="B3" t="s">
        <v>1186</v>
      </c>
      <c r="C3">
        <v>2</v>
      </c>
    </row>
    <row r="4" spans="1:3" x14ac:dyDescent="0.25">
      <c r="A4" t="s">
        <v>1187</v>
      </c>
      <c r="B4" t="s">
        <v>1188</v>
      </c>
      <c r="C4">
        <v>3</v>
      </c>
    </row>
    <row r="5" spans="1:3" x14ac:dyDescent="0.25">
      <c r="A5" t="s">
        <v>1230</v>
      </c>
      <c r="B5" t="s">
        <v>1188</v>
      </c>
      <c r="C5">
        <v>4</v>
      </c>
    </row>
    <row r="6" spans="1:3" x14ac:dyDescent="0.25">
      <c r="A6" t="s">
        <v>1502</v>
      </c>
      <c r="B6" t="s">
        <v>1511</v>
      </c>
      <c r="C6">
        <v>5</v>
      </c>
    </row>
    <row r="7" spans="1:3" x14ac:dyDescent="0.25">
      <c r="A7" t="s">
        <v>1477</v>
      </c>
      <c r="B7" t="s">
        <v>1541</v>
      </c>
      <c r="C7">
        <v>6</v>
      </c>
    </row>
    <row r="8" spans="1:3" x14ac:dyDescent="0.25">
      <c r="A8" t="s">
        <v>1486</v>
      </c>
      <c r="B8" t="s">
        <v>1541</v>
      </c>
      <c r="C8">
        <v>7</v>
      </c>
    </row>
    <row r="9" spans="1:3" x14ac:dyDescent="0.25">
      <c r="A9" t="s">
        <v>1461</v>
      </c>
      <c r="B9" t="s">
        <v>1188</v>
      </c>
      <c r="C9">
        <v>8</v>
      </c>
    </row>
    <row r="10" spans="1:3" x14ac:dyDescent="0.25">
      <c r="A10" t="s">
        <v>1320</v>
      </c>
      <c r="B10" t="s">
        <v>1632</v>
      </c>
      <c r="C10">
        <v>9</v>
      </c>
    </row>
    <row r="11" spans="1:3" x14ac:dyDescent="0.25">
      <c r="A11" t="s">
        <v>1305</v>
      </c>
      <c r="B11" t="s">
        <v>1511</v>
      </c>
      <c r="C11">
        <v>10</v>
      </c>
    </row>
    <row r="12" spans="1:3" x14ac:dyDescent="0.25">
      <c r="A12" t="s">
        <v>1303</v>
      </c>
      <c r="B12" t="s">
        <v>1632</v>
      </c>
      <c r="C12">
        <v>11</v>
      </c>
    </row>
    <row r="13" spans="1:3" x14ac:dyDescent="0.25">
      <c r="A13" t="s">
        <v>1287</v>
      </c>
      <c r="B13" t="s">
        <v>1632</v>
      </c>
      <c r="C13">
        <v>12</v>
      </c>
    </row>
    <row r="14" spans="1:3" x14ac:dyDescent="0.25">
      <c r="A14" t="s">
        <v>1274</v>
      </c>
      <c r="B14" t="s">
        <v>1632</v>
      </c>
      <c r="C14">
        <v>13</v>
      </c>
    </row>
    <row r="15" spans="1:3" x14ac:dyDescent="0.25">
      <c r="A15" t="s">
        <v>1260</v>
      </c>
      <c r="B15" t="s">
        <v>1632</v>
      </c>
      <c r="C15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6155-77D5-4318-BFB1-25DC003C6BF0}">
  <sheetPr>
    <tabColor theme="7" tint="-0.249977111117893"/>
  </sheetPr>
  <dimension ref="A1:E467"/>
  <sheetViews>
    <sheetView workbookViewId="0">
      <selection activeCell="H28" sqref="H28"/>
    </sheetView>
  </sheetViews>
  <sheetFormatPr defaultRowHeight="15" x14ac:dyDescent="0.25"/>
  <cols>
    <col min="1" max="1" width="32.140625" style="40" bestFit="1" customWidth="1"/>
    <col min="2" max="2" width="35.5703125" style="7" bestFit="1" customWidth="1"/>
    <col min="3" max="3" width="35" style="7" bestFit="1" customWidth="1"/>
    <col min="4" max="4" width="35.7109375" style="7" bestFit="1" customWidth="1"/>
    <col min="5" max="5" width="28.7109375" style="7" bestFit="1" customWidth="1"/>
  </cols>
  <sheetData>
    <row r="1" spans="1:5" x14ac:dyDescent="0.25">
      <c r="A1" s="39" t="s">
        <v>1542</v>
      </c>
      <c r="B1" s="1" t="s">
        <v>1543</v>
      </c>
      <c r="C1" s="1" t="s">
        <v>1544</v>
      </c>
      <c r="D1" s="1" t="s">
        <v>1545</v>
      </c>
      <c r="E1" s="1" t="s">
        <v>1546</v>
      </c>
    </row>
    <row r="2" spans="1:5" x14ac:dyDescent="0.25">
      <c r="A2" s="40" t="str" cm="1">
        <f t="array" aca="1" ref="A2:A129" ca="1">_xlfn.LET(_xlpm.arr,_xlfn.ANCHORARRAY(OperationCode!A3),INDEX(_xlpm.arr,0,2)&amp;" = "&amp;INDEX(_xlpm.arr,0,1)&amp;",")</f>
        <v>GetDeviceInfo = 0x1001,</v>
      </c>
      <c r="B2" s="7" t="str" cm="1">
        <f t="array" aca="1" ref="B2:B58" ca="1">_xlfn.LET(_xlpm.arr,_xlfn.ANCHORARRAY(ResponseCode!A3),INDEX(_xlpm.arr,0,2)&amp;" = "&amp;INDEX(_xlpm.arr,0,1)&amp;",")</f>
        <v>OK = 0x2001,</v>
      </c>
      <c r="C2" s="7" t="str" cm="1">
        <f t="array" aca="1" ref="C2:C34" ca="1">_xlfn.LET(_xlpm.arr,_xlfn.ANCHORARRAY(EventCode!A3),INDEX(_xlpm.arr,0,2)&amp;" = "&amp;INDEX(_xlpm.arr,0,1)&amp;",")</f>
        <v>CancelTransaction = 0x4001,</v>
      </c>
      <c r="D2" s="7" t="str" cm="1">
        <f t="array" aca="1" ref="D2:D467" ca="1">_xlfn.LET(_xlpm.arr,_xlfn.ANCHORARRAY(DevicePropCode!A3),INDEX(_xlpm.arr,0,2)&amp;" = "&amp;INDEX(_xlpm.arr,0,1)&amp;",")</f>
        <v>BatteryLevel = 0x5001,</v>
      </c>
      <c r="E2" s="7" t="str" cm="1">
        <f t="array" aca="1" ref="E2:E29" ca="1">_xlfn.LET(_xlpm.arr,_xlfn.ANCHORARRAY(ObjectPropCode!A3),INDEX(_xlpm.arr,0,2)&amp;" = "&amp;INDEX(_xlpm.arr,0,1)&amp;",")</f>
        <v>StorageID = 0xDC01,</v>
      </c>
    </row>
    <row r="3" spans="1:5" x14ac:dyDescent="0.25">
      <c r="A3" s="40" t="str">
        <f ca="1"/>
        <v>OpenSession = 0x1002,</v>
      </c>
      <c r="B3" s="7" t="str">
        <f ca="1"/>
        <v>General_Error = 0x2002,</v>
      </c>
      <c r="C3" s="7" t="str">
        <f ca="1"/>
        <v>ObjectAdded = 0x4002,</v>
      </c>
      <c r="D3" s="7" t="str">
        <f ca="1"/>
        <v>ImageSize = 0x5003,</v>
      </c>
      <c r="E3" s="7" t="str">
        <f ca="1"/>
        <v>ObjectFormat = 0xDC02,</v>
      </c>
    </row>
    <row r="4" spans="1:5" x14ac:dyDescent="0.25">
      <c r="A4" s="40" t="str">
        <f ca="1"/>
        <v>CloseSession = 0x1003,</v>
      </c>
      <c r="B4" s="7" t="str">
        <f ca="1"/>
        <v>Session_Not_Open = 0x2003,</v>
      </c>
      <c r="C4" s="7" t="str">
        <f ca="1"/>
        <v>ObjectRemoved = 0x4003,</v>
      </c>
      <c r="D4" s="7" t="str">
        <f ca="1"/>
        <v>CompressionSetting = 0x5004,</v>
      </c>
      <c r="E4" s="7" t="str">
        <f ca="1"/>
        <v>ProtectionStatus = 0xDC03,</v>
      </c>
    </row>
    <row r="5" spans="1:5" x14ac:dyDescent="0.25">
      <c r="A5" s="40" t="str">
        <f ca="1"/>
        <v>GetStorageIDs = 0x1004,</v>
      </c>
      <c r="B5" s="7" t="str">
        <f ca="1"/>
        <v>Invalid_TransactionID = 0x2004,</v>
      </c>
      <c r="C5" s="7" t="str">
        <f ca="1"/>
        <v>StoreAdded = 0x4004,</v>
      </c>
      <c r="D5" s="7" t="str">
        <f ca="1"/>
        <v>WhiteBalance = 0x5005,</v>
      </c>
      <c r="E5" s="7" t="str">
        <f ca="1"/>
        <v>ObjectSize = 0xDC04,</v>
      </c>
    </row>
    <row r="6" spans="1:5" x14ac:dyDescent="0.25">
      <c r="A6" s="40" t="str">
        <f ca="1"/>
        <v>GetStorageInfo = 0x1005,</v>
      </c>
      <c r="B6" s="7" t="str">
        <f ca="1"/>
        <v>Operation_Not_Supported = 0x2005,</v>
      </c>
      <c r="C6" s="7" t="str">
        <f ca="1"/>
        <v>StoreRemoved = 0x4005,</v>
      </c>
      <c r="D6" s="7" t="str">
        <f ca="1"/>
        <v>Fnumber = 0x5007,</v>
      </c>
      <c r="E6" s="7" t="str">
        <f ca="1"/>
        <v>ObjectFilename = 0xDC07,</v>
      </c>
    </row>
    <row r="7" spans="1:5" x14ac:dyDescent="0.25">
      <c r="A7" s="40" t="str">
        <f ca="1"/>
        <v>GetNumObjects = 0x1006,</v>
      </c>
      <c r="B7" s="7" t="str">
        <f ca="1"/>
        <v>Parameter_Not_Supported = 0x2006,</v>
      </c>
      <c r="C7" s="7" t="str">
        <f ca="1"/>
        <v>DevicePropChanged = 0x4006,</v>
      </c>
      <c r="D7" s="7" t="str">
        <f ca="1"/>
        <v>FocalLength = 0x5008,</v>
      </c>
      <c r="E7" s="7" t="str">
        <f ca="1"/>
        <v>DateCreated = 0xDC08,</v>
      </c>
    </row>
    <row r="8" spans="1:5" x14ac:dyDescent="0.25">
      <c r="A8" s="40" t="str">
        <f ca="1"/>
        <v>GetObjectHandles = 0x1007,</v>
      </c>
      <c r="B8" s="7" t="str">
        <f ca="1"/>
        <v>Incomplete_Transfer = 0x2007,</v>
      </c>
      <c r="C8" s="7" t="str">
        <f ca="1"/>
        <v>ObjectInfoChanged = 0x4007,</v>
      </c>
      <c r="D8" s="7" t="str">
        <f ca="1"/>
        <v>FocusMode = 0x500A,</v>
      </c>
      <c r="E8" s="7" t="str">
        <f ca="1"/>
        <v>DateModified = 0xDC09,</v>
      </c>
    </row>
    <row r="9" spans="1:5" x14ac:dyDescent="0.25">
      <c r="A9" s="40" t="str">
        <f ca="1"/>
        <v>GetObjectInfo = 0x1008,</v>
      </c>
      <c r="B9" s="7" t="str">
        <f ca="1"/>
        <v>Invalid_StorageID = 0x2008,</v>
      </c>
      <c r="C9" s="7" t="str">
        <f ca="1"/>
        <v>DeviceInfoChanged = 0x4008,</v>
      </c>
      <c r="D9" s="7" t="str">
        <f ca="1"/>
        <v>ExposureMeteringMode = 0x500B,</v>
      </c>
      <c r="E9" s="7" t="str">
        <f ca="1"/>
        <v>ParentObject = 0xDC0B,</v>
      </c>
    </row>
    <row r="10" spans="1:5" x14ac:dyDescent="0.25">
      <c r="A10" s="40" t="str">
        <f ca="1"/>
        <v>GetObject = 0x1009,</v>
      </c>
      <c r="B10" s="7" t="str">
        <f ca="1"/>
        <v>Invalid_Object_Handle = 0x2009,</v>
      </c>
      <c r="C10" s="7" t="str">
        <f ca="1"/>
        <v>RequestObjectTransfer = 0x4009,</v>
      </c>
      <c r="D10" s="7" t="str">
        <f ca="1"/>
        <v>FlashMode = 0x500C,</v>
      </c>
      <c r="E10" s="7" t="str">
        <f ca="1"/>
        <v>Hidden = 0xDC0D,</v>
      </c>
    </row>
    <row r="11" spans="1:5" x14ac:dyDescent="0.25">
      <c r="A11" s="40" t="str">
        <f ca="1"/>
        <v>GetThumb = 0x100A,</v>
      </c>
      <c r="B11" s="7" t="str">
        <f ca="1"/>
        <v>DeviceProp_Not_Supported = 0x200A,</v>
      </c>
      <c r="C11" s="7" t="str">
        <f ca="1"/>
        <v>StoreFull = 0x400A,</v>
      </c>
      <c r="D11" s="7" t="str">
        <f ca="1"/>
        <v>ExposureTime = 0x500D,</v>
      </c>
      <c r="E11" s="7" t="str">
        <f ca="1"/>
        <v>PersistentUniqueObjectIdentifier = 0xDC41,</v>
      </c>
    </row>
    <row r="12" spans="1:5" x14ac:dyDescent="0.25">
      <c r="A12" s="40" t="str">
        <f ca="1"/>
        <v>DeleteObject = 0x100B,</v>
      </c>
      <c r="B12" s="7" t="str">
        <f ca="1"/>
        <v>Invalid_ObjectFormatCode = 0x200B,</v>
      </c>
      <c r="C12" s="7" t="str">
        <f ca="1"/>
        <v>StorageInfoChanged = 0x400C,</v>
      </c>
      <c r="D12" s="7" t="str">
        <f ca="1"/>
        <v>ExposureProgramMode = 0x500E,</v>
      </c>
      <c r="E12" s="7" t="str">
        <f ca="1"/>
        <v>Name = 0xDC44,</v>
      </c>
    </row>
    <row r="13" spans="1:5" x14ac:dyDescent="0.25">
      <c r="A13" s="40" t="str">
        <f ca="1"/>
        <v>SendObjectInfo = 0x100C,</v>
      </c>
      <c r="B13" s="7" t="str">
        <f ca="1"/>
        <v>Store_Full = 0x200C,</v>
      </c>
      <c r="C13" s="7" t="str">
        <f ca="1"/>
        <v>CaptureComplete = 0x400D,</v>
      </c>
      <c r="D13" s="7" t="str">
        <f ca="1"/>
        <v>ExposureIndex = 0x500F,</v>
      </c>
      <c r="E13" s="7" t="str">
        <f ca="1"/>
        <v>RepresentativeSampleFormat = 0xDC81,</v>
      </c>
    </row>
    <row r="14" spans="1:5" x14ac:dyDescent="0.25">
      <c r="A14" s="40" t="str">
        <f ca="1"/>
        <v>SendObject = 0x100D,</v>
      </c>
      <c r="B14" s="7" t="str">
        <f ca="1"/>
        <v>Object_Write_Protect = 0x200D,</v>
      </c>
      <c r="C14" s="7" t="str">
        <f ca="1"/>
        <v>ObjectAddedInSdram = 0xC101,</v>
      </c>
      <c r="D14" s="7" t="str">
        <f ca="1"/>
        <v>ExposureBiasCompensation = 0x5010,</v>
      </c>
      <c r="E14" s="7" t="str">
        <f ca="1"/>
        <v>RepresentativeSampleSize = 0xDC82,</v>
      </c>
    </row>
    <row r="15" spans="1:5" x14ac:dyDescent="0.25">
      <c r="A15" s="40" t="str">
        <f ca="1"/>
        <v>InitiateCapture = 0x100E,</v>
      </c>
      <c r="B15" s="7" t="str">
        <f ca="1"/>
        <v>Store_Read_Only = 0x200E,</v>
      </c>
      <c r="C15" s="7" t="str">
        <f ca="1"/>
        <v>CaptureCompleteRecInSdram = 0xC102,</v>
      </c>
      <c r="D15" s="7" t="str">
        <f ca="1"/>
        <v>DateTime = 0x5011,</v>
      </c>
      <c r="E15" s="7" t="str">
        <f ca="1"/>
        <v>RepresentativeSampleHeight = 0xDC83,</v>
      </c>
    </row>
    <row r="16" spans="1:5" x14ac:dyDescent="0.25">
      <c r="A16" s="40" t="str">
        <f ca="1"/>
        <v>FormatStore = 0x100F,</v>
      </c>
      <c r="B16" s="7" t="str">
        <f ca="1"/>
        <v>Access_Denied = 0x200F,</v>
      </c>
      <c r="C16" s="7" t="str">
        <f ca="1"/>
        <v>CaptureSkip = 0xC103,</v>
      </c>
      <c r="D16" s="7" t="str">
        <f ca="1"/>
        <v>StillCaptureMode = 0x5013,</v>
      </c>
      <c r="E16" s="7" t="str">
        <f ca="1"/>
        <v>RepresentativeSampleWidth = 0xDC84,</v>
      </c>
    </row>
    <row r="17" spans="1:5" x14ac:dyDescent="0.25">
      <c r="A17" s="40" t="str">
        <f ca="1"/>
        <v>SetObjectProtection = 0x1012,</v>
      </c>
      <c r="B17" s="7" t="str">
        <f ca="1"/>
        <v>No_Thumbnail_Present = 0x2010,</v>
      </c>
      <c r="C17" s="7" t="str">
        <f ca="1"/>
        <v>PreviewImageAdded = 0xC104,</v>
      </c>
      <c r="D17" s="7" t="str">
        <f ca="1"/>
        <v>BurstNumber = 0x5018,</v>
      </c>
      <c r="E17" s="7" t="str">
        <f ca="1"/>
        <v>RepresentativeSampleData = 0xDC86,</v>
      </c>
    </row>
    <row r="18" spans="1:5" x14ac:dyDescent="0.25">
      <c r="A18" s="40" t="str">
        <f ca="1"/>
        <v>GetDevicePropDesc = 0x1014,</v>
      </c>
      <c r="B18" s="7" t="str">
        <f ca="1"/>
        <v>Partial_Deletion = 0x2012,</v>
      </c>
      <c r="C18" s="7" t="str">
        <f ca="1"/>
        <v>MovieRecordInterrupted = 0xC105,</v>
      </c>
      <c r="D18" s="7" t="str">
        <f ca="1"/>
        <v>FocusMeteringMode = 0x501C,</v>
      </c>
      <c r="E18" s="7" t="str">
        <f ca="1"/>
        <v>Width = 0xDC87,</v>
      </c>
    </row>
    <row r="19" spans="1:5" x14ac:dyDescent="0.25">
      <c r="A19" s="40" t="str">
        <f ca="1"/>
        <v>GetDevicePropValue = 0x1015,</v>
      </c>
      <c r="B19" s="7" t="str">
        <f ca="1"/>
        <v>Store_Not_Available = 0x2013,</v>
      </c>
      <c r="C19" s="7" t="str">
        <f ca="1"/>
        <v>1stCaptureComplete = 0xC106,</v>
      </c>
      <c r="D19" s="7" t="str">
        <f ca="1"/>
        <v>Artist = 0x501E,</v>
      </c>
      <c r="E19" s="7" t="str">
        <f ca="1"/>
        <v>Height = 0xDC88,</v>
      </c>
    </row>
    <row r="20" spans="1:5" x14ac:dyDescent="0.25">
      <c r="A20" s="40" t="str">
        <f ca="1"/>
        <v>SetDevicePropValue = 0x1016,</v>
      </c>
      <c r="B20" s="7" t="str">
        <f ca="1"/>
        <v>Specification_By_Format_Unsupported = 0x2014,</v>
      </c>
      <c r="C20" s="7" t="str">
        <f ca="1"/>
        <v>MirrorUpCancelComplete = 0xC107,</v>
      </c>
      <c r="D20" s="7" t="str">
        <f ca="1"/>
        <v>Copyright = 0x501F,</v>
      </c>
      <c r="E20" s="7" t="str">
        <f ca="1"/>
        <v>Duration = 0xDC89,</v>
      </c>
    </row>
    <row r="21" spans="1:5" x14ac:dyDescent="0.25">
      <c r="A21" s="40" t="str">
        <f ca="1"/>
        <v>GetPartialObject = 0x101B,</v>
      </c>
      <c r="B21" s="7" t="str">
        <f ca="1"/>
        <v>No_Valid_ObjectInfo = 0x2015,</v>
      </c>
      <c r="C21" s="7" t="str">
        <f ca="1"/>
        <v>MovieRecordComplete = 0xC108,</v>
      </c>
      <c r="D21" s="7" t="str">
        <f ca="1"/>
        <v>ShootingMenuBank = 0xD010,</v>
      </c>
      <c r="E21" s="7" t="str">
        <f ca="1"/>
        <v>Rating = 0xDC8A,</v>
      </c>
    </row>
    <row r="22" spans="1:5" x14ac:dyDescent="0.25">
      <c r="A22" s="40" t="str">
        <f ca="1"/>
        <v>InitiateCaptureRecInSdram = 0x90C0,</v>
      </c>
      <c r="B22" s="7" t="str">
        <f ca="1"/>
        <v>Capture_Already_Terminated = 0x2018,</v>
      </c>
      <c r="C22" s="7" t="str">
        <f ca="1"/>
        <v>MovieRecordStarted = 0xC10A,</v>
      </c>
      <c r="D22" s="7" t="str">
        <f ca="1"/>
        <v>ShootingBankNameA = 0xD011,</v>
      </c>
      <c r="E22" s="7" t="str">
        <f ca="1"/>
        <v>ImageBitDepth = 0xDCD3,</v>
      </c>
    </row>
    <row r="23" spans="1:5" x14ac:dyDescent="0.25">
      <c r="A23" s="40" t="str">
        <f ca="1"/>
        <v>AfDrive = 0x90C1,</v>
      </c>
      <c r="B23" s="7" t="str">
        <f ca="1"/>
        <v>Device_Busy = 0x2019,</v>
      </c>
      <c r="C23" s="7" t="str">
        <f ca="1"/>
        <v>PictureControlAdjustChanged = 0xC10B,</v>
      </c>
      <c r="D23" s="7" t="str">
        <f ca="1"/>
        <v>ShootingBankNameB = 0xD012,</v>
      </c>
      <c r="E23" s="7" t="str">
        <f ca="1"/>
        <v>SampleRate = 0xDE93,</v>
      </c>
    </row>
    <row r="24" spans="1:5" x14ac:dyDescent="0.25">
      <c r="A24" s="40" t="str">
        <f ca="1"/>
        <v>ChangeCameraMode = 0x90C2,</v>
      </c>
      <c r="B24" s="7" t="str">
        <f ca="1"/>
        <v>Invalid_Parent_Object = 0x201A,</v>
      </c>
      <c r="C24" s="7" t="str">
        <f ca="1"/>
        <v>LiveViewStateChanged = 0xC10C,</v>
      </c>
      <c r="D24" s="7" t="str">
        <f ca="1"/>
        <v>ShootingBankNameC = 0xD013,</v>
      </c>
      <c r="E24" s="7" t="str">
        <f ca="1"/>
        <v>NumberOfChannels = 0xDE94,</v>
      </c>
    </row>
    <row r="25" spans="1:5" x14ac:dyDescent="0.25">
      <c r="A25" s="40" t="str">
        <f ca="1"/>
        <v>DeleteImagesInSdram = 0x90C3,</v>
      </c>
      <c r="B25" s="7" t="str">
        <f ca="1"/>
        <v>Invalid_DeviceProp_Format = 0x201B,</v>
      </c>
      <c r="C25" s="7" t="str">
        <f ca="1"/>
        <v>PixelMappingComplete = 0xC10D,</v>
      </c>
      <c r="D25" s="7" t="str">
        <f ca="1"/>
        <v>ShootingBankNameD = 0xD014,</v>
      </c>
      <c r="E25" s="7" t="str">
        <f ca="1"/>
        <v>ScanType = 0xDE97,</v>
      </c>
    </row>
    <row r="26" spans="1:5" x14ac:dyDescent="0.25">
      <c r="A26" s="40" t="str">
        <f ca="1"/>
        <v>GetLargeThumb = 0x90C4,</v>
      </c>
      <c r="B26" s="7" t="str">
        <f ca="1"/>
        <v>Invalid_DeviceProp_Value = 0x201C,</v>
      </c>
      <c r="C26" s="7" t="str">
        <f ca="1"/>
        <v>ManualSettingLensDataChanged = 0xC10E,</v>
      </c>
      <c r="D26" s="7" t="str">
        <f ca="1"/>
        <v>ResetShootingMenu = 0xD015,</v>
      </c>
      <c r="E26" s="7" t="str">
        <f ca="1"/>
        <v>AudioBitRate = 0xDE9A,</v>
      </c>
    </row>
    <row r="27" spans="1:5" x14ac:dyDescent="0.25">
      <c r="A27" s="40" t="str">
        <f ca="1"/>
        <v>GetEvent = 0x90C7,</v>
      </c>
      <c r="B27" s="7" t="str">
        <f ca="1"/>
        <v>Invalid_Parameter = 0x201D,</v>
      </c>
      <c r="C27" s="7" t="str">
        <f ca="1"/>
        <v>OpenCaptureComplete = 0xC10F,</v>
      </c>
      <c r="D27" s="7" t="str">
        <f ca="1"/>
        <v>RawCompressionType = 0xD016,</v>
      </c>
      <c r="E27" s="7" t="str">
        <f ca="1"/>
        <v>VideoFourCCCode = 0xDE9B,</v>
      </c>
    </row>
    <row r="28" spans="1:5" x14ac:dyDescent="0.25">
      <c r="A28" s="40" t="str">
        <f ca="1"/>
        <v>DeviceReady = 0x90C8,</v>
      </c>
      <c r="B28" s="7" t="str">
        <f ca="1"/>
        <v>Session_Already_Open = 0x201E,</v>
      </c>
      <c r="C28" s="7" t="str">
        <f ca="1"/>
        <v>SBAdded = 0xC120,</v>
      </c>
      <c r="D28" s="7" t="str">
        <f ca="1"/>
        <v>WbTuneAuto = 0xD017,</v>
      </c>
      <c r="E28" s="7" t="str">
        <f ca="1"/>
        <v>VideoBitRate = 0xDE9C,</v>
      </c>
    </row>
    <row r="29" spans="1:5" x14ac:dyDescent="0.25">
      <c r="A29" s="40" t="str">
        <f ca="1"/>
        <v>SetPreWbData = 0x90C9,</v>
      </c>
      <c r="B29" s="7" t="str">
        <f ca="1"/>
        <v>Transaction_Cancelled = 0x201F,</v>
      </c>
      <c r="C29" s="7" t="str">
        <f ca="1"/>
        <v>SBRemoved = 0xC121,</v>
      </c>
      <c r="D29" s="7" t="str">
        <f ca="1"/>
        <v>WbTuneIncandescent = 0xD018,</v>
      </c>
      <c r="E29" s="7" t="str">
        <f ca="1"/>
        <v>FramesPerThousandSeconds = 0xDE9D,</v>
      </c>
    </row>
    <row r="30" spans="1:5" x14ac:dyDescent="0.25">
      <c r="A30" s="40" t="str">
        <f ca="1"/>
        <v>GetVendorPropCodes = 0x90CA,</v>
      </c>
      <c r="B30" s="7" t="str">
        <f ca="1"/>
        <v>Specification_of_Destination_Unsupported = 0x2020,</v>
      </c>
      <c r="C30" s="7" t="str">
        <f ca="1"/>
        <v>SBAttrChanged = 0xC122,</v>
      </c>
      <c r="D30" s="7" t="str">
        <f ca="1"/>
        <v>WbTuneFluorescent = 0xD019,</v>
      </c>
    </row>
    <row r="31" spans="1:5" x14ac:dyDescent="0.25">
      <c r="A31" s="40" t="str">
        <f ca="1"/>
        <v>AfAndCaptureRecInSdram = 0x90CB,</v>
      </c>
      <c r="B31" s="7" t="str">
        <f ca="1"/>
        <v>Hardware_Error = 0xA001,</v>
      </c>
      <c r="C31" s="7" t="str">
        <f ca="1"/>
        <v>SBGroupAttrChanged = 0xC123,</v>
      </c>
      <c r="D31" s="7" t="str">
        <f ca="1"/>
        <v>WbTuneSunny = 0xD01A,</v>
      </c>
    </row>
    <row r="32" spans="1:5" x14ac:dyDescent="0.25">
      <c r="A32" s="40" t="str">
        <f ca="1"/>
        <v>GetPicCtrlData = 0x90CC,</v>
      </c>
      <c r="B32" s="7" t="str">
        <f ca="1"/>
        <v>Out_of_Focus = 0xA002,</v>
      </c>
      <c r="C32" s="7" t="str">
        <f ca="1"/>
        <v>HlgQualityAdjustChanged = 0xC125,</v>
      </c>
      <c r="D32" s="7" t="str">
        <f ca="1"/>
        <v>WbTuneFlash = 0xD01B,</v>
      </c>
    </row>
    <row r="33" spans="1:4" x14ac:dyDescent="0.25">
      <c r="A33" s="40" t="str">
        <f ca="1"/>
        <v>SetPicCtrlData = 0x90CD,</v>
      </c>
      <c r="B33" s="7" t="str">
        <f ca="1"/>
        <v>Change_CameraMode_Failed = 0xA003,</v>
      </c>
      <c r="C33" s="7" t="str">
        <f ca="1"/>
        <v>PortraitImpressionBalanceAdjustChanged = 0xC126,</v>
      </c>
      <c r="D33" s="7" t="str">
        <f ca="1"/>
        <v>WbTuneCloudy = 0xD01C,</v>
      </c>
    </row>
    <row r="34" spans="1:4" x14ac:dyDescent="0.25">
      <c r="A34" s="40" t="str">
        <f ca="1"/>
        <v>DeleteCustomPicCtrl = 0x90CE,</v>
      </c>
      <c r="B34" s="7" t="str">
        <f ca="1"/>
        <v>Invalid_Status = 0xA004,</v>
      </c>
      <c r="C34" s="7" t="str">
        <f ca="1"/>
        <v>PictureControlHlgAdjustChanged = 0xC127,</v>
      </c>
      <c r="D34" s="7" t="str">
        <f ca="1"/>
        <v>WbTuneShade = 0xD01D,</v>
      </c>
    </row>
    <row r="35" spans="1:4" x14ac:dyDescent="0.25">
      <c r="A35" s="40" t="str">
        <f ca="1"/>
        <v>GetPicCtrlCapability = 0x90CF,</v>
      </c>
      <c r="B35" s="7" t="str">
        <f ca="1"/>
        <v>Set_Property_Not_Support = 0xA005,</v>
      </c>
      <c r="D35" s="7" t="str">
        <f ca="1"/>
        <v>WbColorTemp = 0xD01E,</v>
      </c>
    </row>
    <row r="36" spans="1:4" x14ac:dyDescent="0.25">
      <c r="A36" s="40" t="str">
        <f ca="1"/>
        <v>GetPreviewImage = 0x9200,</v>
      </c>
      <c r="B36" s="7" t="str">
        <f ca="1"/>
        <v>Wb_Preset_Error = 0xA006,</v>
      </c>
      <c r="D36" s="7" t="str">
        <f ca="1"/>
        <v>WbPresetDataNo = 0xD01F,</v>
      </c>
    </row>
    <row r="37" spans="1:4" x14ac:dyDescent="0.25">
      <c r="A37" s="40" t="str">
        <f ca="1"/>
        <v>StartLiveView = 0x9201,</v>
      </c>
      <c r="B37" s="7" t="str">
        <f ca="1"/>
        <v>Dust_Reference_Error = 0xA007,</v>
      </c>
      <c r="D37" s="7" t="str">
        <f ca="1"/>
        <v>WbPresetDataComment0 = 0xD020,</v>
      </c>
    </row>
    <row r="38" spans="1:4" x14ac:dyDescent="0.25">
      <c r="A38" s="40" t="str">
        <f ca="1"/>
        <v>EndLiveView = 0x9202,</v>
      </c>
      <c r="B38" s="7" t="str">
        <f ca="1"/>
        <v>Shutter_Speed_Bulb = 0xA008,</v>
      </c>
      <c r="D38" s="7" t="str">
        <f ca="1"/>
        <v>WbPresetDataComment1 = 0xD021,</v>
      </c>
    </row>
    <row r="39" spans="1:4" x14ac:dyDescent="0.25">
      <c r="A39" s="40" t="str">
        <f ca="1"/>
        <v>GetLiveViewImage = 0x9203,</v>
      </c>
      <c r="B39" s="7" t="str">
        <f ca="1"/>
        <v>MirrorUp_Sequence = 0xA009,</v>
      </c>
      <c r="D39" s="7" t="str">
        <f ca="1"/>
        <v>WbPresetDataComment2 = 0xD022,</v>
      </c>
    </row>
    <row r="40" spans="1:4" x14ac:dyDescent="0.25">
      <c r="A40" s="40" t="str">
        <f ca="1"/>
        <v>MfDrive = 0x9204,</v>
      </c>
      <c r="B40" s="7" t="str">
        <f ca="1"/>
        <v>CameraMode_Not_Adjust_Fnumber = 0xA00A,</v>
      </c>
      <c r="D40" s="7" t="str">
        <f ca="1"/>
        <v>WbPresetDataComment3 = 0xD023,</v>
      </c>
    </row>
    <row r="41" spans="1:4" x14ac:dyDescent="0.25">
      <c r="A41" s="40" t="str">
        <f ca="1"/>
        <v>ChangeAfArea = 0x9205,</v>
      </c>
      <c r="B41" s="7" t="str">
        <f ca="1"/>
        <v>Not_LiveView = 0xA00B,</v>
      </c>
      <c r="D41" s="7" t="str">
        <f ca="1"/>
        <v>WbPresetDataComment4 = 0xD024,</v>
      </c>
    </row>
    <row r="42" spans="1:4" x14ac:dyDescent="0.25">
      <c r="A42" s="40" t="str">
        <f ca="1"/>
        <v>AfDriveCancel = 0x9206,</v>
      </c>
      <c r="B42" s="7" t="str">
        <f ca="1"/>
        <v>MfDrive_Step_End = 0xA00C,</v>
      </c>
      <c r="D42" s="7" t="str">
        <f ca="1"/>
        <v>WbPresetDataValue0 = 0xD025,</v>
      </c>
    </row>
    <row r="43" spans="1:4" x14ac:dyDescent="0.25">
      <c r="A43" s="40" t="str">
        <f ca="1"/>
        <v>InitiateCaptureRecInMedia = 0x9207,</v>
      </c>
      <c r="B43" s="7" t="str">
        <f ca="1"/>
        <v>MfDrive_Step_Insufficiency = 0xA00E,</v>
      </c>
      <c r="D43" s="7" t="str">
        <f ca="1"/>
        <v>WbPresetDataValue1 = 0xD026,</v>
      </c>
    </row>
    <row r="44" spans="1:4" x14ac:dyDescent="0.25">
      <c r="A44" s="40" t="str">
        <f ca="1"/>
        <v>AfAndCaptureRecInStorage = 0x9208,</v>
      </c>
      <c r="B44" s="7" t="str">
        <f ca="1"/>
        <v>No_FullHD_Present = 0xA00F,</v>
      </c>
      <c r="D44" s="7" t="str">
        <f ca="1"/>
        <v>WbPresetDataValue2 = 0xD027,</v>
      </c>
    </row>
    <row r="45" spans="1:4" x14ac:dyDescent="0.25">
      <c r="A45" s="40" t="str">
        <f ca="1"/>
        <v>GetVendorStorageIDs = 0x9209,</v>
      </c>
      <c r="B45" s="7" t="str">
        <f ca="1"/>
        <v>Store_Error = 0xA021,</v>
      </c>
      <c r="D45" s="7" t="str">
        <f ca="1"/>
        <v>WbPresetDataValue3 = 0xD028,</v>
      </c>
    </row>
    <row r="46" spans="1:4" x14ac:dyDescent="0.25">
      <c r="A46" s="40" t="str">
        <f ca="1"/>
        <v>StartMovieRecord = 0x920A,</v>
      </c>
      <c r="B46" s="7" t="str">
        <f ca="1"/>
        <v>Store_Unformatted = 0xA022,</v>
      </c>
      <c r="D46" s="7" t="str">
        <f ca="1"/>
        <v>WbPresetDataValue4 = 0xD029,</v>
      </c>
    </row>
    <row r="47" spans="1:4" x14ac:dyDescent="0.25">
      <c r="A47" s="40" t="str">
        <f ca="1"/>
        <v>EndMovieRecord = 0x920B,</v>
      </c>
      <c r="B47" s="7" t="str">
        <f ca="1"/>
        <v>Bulb_Release_Busy = 0xA200,</v>
      </c>
      <c r="D47" s="7" t="str">
        <f ca="1"/>
        <v>FmmManualSetting = 0xD02E,</v>
      </c>
    </row>
    <row r="48" spans="1:4" x14ac:dyDescent="0.25">
      <c r="A48" s="40" t="str">
        <f ca="1"/>
        <v>TerminateCapture = 0x920C,</v>
      </c>
      <c r="B48" s="7" t="str">
        <f ca="1"/>
        <v>Silent_Release_Busy = 0xA201,</v>
      </c>
      <c r="D48" s="7" t="str">
        <f ca="1"/>
        <v>F0ManualSetting = 0xD02F,</v>
      </c>
    </row>
    <row r="49" spans="1:4" x14ac:dyDescent="0.25">
      <c r="A49" s="40" t="str">
        <f ca="1"/>
        <v>GetFhdPicture = 0x920F,</v>
      </c>
      <c r="B49" s="7" t="str">
        <f ca="1"/>
        <v>MovieFrame_Release_Busy = 0xA202,</v>
      </c>
      <c r="D49" s="7" t="str">
        <f ca="1"/>
        <v>CaptureAreaCrop = 0xD030,</v>
      </c>
    </row>
    <row r="50" spans="1:4" x14ac:dyDescent="0.25">
      <c r="A50" s="40" t="str">
        <f ca="1"/>
        <v>GetPartialObjectHighSpeed = 0x9400,</v>
      </c>
      <c r="B50" s="7" t="str">
        <f ca="1"/>
        <v>Shutter_Speed_Time = 0xA204,</v>
      </c>
      <c r="D50" s="7" t="str">
        <f ca="1"/>
        <v>JpegCompressionPolicy = 0xD031,</v>
      </c>
    </row>
    <row r="51" spans="1:4" x14ac:dyDescent="0.25">
      <c r="A51" s="40" t="str">
        <f ca="1"/>
        <v>GetIPTCInfo = 0x9401,</v>
      </c>
      <c r="B51" s="7" t="str">
        <f ca="1"/>
        <v>Waiting_2ndRelease = 0xA207,</v>
      </c>
      <c r="D51" s="7" t="str">
        <f ca="1"/>
        <v>ColorSpace = 0xD032,</v>
      </c>
    </row>
    <row r="52" spans="1:4" x14ac:dyDescent="0.25">
      <c r="A52" s="40" t="str">
        <f ca="1"/>
        <v>StartSpotWb = 0x9402,</v>
      </c>
      <c r="B52" s="7" t="str">
        <f ca="1"/>
        <v>MirrorUpCapture_Already_Start = 0xA208,</v>
      </c>
      <c r="D52" s="7" t="str">
        <f ca="1"/>
        <v>AutoDxCrop = 0xD033,</v>
      </c>
    </row>
    <row r="53" spans="1:4" x14ac:dyDescent="0.25">
      <c r="A53" s="40" t="str">
        <f ca="1"/>
        <v>EndSpotWb = 0x9403,</v>
      </c>
      <c r="B53" s="7" t="str">
        <f ca="1"/>
        <v>Invalid_SBAttribute_Value = 0xA209,</v>
      </c>
      <c r="D53" s="7" t="str">
        <f ca="1"/>
        <v>DecreaseFlicker = 0xD034,</v>
      </c>
    </row>
    <row r="54" spans="1:4" x14ac:dyDescent="0.25">
      <c r="A54" s="40" t="str">
        <f ca="1"/>
        <v>ChangeSpotWbArea = 0x9404,</v>
      </c>
      <c r="B54" s="7" t="str">
        <f ca="1"/>
        <v>Invalid_Data = 0xA210,</v>
      </c>
      <c r="D54" s="7" t="str">
        <f ca="1"/>
        <v>EffectMode = 0xD037,</v>
      </c>
    </row>
    <row r="55" spans="1:4" x14ac:dyDescent="0.25">
      <c r="A55" s="40" t="str">
        <f ca="1"/>
        <v>MeasureSpotWb = 0x9405,</v>
      </c>
      <c r="B55" s="7" t="str">
        <f ca="1"/>
        <v>Invalid_ObjectPropCode = 0xA801,</v>
      </c>
      <c r="D55" s="7" t="str">
        <f ca="1"/>
        <v>WbPresetDataComment5 = 0xD038,</v>
      </c>
    </row>
    <row r="56" spans="1:4" x14ac:dyDescent="0.25">
      <c r="A56" s="40" t="str">
        <f ca="1"/>
        <v>EndSpotWbResultDisp = 0x9406,</v>
      </c>
      <c r="B56" s="7" t="str">
        <f ca="1"/>
        <v>Invalid_ObjectProp_Format = 0xA802,</v>
      </c>
      <c r="D56" s="7" t="str">
        <f ca="1"/>
        <v>WbPresetDataComment6 = 0xD039,</v>
      </c>
    </row>
    <row r="57" spans="1:4" x14ac:dyDescent="0.25">
      <c r="A57" s="40" t="str">
        <f ca="1"/>
        <v>CancelImagesInSdram = 0x940C,</v>
      </c>
      <c r="B57" s="7" t="str">
        <f ca="1"/>
        <v>Invalid_ObjectProp_Value = 0xA803,</v>
      </c>
      <c r="D57" s="7" t="str">
        <f ca="1"/>
        <v>WbTunePreset5 = 0xD03A,</v>
      </c>
    </row>
    <row r="58" spans="1:4" x14ac:dyDescent="0.25">
      <c r="A58" s="40" t="str">
        <f ca="1"/>
        <v>GetPicCtrlDataEx = 0x940D,</v>
      </c>
      <c r="B58" s="7" t="str">
        <f ca="1"/>
        <v>ObjectProp_Not_Supported = 0xA80A,</v>
      </c>
      <c r="D58" s="7" t="str">
        <f ca="1"/>
        <v>WbTunePreset6 = 0xD03B,</v>
      </c>
    </row>
    <row r="59" spans="1:4" x14ac:dyDescent="0.25">
      <c r="A59" s="40" t="str">
        <f ca="1"/>
        <v>SetPicCtrlDataEx = 0x940E,</v>
      </c>
      <c r="D59" s="7" t="str">
        <f ca="1"/>
        <v>WbPresetProtect5 = 0xD03C,</v>
      </c>
    </row>
    <row r="60" spans="1:4" x14ac:dyDescent="0.25">
      <c r="A60" s="40" t="str">
        <f ca="1"/>
        <v>DeleteMovieCustomPicCtrl = 0x940F,</v>
      </c>
      <c r="D60" s="7" t="str">
        <f ca="1"/>
        <v>WbPresetProtect6 = 0xD03D,</v>
      </c>
    </row>
    <row r="61" spans="1:4" x14ac:dyDescent="0.25">
      <c r="A61" s="40" t="str">
        <f ca="1"/>
        <v>GetMoviePicCtrlCapability = 0x9410,</v>
      </c>
      <c r="D61" s="7" t="str">
        <f ca="1"/>
        <v>WbPresetDataValue5 = 0xD03E,</v>
      </c>
    </row>
    <row r="62" spans="1:4" x14ac:dyDescent="0.25">
      <c r="A62" s="40" t="str">
        <f ca="1"/>
        <v>GetIPTCPresetInfo = 0x9412,</v>
      </c>
      <c r="D62" s="7" t="str">
        <f ca="1"/>
        <v>WbPresetDataValue6 = 0xD03F,</v>
      </c>
    </row>
    <row r="63" spans="1:4" x14ac:dyDescent="0.25">
      <c r="A63" s="40" t="str">
        <f ca="1"/>
        <v>SetIPTCPresetInfo = 0x9413,</v>
      </c>
      <c r="D63" s="7" t="str">
        <f ca="1"/>
        <v>CustomSettingBank = 0xD040,</v>
      </c>
    </row>
    <row r="64" spans="1:4" x14ac:dyDescent="0.25">
      <c r="A64" s="40" t="str">
        <f ca="1"/>
        <v>GetSBHandles = 0x9414,</v>
      </c>
      <c r="D64" s="7" t="str">
        <f ca="1"/>
        <v>CustomBankNameA = 0xD041,</v>
      </c>
    </row>
    <row r="65" spans="1:4" x14ac:dyDescent="0.25">
      <c r="A65" s="40" t="str">
        <f ca="1"/>
        <v>GetSBAttrDesc = 0x9415,</v>
      </c>
      <c r="D65" s="7" t="str">
        <f ca="1"/>
        <v>CustomBankNameB = 0xD042,</v>
      </c>
    </row>
    <row r="66" spans="1:4" x14ac:dyDescent="0.25">
      <c r="A66" s="40" t="str">
        <f ca="1"/>
        <v>GetSBAttrValue = 0x9416,</v>
      </c>
      <c r="D66" s="7" t="str">
        <f ca="1"/>
        <v>CustomBankNameC = 0xD043,</v>
      </c>
    </row>
    <row r="67" spans="1:4" x14ac:dyDescent="0.25">
      <c r="A67" s="40" t="str">
        <f ca="1"/>
        <v>SetSBAttrValue = 0x9417,</v>
      </c>
      <c r="D67" s="7" t="str">
        <f ca="1"/>
        <v>CustomBankNameD = 0xD044,</v>
      </c>
    </row>
    <row r="68" spans="1:4" x14ac:dyDescent="0.25">
      <c r="A68" s="40" t="str">
        <f ca="1"/>
        <v>GetSBGroupAttrDesc = 0x9418,</v>
      </c>
      <c r="D68" s="7" t="str">
        <f ca="1"/>
        <v>ResetCustomSetting = 0xD045,</v>
      </c>
    </row>
    <row r="69" spans="1:4" x14ac:dyDescent="0.25">
      <c r="A69" s="40" t="str">
        <f ca="1"/>
        <v>GetSBGroupAttrValue = 0x9419,</v>
      </c>
      <c r="D69" s="7" t="str">
        <f ca="1"/>
        <v>AFStillLockOnAcross = 0xD046,</v>
      </c>
    </row>
    <row r="70" spans="1:4" x14ac:dyDescent="0.25">
      <c r="A70" s="40" t="str">
        <f ca="1"/>
        <v>SetSBGroupAttrValue = 0x941A,</v>
      </c>
      <c r="D70" s="7" t="str">
        <f ca="1"/>
        <v>AFStillLockOnMove = 0xD047,</v>
      </c>
    </row>
    <row r="71" spans="1:4" x14ac:dyDescent="0.25">
      <c r="A71" s="40" t="str">
        <f ca="1"/>
        <v>TestFlash = 0x941B,</v>
      </c>
      <c r="D71" s="7" t="str">
        <f ca="1"/>
        <v>DynamicAFonAFC = 0xD048,</v>
      </c>
    </row>
    <row r="72" spans="1:4" x14ac:dyDescent="0.25">
      <c r="A72" s="40" t="str">
        <f ca="1"/>
        <v>GetEventEx = 0x941C,</v>
      </c>
      <c r="D72" s="7" t="str">
        <f ca="1"/>
        <v>DynamicAFonAFS = 0xD049,</v>
      </c>
    </row>
    <row r="73" spans="1:4" x14ac:dyDescent="0.25">
      <c r="A73" s="40" t="str">
        <f ca="1"/>
        <v>MirrorUpCancel = 0x941D,</v>
      </c>
      <c r="D73" s="7" t="str">
        <f ca="1"/>
        <v>AFDriveByRelease = 0xD04B,</v>
      </c>
    </row>
    <row r="74" spans="1:4" x14ac:dyDescent="0.25">
      <c r="A74" s="40" t="str">
        <f ca="1"/>
        <v>SaveCameraSetting = 0x9420,</v>
      </c>
      <c r="D74" s="7" t="str">
        <f ca="1"/>
        <v>FocusFrameMFSetting = 0xD04C,</v>
      </c>
    </row>
    <row r="75" spans="1:4" x14ac:dyDescent="0.25">
      <c r="A75" s="40" t="str">
        <f ca="1"/>
        <v>GetObjectSize = 0x9421,</v>
      </c>
      <c r="D75" s="7" t="str">
        <f ca="1"/>
        <v>FocusFrameCSetting = 0xD04D,</v>
      </c>
    </row>
    <row r="76" spans="1:4" x14ac:dyDescent="0.25">
      <c r="A76" s="40" t="str">
        <f ca="1"/>
        <v>ChangeMonitorOff = 0x9422,</v>
      </c>
      <c r="D76" s="7" t="str">
        <f ca="1"/>
        <v>FocusAreaSelect = 0xD04F,</v>
      </c>
    </row>
    <row r="77" spans="1:4" x14ac:dyDescent="0.25">
      <c r="A77" s="40" t="str">
        <f ca="1"/>
        <v>GetLiveViewCompressedSize = 0x9423,</v>
      </c>
      <c r="D77" s="7" t="str">
        <f ca="1"/>
        <v>VerticalAF = 0xD050,</v>
      </c>
    </row>
    <row r="78" spans="1:4" x14ac:dyDescent="0.25">
      <c r="A78" s="40" t="str">
        <f ca="1"/>
        <v>StartTracking = 0x9424,</v>
      </c>
      <c r="D78" s="7" t="str">
        <f ca="1"/>
        <v>AFStillLockOn = 0xD051,</v>
      </c>
    </row>
    <row r="79" spans="1:4" x14ac:dyDescent="0.25">
      <c r="A79" s="40" t="str">
        <f ca="1"/>
        <v>EndTracking = 0x9425,</v>
      </c>
      <c r="D79" s="7" t="str">
        <f ca="1"/>
        <v>EnableCopyright = 0xD053,</v>
      </c>
    </row>
    <row r="80" spans="1:4" x14ac:dyDescent="0.25">
      <c r="A80" s="40" t="str">
        <f ca="1"/>
        <v>ChangeAELock = 0x9426,</v>
      </c>
      <c r="D80" s="7" t="str">
        <f ca="1"/>
        <v>ISOAutoControl = 0xD054,</v>
      </c>
    </row>
    <row r="81" spans="1:4" x14ac:dyDescent="0.25">
      <c r="A81" s="40" t="str">
        <f ca="1"/>
        <v>GetLiveViewImageEx = 0x9428,</v>
      </c>
      <c r="D81" s="7" t="str">
        <f ca="1"/>
        <v>IsoStep = 0xD055,</v>
      </c>
    </row>
    <row r="82" spans="1:4" x14ac:dyDescent="0.25">
      <c r="A82" s="40" t="str">
        <f ca="1"/>
        <v>GetHLGQualityData = 0x942E,</v>
      </c>
      <c r="D82" s="7" t="str">
        <f ca="1"/>
        <v>ExposureEVStep = 0xD056,</v>
      </c>
    </row>
    <row r="83" spans="1:4" x14ac:dyDescent="0.25">
      <c r="A83" s="40" t="str">
        <f ca="1"/>
        <v>SetHLGQualityData = 0x942F,</v>
      </c>
      <c r="D83" s="7" t="str">
        <f ca="1"/>
        <v>ExposureCompEVStep = 0xD057,</v>
      </c>
    </row>
    <row r="84" spans="1:4" x14ac:dyDescent="0.25">
      <c r="A84" s="40" t="str">
        <f ca="1"/>
        <v>GetPartialObjectEx = 0x9431,</v>
      </c>
      <c r="D84" s="7" t="str">
        <f ca="1"/>
        <v>ExposureCompSetting = 0xD058,</v>
      </c>
    </row>
    <row r="85" spans="1:4" x14ac:dyDescent="0.25">
      <c r="A85" s="40" t="str">
        <f ca="1"/>
        <v>GetManualSettingLensData = 0x9432,</v>
      </c>
      <c r="D85" s="7" t="str">
        <f ca="1"/>
        <v>CenterWeightedExRange = 0xD059,</v>
      </c>
    </row>
    <row r="86" spans="1:4" x14ac:dyDescent="0.25">
      <c r="A86" s="40" t="str">
        <f ca="1"/>
        <v>InitiatePixelMapping = 0x9433,</v>
      </c>
      <c r="D86" s="7" t="str">
        <f ca="1"/>
        <v>ExposureBaseCompMatrix = 0xD05A,</v>
      </c>
    </row>
    <row r="87" spans="1:4" x14ac:dyDescent="0.25">
      <c r="A87" s="40" t="str">
        <f ca="1"/>
        <v>GetObjectsMetaData = 0x9434,</v>
      </c>
      <c r="D87" s="7" t="str">
        <f ca="1"/>
        <v>ExposureBaseCompCenter = 0xD05B,</v>
      </c>
    </row>
    <row r="88" spans="1:4" x14ac:dyDescent="0.25">
      <c r="A88" s="40" t="str">
        <f ca="1"/>
        <v>ChangeApplicationMode = 0x9435,</v>
      </c>
      <c r="D88" s="7" t="str">
        <f ca="1"/>
        <v>ExposureBaseCompSpot = 0xD05C,</v>
      </c>
    </row>
    <row r="89" spans="1:4" x14ac:dyDescent="0.25">
      <c r="A89" s="40" t="str">
        <f ca="1"/>
        <v>ResetMenu = 0x9436,</v>
      </c>
      <c r="D89" s="7" t="str">
        <f ca="1"/>
        <v>StillFocusMeteringMode = 0xD05D,</v>
      </c>
    </row>
    <row r="90" spans="1:4" x14ac:dyDescent="0.25">
      <c r="A90" s="40" t="str">
        <f ca="1"/>
        <v>GetVendorCodes = 0x9439,</v>
      </c>
      <c r="D90" s="7" t="str">
        <f ca="1"/>
        <v>AELockRelease = 0xD05E,</v>
      </c>
    </row>
    <row r="91" spans="1:4" x14ac:dyDescent="0.25">
      <c r="A91" s="40" t="str">
        <f ca="1"/>
        <v>GetDevicePropDescEx = 0x943A,</v>
      </c>
      <c r="D91" s="7" t="str">
        <f ca="1"/>
        <v>AEAFLockSetting = 0xD05F,</v>
      </c>
    </row>
    <row r="92" spans="1:4" x14ac:dyDescent="0.25">
      <c r="A92" s="40" t="str">
        <f ca="1"/>
        <v>GetDevicePropValueEx = 0x943B,</v>
      </c>
      <c r="D92" s="7" t="str">
        <f ca="1"/>
        <v>IPTCPresetSelect = 0xD060,</v>
      </c>
    </row>
    <row r="93" spans="1:4" x14ac:dyDescent="0.25">
      <c r="A93" s="40" t="str">
        <f ca="1"/>
        <v>SetDevicePropValueEx = 0x943C,</v>
      </c>
      <c r="D93" s="7" t="str">
        <f ca="1"/>
        <v>StillFocusMode = 0xD061,</v>
      </c>
    </row>
    <row r="94" spans="1:4" x14ac:dyDescent="0.25">
      <c r="A94" s="40" t="str">
        <f ca="1"/>
        <v>RegisterDevicePropGroup = 0x943D,</v>
      </c>
      <c r="D94" s="7" t="str">
        <f ca="1"/>
        <v>AutoMeterOffDelay = 0xD062,</v>
      </c>
    </row>
    <row r="95" spans="1:4" x14ac:dyDescent="0.25">
      <c r="A95" s="40" t="str">
        <f ca="1"/>
        <v>GetDevicePropDescList = 0x943E,</v>
      </c>
      <c r="D95" s="7" t="str">
        <f ca="1"/>
        <v>SelfTimerDelay = 0xD063,</v>
      </c>
    </row>
    <row r="96" spans="1:4" x14ac:dyDescent="0.25">
      <c r="A96" s="40" t="str">
        <f ca="1"/>
        <v>GetDevicePropValueList = 0x943F,</v>
      </c>
      <c r="D96" s="7" t="str">
        <f ca="1"/>
        <v>LCDPowerOff = 0xD064,</v>
      </c>
    </row>
    <row r="97" spans="1:4" x14ac:dyDescent="0.25">
      <c r="A97" s="40" t="str">
        <f ca="1"/>
        <v>OperationDataNone = 0x9440,</v>
      </c>
      <c r="D97" s="7" t="str">
        <f ca="1"/>
        <v>AngleLevel = 0xD067,</v>
      </c>
    </row>
    <row r="98" spans="1:4" x14ac:dyDescent="0.25">
      <c r="A98" s="40" t="str">
        <f ca="1"/>
        <v>OperationReceiveData = 0x9441,</v>
      </c>
      <c r="D98" s="7" t="str">
        <f ca="1"/>
        <v>CspeedLow = 0xD068,</v>
      </c>
    </row>
    <row r="99" spans="1:4" x14ac:dyDescent="0.25">
      <c r="A99" s="40" t="str">
        <f ca="1"/>
        <v>OperationSendData = 0x9442,</v>
      </c>
      <c r="D99" s="7" t="str">
        <f ca="1"/>
        <v>BurstMaxNumber = 0xD069,</v>
      </c>
    </row>
    <row r="100" spans="1:4" x14ac:dyDescent="0.25">
      <c r="A100" s="40" t="str">
        <f ca="1"/>
        <v>GetPicCtrlDataList = 0x9443,</v>
      </c>
      <c r="D100" s="7" t="str">
        <f ca="1"/>
        <v>ExposureDelay = 0xD06A,</v>
      </c>
    </row>
    <row r="101" spans="1:4" x14ac:dyDescent="0.25">
      <c r="A101" s="40" t="str">
        <f ca="1"/>
        <v>GetPicCtrlCapabilityList = 0x9444,</v>
      </c>
      <c r="D101" s="7" t="str">
        <f ca="1"/>
        <v>NoiseReduction = 0xD06B,</v>
      </c>
    </row>
    <row r="102" spans="1:4" x14ac:dyDescent="0.25">
      <c r="A102" s="40" t="str">
        <f ca="1"/>
        <v>InitiateOpenCaptureV = 0x9445,</v>
      </c>
      <c r="D102" s="7" t="str">
        <f ca="1"/>
        <v>NumberingMode = 0xD06C,</v>
      </c>
    </row>
    <row r="103" spans="1:4" x14ac:dyDescent="0.25">
      <c r="A103" s="40" t="str">
        <f ca="1"/>
        <v>TerminateOpenCaptureV = 0x9446,</v>
      </c>
      <c r="D103" s="7" t="str">
        <f ca="1"/>
        <v>TFTDisplaySetting = 0xD06D,</v>
      </c>
    </row>
    <row r="104" spans="1:4" x14ac:dyDescent="0.25">
      <c r="A104" s="40" t="str">
        <f ca="1"/>
        <v>GetOpenCaptureInfo = 0x9447,</v>
      </c>
      <c r="D104" s="7" t="str">
        <f ca="1"/>
        <v>FinderDisplaySetting = 0xD06E,</v>
      </c>
    </row>
    <row r="105" spans="1:4" x14ac:dyDescent="0.25">
      <c r="A105" s="40" t="str">
        <f ca="1"/>
        <v>GetCommandFeature = 0x944C,</v>
      </c>
      <c r="D105" s="7" t="str">
        <f ca="1"/>
        <v>LCDIllumination = 0xD06F,</v>
      </c>
    </row>
    <row r="106" spans="1:4" x14ac:dyDescent="0.25">
      <c r="A106" s="40" t="str">
        <f ca="1"/>
        <v>GetPicCtrlHlgDataList = 0x944D,</v>
      </c>
      <c r="D106" s="7" t="str">
        <f ca="1"/>
        <v>NoiseReductionHiIso = 0xD070,</v>
      </c>
    </row>
    <row r="107" spans="1:4" x14ac:dyDescent="0.25">
      <c r="A107" s="40" t="str">
        <f ca="1"/>
        <v>SetPicCtrlHlgData = 0x944E,</v>
      </c>
      <c r="D107" s="7" t="str">
        <f ca="1"/>
        <v>ArtistV = 0xD072,</v>
      </c>
    </row>
    <row r="108" spans="1:4" x14ac:dyDescent="0.25">
      <c r="A108" s="40" t="str">
        <f ca="1"/>
        <v>GetPicCtrlHlgCapabilityList = 0x944F,</v>
      </c>
      <c r="D108" s="7" t="str">
        <f ca="1"/>
        <v>CopyrightV = 0xD073,</v>
      </c>
    </row>
    <row r="109" spans="1:4" x14ac:dyDescent="0.25">
      <c r="A109" s="40" t="str">
        <f ca="1"/>
        <v>SetPortraitImpressionBalanceData = 0x9453,</v>
      </c>
      <c r="D109" s="7" t="str">
        <f ca="1"/>
        <v>FlashSyncSpeed = 0xD074,</v>
      </c>
    </row>
    <row r="110" spans="1:4" x14ac:dyDescent="0.25">
      <c r="A110" s="40" t="str">
        <f ca="1"/>
        <v>GetPortraitImpressionBalanceDataList = 0x9454,</v>
      </c>
      <c r="D110" s="7" t="str">
        <f ca="1"/>
        <v>FlashSlowSpeedLimit = 0xD075,</v>
      </c>
    </row>
    <row r="111" spans="1:4" x14ac:dyDescent="0.25">
      <c r="A111" s="40" t="str">
        <f ca="1"/>
        <v>ChangeAutoCaptureMode = 0x945C,</v>
      </c>
      <c r="D111" s="7" t="str">
        <f ca="1"/>
        <v>ModelingOnPreviewButton = 0xD077,</v>
      </c>
    </row>
    <row r="112" spans="1:4" x14ac:dyDescent="0.25">
      <c r="A112" s="40" t="str">
        <f ca="1"/>
        <v>MeasureAutoCaptureFocus = 0x945D,</v>
      </c>
      <c r="D112" s="7" t="str">
        <f ca="1"/>
        <v>BracketingType = 0xD078,</v>
      </c>
    </row>
    <row r="113" spans="1:4" x14ac:dyDescent="0.25">
      <c r="A113" s="40" t="str">
        <f ca="1"/>
        <v>GetCaptureAreaDrawInfo = 0x945E,</v>
      </c>
      <c r="D113" s="7" t="str">
        <f ca="1"/>
        <v>SelectBracketChangeFactor = 0xD079,</v>
      </c>
    </row>
    <row r="114" spans="1:4" x14ac:dyDescent="0.25">
      <c r="A114" s="40" t="str">
        <f ca="1"/>
        <v>GetCaptureArea = 0x945F,</v>
      </c>
      <c r="D114" s="7" t="str">
        <f ca="1"/>
        <v>BracketingOrder = 0xD07A,</v>
      </c>
    </row>
    <row r="115" spans="1:4" x14ac:dyDescent="0.25">
      <c r="A115" s="40" t="str">
        <f ca="1"/>
        <v>SetCaptureArea = 0x9460,</v>
      </c>
      <c r="D115" s="7" t="str">
        <f ca="1"/>
        <v>AngleLevelPitching = 0xD07D,</v>
      </c>
    </row>
    <row r="116" spans="1:4" x14ac:dyDescent="0.25">
      <c r="A116" s="40" t="str">
        <f ca="1"/>
        <v>ClearEvent = 0x9461,</v>
      </c>
      <c r="D116" s="7" t="str">
        <f ca="1"/>
        <v>AngleLevelYawing = 0xD07E,</v>
      </c>
    </row>
    <row r="117" spans="1:4" x14ac:dyDescent="0.25">
      <c r="A117" s="40" t="str">
        <f ca="1"/>
        <v>SetFlickerReductionShutterSpeed = 0x9463,</v>
      </c>
      <c r="D117" s="7" t="str">
        <f ca="1"/>
        <v>ExtendShootingMenu = 0xD07F,</v>
      </c>
    </row>
    <row r="118" spans="1:4" x14ac:dyDescent="0.25">
      <c r="A118" s="40" t="str">
        <f ca="1"/>
        <v>PowerZoomDrive = 0x9464,</v>
      </c>
      <c r="D118" s="7" t="str">
        <f ca="1"/>
        <v>CenterButtonOnShootingMode = 0xD080,</v>
      </c>
    </row>
    <row r="119" spans="1:4" x14ac:dyDescent="0.25">
      <c r="A119" s="40" t="str">
        <f ca="1"/>
        <v>GetCameraSettingData = 0x946D,</v>
      </c>
      <c r="D119" s="7" t="str">
        <f ca="1"/>
        <v>CenterButtonOnPlaybackMode = 0xD081,</v>
      </c>
    </row>
    <row r="120" spans="1:4" x14ac:dyDescent="0.25">
      <c r="A120" s="40" t="str">
        <f ca="1"/>
        <v>SendCameraSettingData = 0x946E,</v>
      </c>
      <c r="D120" s="7" t="str">
        <f ca="1"/>
        <v>MultiSelectorSetting = 0xD082,</v>
      </c>
    </row>
    <row r="121" spans="1:4" x14ac:dyDescent="0.25">
      <c r="A121" s="40" t="str">
        <f ca="1"/>
        <v>GetManualSettingLensData2 = 0x9470,</v>
      </c>
      <c r="D121" s="7" t="str">
        <f ca="1"/>
        <v>MultiSelectorDirection = 0xD083,</v>
      </c>
    </row>
    <row r="122" spans="1:4" x14ac:dyDescent="0.25">
      <c r="A122" s="40" t="str">
        <f ca="1"/>
        <v>SetAutoCaptureTimingOptions = 0x9471,</v>
      </c>
      <c r="D122" s="7" t="str">
        <f ca="1"/>
        <v>FunctionButton = 0xD084,</v>
      </c>
    </row>
    <row r="123" spans="1:4" x14ac:dyDescent="0.25">
      <c r="A123" s="40" t="str">
        <f ca="1"/>
        <v>SendPartialObjectInfo = 0x9472,</v>
      </c>
      <c r="D123" s="7" t="str">
        <f ca="1"/>
        <v>CommandDialRotation = 0xD085,</v>
      </c>
    </row>
    <row r="124" spans="1:4" x14ac:dyDescent="0.25">
      <c r="A124" s="40" t="str">
        <f ca="1"/>
        <v>SendPartialObject = 0x9473,</v>
      </c>
      <c r="D124" s="7" t="str">
        <f ca="1"/>
        <v>CommandDialChange = 0xD086,</v>
      </c>
    </row>
    <row r="125" spans="1:4" x14ac:dyDescent="0.25">
      <c r="A125" s="40" t="str">
        <f ca="1"/>
        <v>GetObjectPropsSupported = 0x9801,</v>
      </c>
      <c r="D125" s="7" t="str">
        <f ca="1"/>
        <v>CommandDialSetting = 0xD087,</v>
      </c>
    </row>
    <row r="126" spans="1:4" x14ac:dyDescent="0.25">
      <c r="A126" s="40" t="str">
        <f ca="1"/>
        <v>GetObjectPropDesc = 0x9802,</v>
      </c>
      <c r="D126" s="7" t="str">
        <f ca="1"/>
        <v>CommandDialActiveOnPlaybackMenu = 0xD088,</v>
      </c>
    </row>
    <row r="127" spans="1:4" x14ac:dyDescent="0.25">
      <c r="A127" s="40" t="str">
        <f ca="1"/>
        <v>GetObjectPropValue = 0x9803,</v>
      </c>
      <c r="D127" s="7" t="str">
        <f ca="1"/>
        <v>UniversalMode = 0xD089,</v>
      </c>
    </row>
    <row r="128" spans="1:4" x14ac:dyDescent="0.25">
      <c r="A128" s="40" t="str">
        <f ca="1"/>
        <v>SetObjectPropValue = 0x9804,</v>
      </c>
      <c r="D128" s="7" t="str">
        <f ca="1"/>
        <v>EnableShutter = 0xD08A,</v>
      </c>
    </row>
    <row r="129" spans="1:4" x14ac:dyDescent="0.25">
      <c r="A129" s="40" t="str">
        <f ca="1"/>
        <v>GetObjectPropList = 0x9805,</v>
      </c>
      <c r="D129" s="7" t="str">
        <f ca="1"/>
        <v>AfZoomRatio = 0xD08B,</v>
      </c>
    </row>
    <row r="130" spans="1:4" x14ac:dyDescent="0.25">
      <c r="D130" s="7" t="str">
        <f ca="1"/>
        <v>FunctionButton2 = 0xD08C,</v>
      </c>
    </row>
    <row r="131" spans="1:4" x14ac:dyDescent="0.25">
      <c r="D131" s="7" t="str">
        <f ca="1"/>
        <v>EnableAFAreaPoint = 0xD08D,</v>
      </c>
    </row>
    <row r="132" spans="1:4" x14ac:dyDescent="0.25">
      <c r="D132" s="7" t="str">
        <f ca="1"/>
        <v>NomalAF = 0xD08E,</v>
      </c>
    </row>
    <row r="133" spans="1:4" x14ac:dyDescent="0.25">
      <c r="D133" s="7" t="str">
        <f ca="1"/>
        <v>ImageSensorCleaning = 0xD08F,</v>
      </c>
    </row>
    <row r="134" spans="1:4" x14ac:dyDescent="0.25">
      <c r="D134" s="7" t="str">
        <f ca="1"/>
        <v>CommentString = 0xD090,</v>
      </c>
    </row>
    <row r="135" spans="1:4" x14ac:dyDescent="0.25">
      <c r="D135" s="7" t="str">
        <f ca="1"/>
        <v>EnableComment = 0xD091,</v>
      </c>
    </row>
    <row r="136" spans="1:4" x14ac:dyDescent="0.25">
      <c r="D136" s="7" t="str">
        <f ca="1"/>
        <v>OrientationSensorMode = 0xD092,</v>
      </c>
    </row>
    <row r="137" spans="1:4" x14ac:dyDescent="0.25">
      <c r="D137" s="7" t="str">
        <f ca="1"/>
        <v>ManualSettingLensNo = 0xD093,</v>
      </c>
    </row>
    <row r="138" spans="1:4" x14ac:dyDescent="0.25">
      <c r="D138" s="7" t="str">
        <f ca="1"/>
        <v>AfTuneEnable = 0xD094,</v>
      </c>
    </row>
    <row r="139" spans="1:4" x14ac:dyDescent="0.25">
      <c r="D139" s="7" t="str">
        <f ca="1"/>
        <v>AfTuneUnregistryLens = 0xD095,</v>
      </c>
    </row>
    <row r="140" spans="1:4" x14ac:dyDescent="0.25">
      <c r="D140" s="7" t="str">
        <f ca="1"/>
        <v>AfTuneRegistryLens = 0xD096,</v>
      </c>
    </row>
    <row r="141" spans="1:4" x14ac:dyDescent="0.25">
      <c r="D141" s="7" t="str">
        <f ca="1"/>
        <v>AfTuneLensNoIndex = 0xD097,</v>
      </c>
    </row>
    <row r="142" spans="1:4" x14ac:dyDescent="0.25">
      <c r="D142" s="7" t="str">
        <f ca="1"/>
        <v>AfTuneLensNo = 0xD098,</v>
      </c>
    </row>
    <row r="143" spans="1:4" x14ac:dyDescent="0.25">
      <c r="D143" s="7" t="str">
        <f ca="1"/>
        <v>AfTuneLensNoIndexNum = 0xD099,</v>
      </c>
    </row>
    <row r="144" spans="1:4" x14ac:dyDescent="0.25">
      <c r="D144" s="7" t="str">
        <f ca="1"/>
        <v>AfTuneLensNoIndexNow = 0xD09A,</v>
      </c>
    </row>
    <row r="145" spans="4:4" x14ac:dyDescent="0.25">
      <c r="D145" s="7" t="str">
        <f ca="1"/>
        <v>AfTuneLensNoDelete = 0xD09B,</v>
      </c>
    </row>
    <row r="146" spans="4:4" x14ac:dyDescent="0.25">
      <c r="D146" s="7" t="str">
        <f ca="1"/>
        <v>RetractableLensWarning = 0xD09C,</v>
      </c>
    </row>
    <row r="147" spans="4:4" x14ac:dyDescent="0.25">
      <c r="D147" s="7" t="str">
        <f ca="1"/>
        <v>FaceDetection = 0xD09D,</v>
      </c>
    </row>
    <row r="148" spans="4:4" x14ac:dyDescent="0.25">
      <c r="D148" s="7" t="str">
        <f ca="1"/>
        <v>3DTrackingCaptuerArea = 0xD09E,</v>
      </c>
    </row>
    <row r="149" spans="4:4" x14ac:dyDescent="0.25">
      <c r="D149" s="7" t="str">
        <f ca="1"/>
        <v>MatrixMetering = 0xD09F,</v>
      </c>
    </row>
    <row r="150" spans="4:4" x14ac:dyDescent="0.25">
      <c r="D150" s="7" t="str">
        <f ca="1"/>
        <v>MovieRecordScreenSize = 0xD0A0,</v>
      </c>
    </row>
    <row r="151" spans="4:4" x14ac:dyDescent="0.25">
      <c r="D151" s="7" t="str">
        <f ca="1"/>
        <v>MovieRecordMicrophoneLevel = 0xD0A2,</v>
      </c>
    </row>
    <row r="152" spans="4:4" x14ac:dyDescent="0.25">
      <c r="D152" s="7" t="str">
        <f ca="1"/>
        <v>MovieRecordDestination = 0xD0A3,</v>
      </c>
    </row>
    <row r="153" spans="4:4" x14ac:dyDescent="0.25">
      <c r="D153" s="7" t="str">
        <f ca="1"/>
        <v>MovieRecProhibitionCondition = 0xD0A4,</v>
      </c>
    </row>
    <row r="154" spans="4:4" x14ac:dyDescent="0.25">
      <c r="D154" s="7" t="str">
        <f ca="1"/>
        <v>MovieRecordQuality = 0xD0A7,</v>
      </c>
    </row>
    <row r="155" spans="4:4" x14ac:dyDescent="0.25">
      <c r="D155" s="7" t="str">
        <f ca="1"/>
        <v>MovieRecordMicrophoneLevelValue = 0xD0A8,</v>
      </c>
    </row>
    <row r="156" spans="4:4" x14ac:dyDescent="0.25">
      <c r="D156" s="7" t="str">
        <f ca="1"/>
        <v>MovieIsoRange = 0xD0A9,</v>
      </c>
    </row>
    <row r="157" spans="4:4" x14ac:dyDescent="0.25">
      <c r="D157" s="7" t="str">
        <f ca="1"/>
        <v>MovieWindNoiseReduction = 0xD0AA,</v>
      </c>
    </row>
    <row r="158" spans="4:4" x14ac:dyDescent="0.25">
      <c r="D158" s="7" t="str">
        <f ca="1"/>
        <v>MovieRecordingZone = 0xD0AC,</v>
      </c>
    </row>
    <row r="159" spans="4:4" x14ac:dyDescent="0.25">
      <c r="D159" s="7" t="str">
        <f ca="1"/>
        <v>MovieISOAutoControl = 0xD0AD,</v>
      </c>
    </row>
    <row r="160" spans="4:4" x14ac:dyDescent="0.25">
      <c r="D160" s="7" t="str">
        <f ca="1"/>
        <v>MovieISOAutoHighLimit = 0xD0AE,</v>
      </c>
    </row>
    <row r="161" spans="4:4" x14ac:dyDescent="0.25">
      <c r="D161" s="7" t="str">
        <f ca="1"/>
        <v>MovieFileType = 0xD0AF,</v>
      </c>
    </row>
    <row r="162" spans="4:4" x14ac:dyDescent="0.25">
      <c r="D162" s="7" t="str">
        <f ca="1"/>
        <v>CenterButtonOnLiveViewMode = 0xD0B0,</v>
      </c>
    </row>
    <row r="163" spans="4:4" x14ac:dyDescent="0.25">
      <c r="D163" s="7" t="str">
        <f ca="1"/>
        <v>AfZoomRatioInLiveView = 0xD0B1,</v>
      </c>
    </row>
    <row r="164" spans="4:4" x14ac:dyDescent="0.25">
      <c r="D164" s="7" t="str">
        <f ca="1"/>
        <v>ExposureIndexEx = 0xD0B4,</v>
      </c>
    </row>
    <row r="165" spans="4:4" x14ac:dyDescent="0.25">
      <c r="D165" s="7" t="str">
        <f ca="1"/>
        <v>ISOControlSensitivity = 0xD0B5,</v>
      </c>
    </row>
    <row r="166" spans="4:4" x14ac:dyDescent="0.25">
      <c r="D166" s="7" t="str">
        <f ca="1"/>
        <v>RawImageSize = 0xD0B6,</v>
      </c>
    </row>
    <row r="167" spans="4:4" x14ac:dyDescent="0.25">
      <c r="D167" s="7" t="str">
        <f ca="1"/>
        <v>FlickerReductionSetting = 0xD0B7,</v>
      </c>
    </row>
    <row r="168" spans="4:4" x14ac:dyDescent="0.25">
      <c r="D168" s="7" t="str">
        <f ca="1"/>
        <v>DiffractionCompensation = 0xD0BA,</v>
      </c>
    </row>
    <row r="169" spans="4:4" x14ac:dyDescent="0.25">
      <c r="D169" s="7" t="str">
        <f ca="1"/>
        <v>MovieLogOutput = 0xD0BB,</v>
      </c>
    </row>
    <row r="170" spans="4:4" x14ac:dyDescent="0.25">
      <c r="D170" s="7" t="str">
        <f ca="1"/>
        <v>MovieAutoDistortion = 0xD0BC,</v>
      </c>
    </row>
    <row r="171" spans="4:4" x14ac:dyDescent="0.25">
      <c r="D171" s="7" t="str">
        <f ca="1"/>
        <v>RemainingExposureTime = 0xD0BE,</v>
      </c>
    </row>
    <row r="172" spans="4:4" x14ac:dyDescent="0.25">
      <c r="D172" s="7" t="str">
        <f ca="1"/>
        <v>MovieLogSetting = 0xD0BF,</v>
      </c>
    </row>
    <row r="173" spans="4:4" x14ac:dyDescent="0.25">
      <c r="D173" s="7" t="str">
        <f ca="1"/>
        <v>EnableBracketing = 0xD0C0,</v>
      </c>
    </row>
    <row r="174" spans="4:4" x14ac:dyDescent="0.25">
      <c r="D174" s="7" t="str">
        <f ca="1"/>
        <v>AEBracketingStep = 0xD0C1,</v>
      </c>
    </row>
    <row r="175" spans="4:4" x14ac:dyDescent="0.25">
      <c r="D175" s="7" t="str">
        <f ca="1"/>
        <v>AEBracketingPattern = 0xD0C2,</v>
      </c>
    </row>
    <row r="176" spans="4:4" x14ac:dyDescent="0.25">
      <c r="D176" s="7" t="str">
        <f ca="1"/>
        <v>AEBracketingCount = 0xD0C3,</v>
      </c>
    </row>
    <row r="177" spans="4:4" x14ac:dyDescent="0.25">
      <c r="D177" s="7" t="str">
        <f ca="1"/>
        <v>WBBracketingStep = 0xD0C4,</v>
      </c>
    </row>
    <row r="178" spans="4:4" x14ac:dyDescent="0.25">
      <c r="D178" s="7" t="str">
        <f ca="1"/>
        <v>WBBracketingPattern = 0xD0C5,</v>
      </c>
    </row>
    <row r="179" spans="4:4" x14ac:dyDescent="0.25">
      <c r="D179" s="7" t="str">
        <f ca="1"/>
        <v>ADLBracketingPattern = 0xD0C6,</v>
      </c>
    </row>
    <row r="180" spans="4:4" x14ac:dyDescent="0.25">
      <c r="D180" s="7" t="str">
        <f ca="1"/>
        <v>ADLBracketingStep = 0xD0C7,</v>
      </c>
    </row>
    <row r="181" spans="4:4" x14ac:dyDescent="0.25">
      <c r="D181" s="7" t="str">
        <f ca="1"/>
        <v>HDMIOutputDataDepth = 0xD0CC,</v>
      </c>
    </row>
    <row r="182" spans="4:4" x14ac:dyDescent="0.25">
      <c r="D182" s="7" t="str">
        <f ca="1"/>
        <v>SaveFocusPosition = 0xD0CD,</v>
      </c>
    </row>
    <row r="183" spans="4:4" x14ac:dyDescent="0.25">
      <c r="D183" s="7" t="str">
        <f ca="1"/>
        <v>LensID = 0xD0E0,</v>
      </c>
    </row>
    <row r="184" spans="4:4" x14ac:dyDescent="0.25">
      <c r="D184" s="7" t="str">
        <f ca="1"/>
        <v>LensSort = 0xD0E1,</v>
      </c>
    </row>
    <row r="185" spans="4:4" x14ac:dyDescent="0.25">
      <c r="D185" s="7" t="str">
        <f ca="1"/>
        <v>LensTypeF = 0xD0E2,</v>
      </c>
    </row>
    <row r="186" spans="4:4" x14ac:dyDescent="0.25">
      <c r="D186" s="7" t="str">
        <f ca="1"/>
        <v>LensFocalMin = 0xD0E3,</v>
      </c>
    </row>
    <row r="187" spans="4:4" x14ac:dyDescent="0.25">
      <c r="D187" s="7" t="str">
        <f ca="1"/>
        <v>LensFocalMax = 0xD0E4,</v>
      </c>
    </row>
    <row r="188" spans="4:4" x14ac:dyDescent="0.25">
      <c r="D188" s="7" t="str">
        <f ca="1"/>
        <v>LensApatureMin = 0xD0E5,</v>
      </c>
    </row>
    <row r="189" spans="4:4" x14ac:dyDescent="0.25">
      <c r="D189" s="7" t="str">
        <f ca="1"/>
        <v>LensApatureMax = 0xD0E6,</v>
      </c>
    </row>
    <row r="190" spans="4:4" x14ac:dyDescent="0.25">
      <c r="D190" s="7" t="str">
        <f ca="1"/>
        <v>LensTypeML = 0xD0E7,</v>
      </c>
    </row>
    <row r="191" spans="4:4" x14ac:dyDescent="0.25">
      <c r="D191" s="7" t="str">
        <f ca="1"/>
        <v>CustomGroupingsC2 = 0xD0EB,</v>
      </c>
    </row>
    <row r="192" spans="4:4" x14ac:dyDescent="0.25">
      <c r="D192" s="7" t="str">
        <f ca="1"/>
        <v>AutoAreaAfStartingPoint = 0xD0EC,</v>
      </c>
    </row>
    <row r="193" spans="4:4" x14ac:dyDescent="0.25">
      <c r="D193" s="7" t="str">
        <f ca="1"/>
        <v>CustomGroupingsC1 = 0xD0ED,</v>
      </c>
    </row>
    <row r="194" spans="4:4" x14ac:dyDescent="0.25">
      <c r="D194" s="7" t="str">
        <f ca="1"/>
        <v>SinglePointAfWatchArea = 0xD0EE,</v>
      </c>
    </row>
    <row r="195" spans="4:4" x14ac:dyDescent="0.25">
      <c r="D195" s="7" t="str">
        <f ca="1"/>
        <v>GroupAreaFaceDetection = 0xD0EF,</v>
      </c>
    </row>
    <row r="196" spans="4:4" x14ac:dyDescent="0.25">
      <c r="D196" s="7" t="str">
        <f ca="1"/>
        <v>QuietShutterRelease = 0xD0F1,</v>
      </c>
    </row>
    <row r="197" spans="4:4" x14ac:dyDescent="0.25">
      <c r="D197" s="7" t="str">
        <f ca="1"/>
        <v>StillCaptureModeQuick = 0xD0F6,</v>
      </c>
    </row>
    <row r="198" spans="4:4" x14ac:dyDescent="0.25">
      <c r="D198" s="7" t="str">
        <f ca="1"/>
        <v>VignetteControl = 0xD0F7,</v>
      </c>
    </row>
    <row r="199" spans="4:4" x14ac:dyDescent="0.25">
      <c r="D199" s="7" t="str">
        <f ca="1"/>
        <v>AutoDistortion = 0xD0F8,</v>
      </c>
    </row>
    <row r="200" spans="4:4" x14ac:dyDescent="0.25">
      <c r="D200" s="7" t="str">
        <f ca="1"/>
        <v>SceneMode = 0xD0F9,</v>
      </c>
    </row>
    <row r="201" spans="4:4" x14ac:dyDescent="0.25">
      <c r="D201" s="7" t="str">
        <f ca="1"/>
        <v>LiveViewWbColorTemp = 0xD0FA,</v>
      </c>
    </row>
    <row r="202" spans="4:4" x14ac:dyDescent="0.25">
      <c r="D202" s="7" t="str">
        <f ca="1"/>
        <v>LiveViewWbTuneColorTemp = 0xD0FB,</v>
      </c>
    </row>
    <row r="203" spans="4:4" x14ac:dyDescent="0.25">
      <c r="D203" s="7" t="str">
        <f ca="1"/>
        <v>UserMode = 0xD0FC,</v>
      </c>
    </row>
    <row r="204" spans="4:4" x14ac:dyDescent="0.25">
      <c r="D204" s="7" t="str">
        <f ca="1"/>
        <v>ShutterSpeed = 0xD100,</v>
      </c>
    </row>
    <row r="205" spans="4:4" x14ac:dyDescent="0.25">
      <c r="D205" s="7" t="str">
        <f ca="1"/>
        <v>ExternalDC = 0xD101,</v>
      </c>
    </row>
    <row r="206" spans="4:4" x14ac:dyDescent="0.25">
      <c r="D206" s="7" t="str">
        <f ca="1"/>
        <v>WarningStatus = 0xD102,</v>
      </c>
    </row>
    <row r="207" spans="4:4" x14ac:dyDescent="0.25">
      <c r="D207" s="7" t="str">
        <f ca="1"/>
        <v>RemainingExposure = 0xD103,</v>
      </c>
    </row>
    <row r="208" spans="4:4" x14ac:dyDescent="0.25">
      <c r="D208" s="7" t="str">
        <f ca="1"/>
        <v>AFLockStatus = 0xD104,</v>
      </c>
    </row>
    <row r="209" spans="4:4" x14ac:dyDescent="0.25">
      <c r="D209" s="7" t="str">
        <f ca="1"/>
        <v>AELockStatus = 0xD105,</v>
      </c>
    </row>
    <row r="210" spans="4:4" x14ac:dyDescent="0.25">
      <c r="D210" s="7" t="str">
        <f ca="1"/>
        <v>FVLockStatus = 0xD106,</v>
      </c>
    </row>
    <row r="211" spans="4:4" x14ac:dyDescent="0.25">
      <c r="D211" s="7" t="str">
        <f ca="1"/>
        <v>FocusArea = 0xD108,</v>
      </c>
    </row>
    <row r="212" spans="4:4" x14ac:dyDescent="0.25">
      <c r="D212" s="7" t="str">
        <f ca="1"/>
        <v>FlexibleProgram = 0xD109,</v>
      </c>
    </row>
    <row r="213" spans="4:4" x14ac:dyDescent="0.25">
      <c r="D213" s="7" t="str">
        <f ca="1"/>
        <v>ExposureStatus = 0xD10A,</v>
      </c>
    </row>
    <row r="214" spans="4:4" x14ac:dyDescent="0.25">
      <c r="D214" s="7" t="str">
        <f ca="1"/>
        <v>RecordingMedia = 0xD10B,</v>
      </c>
    </row>
    <row r="215" spans="4:4" x14ac:dyDescent="0.25">
      <c r="D215" s="7" t="str">
        <f ca="1"/>
        <v>USBSpeed = 0xD10C,</v>
      </c>
    </row>
    <row r="216" spans="4:4" x14ac:dyDescent="0.25">
      <c r="D216" s="7" t="str">
        <f ca="1"/>
        <v>CCDNumber = 0xD10D,</v>
      </c>
    </row>
    <row r="217" spans="4:4" x14ac:dyDescent="0.25">
      <c r="D217" s="7" t="str">
        <f ca="1"/>
        <v>Orientation = 0xD10E,</v>
      </c>
    </row>
    <row r="218" spans="4:4" x14ac:dyDescent="0.25">
      <c r="D218" s="7" t="str">
        <f ca="1"/>
        <v>FnumberLock = 0xD110,</v>
      </c>
    </row>
    <row r="219" spans="4:4" x14ac:dyDescent="0.25">
      <c r="D219" s="7" t="str">
        <f ca="1"/>
        <v>ShutterSpeedLock = 0xD111,</v>
      </c>
    </row>
    <row r="220" spans="4:4" x14ac:dyDescent="0.25">
      <c r="D220" s="7" t="str">
        <f ca="1"/>
        <v>TVLockSetting = 0xD112,</v>
      </c>
    </row>
    <row r="221" spans="4:4" x14ac:dyDescent="0.25">
      <c r="D221" s="7" t="str">
        <f ca="1"/>
        <v>AVLockSetting = 0xD113,</v>
      </c>
    </row>
    <row r="222" spans="4:4" x14ac:dyDescent="0.25">
      <c r="D222" s="7" t="str">
        <f ca="1"/>
        <v>FocusPointBrightness = 0xD115,</v>
      </c>
    </row>
    <row r="223" spans="4:4" x14ac:dyDescent="0.25">
      <c r="D223" s="7" t="str">
        <f ca="1"/>
        <v>ExposureCompFlashUsed = 0xD118,</v>
      </c>
    </row>
    <row r="224" spans="4:4" x14ac:dyDescent="0.25">
      <c r="D224" s="7" t="str">
        <f ca="1"/>
        <v>Slot2JpegImageSize = 0xD119,</v>
      </c>
    </row>
    <row r="225" spans="4:4" x14ac:dyDescent="0.25">
      <c r="D225" s="7" t="str">
        <f ca="1"/>
        <v>ExternalSpeedLightExist = 0xD120,</v>
      </c>
    </row>
    <row r="226" spans="4:4" x14ac:dyDescent="0.25">
      <c r="D226" s="7" t="str">
        <f ca="1"/>
        <v>ExternalSpeedLightStatus = 0xD121,</v>
      </c>
    </row>
    <row r="227" spans="4:4" x14ac:dyDescent="0.25">
      <c r="D227" s="7" t="str">
        <f ca="1"/>
        <v>ExternalSpeedLightSort = 0xD122,</v>
      </c>
    </row>
    <row r="228" spans="4:4" x14ac:dyDescent="0.25">
      <c r="D228" s="7" t="str">
        <f ca="1"/>
        <v>FlashCompensation = 0xD124,</v>
      </c>
    </row>
    <row r="229" spans="4:4" x14ac:dyDescent="0.25">
      <c r="D229" s="7" t="str">
        <f ca="1"/>
        <v>NewExternalSpeedLightMode = 0xD125,</v>
      </c>
    </row>
    <row r="230" spans="4:4" x14ac:dyDescent="0.25">
      <c r="D230" s="7" t="str">
        <f ca="1"/>
        <v>InternalFlashCompensation = 0xD126,</v>
      </c>
    </row>
    <row r="231" spans="4:4" x14ac:dyDescent="0.25">
      <c r="D231" s="7" t="str">
        <f ca="1"/>
        <v>ExternalSpeedLightMultiFlashMode = 0xD12D,</v>
      </c>
    </row>
    <row r="232" spans="4:4" x14ac:dyDescent="0.25">
      <c r="D232" s="7" t="str">
        <f ca="1"/>
        <v>ConnectionPath = 0xD12E,</v>
      </c>
    </row>
    <row r="233" spans="4:4" x14ac:dyDescent="0.25">
      <c r="D233" s="7" t="str">
        <f ca="1"/>
        <v>AWBLockStatus = 0xD12F,</v>
      </c>
    </row>
    <row r="234" spans="4:4" x14ac:dyDescent="0.25">
      <c r="D234" s="7" t="str">
        <f ca="1"/>
        <v>HDRMode = 0xD130,</v>
      </c>
    </row>
    <row r="235" spans="4:4" x14ac:dyDescent="0.25">
      <c r="D235" s="7" t="str">
        <f ca="1"/>
        <v>HDREv = 0xD131,</v>
      </c>
    </row>
    <row r="236" spans="4:4" x14ac:dyDescent="0.25">
      <c r="D236" s="7" t="str">
        <f ca="1"/>
        <v>HDRStrength = 0xD132,</v>
      </c>
    </row>
    <row r="237" spans="4:4" x14ac:dyDescent="0.25">
      <c r="D237" s="7" t="str">
        <f ca="1"/>
        <v>HDRSaveIndividualImages = 0xD133,</v>
      </c>
    </row>
    <row r="238" spans="4:4" x14ac:dyDescent="0.25">
      <c r="D238" s="7" t="str">
        <f ca="1"/>
        <v>VibrationReduction = 0xD138,</v>
      </c>
    </row>
    <row r="239" spans="4:4" x14ac:dyDescent="0.25">
      <c r="D239" s="7" t="str">
        <f ca="1"/>
        <v>WbAutoType = 0xD141,</v>
      </c>
    </row>
    <row r="240" spans="4:4" x14ac:dyDescent="0.25">
      <c r="D240" s="7" t="str">
        <f ca="1"/>
        <v>Slot2ImageSaveMode = 0xD148,</v>
      </c>
    </row>
    <row r="241" spans="4:4" x14ac:dyDescent="0.25">
      <c r="D241" s="7" t="str">
        <f ca="1"/>
        <v>RawCompressionBitMode = 0xD149,</v>
      </c>
    </row>
    <row r="242" spans="4:4" x14ac:dyDescent="0.25">
      <c r="D242" s="7" t="str">
        <f ca="1"/>
        <v>Active = 0xD14E,</v>
      </c>
    </row>
    <row r="243" spans="4:4" x14ac:dyDescent="0.25">
      <c r="D243" s="7" t="str">
        <f ca="1"/>
        <v>WbFluorescentType = 0xD14F,</v>
      </c>
    </row>
    <row r="244" spans="4:4" x14ac:dyDescent="0.25">
      <c r="D244" s="7" t="str">
        <f ca="1"/>
        <v>WbTuneColorTemp = 0xD150,</v>
      </c>
    </row>
    <row r="245" spans="4:4" x14ac:dyDescent="0.25">
      <c r="D245" s="7" t="str">
        <f ca="1"/>
        <v>WbTunePreset0 = 0xD151,</v>
      </c>
    </row>
    <row r="246" spans="4:4" x14ac:dyDescent="0.25">
      <c r="D246" s="7" t="str">
        <f ca="1"/>
        <v>WbTunePreset1 = 0xD152,</v>
      </c>
    </row>
    <row r="247" spans="4:4" x14ac:dyDescent="0.25">
      <c r="D247" s="7" t="str">
        <f ca="1"/>
        <v>WbTunePreset2 = 0xD153,</v>
      </c>
    </row>
    <row r="248" spans="4:4" x14ac:dyDescent="0.25">
      <c r="D248" s="7" t="str">
        <f ca="1"/>
        <v>WbTunePreset3 = 0xD154,</v>
      </c>
    </row>
    <row r="249" spans="4:4" x14ac:dyDescent="0.25">
      <c r="D249" s="7" t="str">
        <f ca="1"/>
        <v>WbTunePreset4 = 0xD155,</v>
      </c>
    </row>
    <row r="250" spans="4:4" x14ac:dyDescent="0.25">
      <c r="D250" s="7" t="str">
        <f ca="1"/>
        <v>PrimarySlot = 0xD156,</v>
      </c>
    </row>
    <row r="251" spans="4:4" x14ac:dyDescent="0.25">
      <c r="D251" s="7" t="str">
        <f ca="1"/>
        <v>WbPresetProtect1 = 0xD158,</v>
      </c>
    </row>
    <row r="252" spans="4:4" x14ac:dyDescent="0.25">
      <c r="D252" s="7" t="str">
        <f ca="1"/>
        <v>WbPresetProtect2 = 0xD159,</v>
      </c>
    </row>
    <row r="253" spans="4:4" x14ac:dyDescent="0.25">
      <c r="D253" s="7" t="str">
        <f ca="1"/>
        <v>WbPresetProtect3 = 0xD15A,</v>
      </c>
    </row>
    <row r="254" spans="4:4" x14ac:dyDescent="0.25">
      <c r="D254" s="7" t="str">
        <f ca="1"/>
        <v>ActiveFolder = 0xD15B,</v>
      </c>
    </row>
    <row r="255" spans="4:4" x14ac:dyDescent="0.25">
      <c r="D255" s="7" t="str">
        <f ca="1"/>
        <v>WbPresetProtect4 = 0xD15C,</v>
      </c>
    </row>
    <row r="256" spans="4:4" x14ac:dyDescent="0.25">
      <c r="D256" s="7" t="str">
        <f ca="1"/>
        <v>WhiteBalanceReset = 0xD15D,</v>
      </c>
    </row>
    <row r="257" spans="4:4" x14ac:dyDescent="0.25">
      <c r="D257" s="7" t="str">
        <f ca="1"/>
        <v>WbTuneNatural = 0xD15E,</v>
      </c>
    </row>
    <row r="258" spans="4:4" x14ac:dyDescent="0.25">
      <c r="D258" s="7" t="str">
        <f ca="1"/>
        <v>Beep = 0xD160,</v>
      </c>
    </row>
    <row r="259" spans="4:4" x14ac:dyDescent="0.25">
      <c r="D259" s="7" t="str">
        <f ca="1"/>
        <v>FinderFocusMode = 0xD161,</v>
      </c>
    </row>
    <row r="260" spans="4:4" x14ac:dyDescent="0.25">
      <c r="D260" s="7" t="str">
        <f ca="1"/>
        <v>ISOAutoShutterTime = 0xD164,</v>
      </c>
    </row>
    <row r="261" spans="4:4" x14ac:dyDescent="0.25">
      <c r="D261" s="7" t="str">
        <f ca="1"/>
        <v>InternalFlashMode = 0xD167,</v>
      </c>
    </row>
    <row r="262" spans="4:4" x14ac:dyDescent="0.25">
      <c r="D262" s="7" t="str">
        <f ca="1"/>
        <v>ISOAutoSetting = 0xD16A,</v>
      </c>
    </row>
    <row r="263" spans="4:4" x14ac:dyDescent="0.25">
      <c r="D263" s="7" t="str">
        <f ca="1"/>
        <v>ExtendedShutterSpeedsManual = 0xD16E,</v>
      </c>
    </row>
    <row r="264" spans="4:4" x14ac:dyDescent="0.25">
      <c r="D264" s="7" t="str">
        <f ca="1"/>
        <v>LimitedAFAreaMode = 0xD176,</v>
      </c>
    </row>
    <row r="265" spans="4:4" x14ac:dyDescent="0.25">
      <c r="D265" s="7" t="str">
        <f ca="1"/>
        <v>FocusModeRestrictions = 0xD177,</v>
      </c>
    </row>
    <row r="266" spans="4:4" x14ac:dyDescent="0.25">
      <c r="D266" s="7" t="str">
        <f ca="1"/>
        <v>LimitStillCaptureMode = 0xD178,</v>
      </c>
    </row>
    <row r="267" spans="4:4" x14ac:dyDescent="0.25">
      <c r="D267" s="7" t="str">
        <f ca="1"/>
        <v>FocusPointPersistence = 0xD179,</v>
      </c>
    </row>
    <row r="268" spans="4:4" x14ac:dyDescent="0.25">
      <c r="D268" s="7" t="str">
        <f ca="1"/>
        <v>LowLightAF = 0xD17A,</v>
      </c>
    </row>
    <row r="269" spans="4:4" x14ac:dyDescent="0.25">
      <c r="D269" s="7" t="str">
        <f ca="1"/>
        <v>ViewMode = 0xD17B,</v>
      </c>
    </row>
    <row r="270" spans="4:4" x14ac:dyDescent="0.25">
      <c r="D270" s="7" t="str">
        <f ca="1"/>
        <v>MovieAfSpeed = 0xD17C,</v>
      </c>
    </row>
    <row r="271" spans="4:4" x14ac:dyDescent="0.25">
      <c r="D271" s="7" t="str">
        <f ca="1"/>
        <v>MovieAfSpeedWhenToApply = 0xD17D,</v>
      </c>
    </row>
    <row r="272" spans="4:4" x14ac:dyDescent="0.25">
      <c r="D272" s="7" t="str">
        <f ca="1"/>
        <v>MovieAfTrackingSensitivity = 0xD17E,</v>
      </c>
    </row>
    <row r="273" spans="4:4" x14ac:dyDescent="0.25">
      <c r="D273" s="7" t="str">
        <f ca="1"/>
        <v>RearControlPanel = 0xD17F,</v>
      </c>
    </row>
    <row r="274" spans="4:4" x14ac:dyDescent="0.25">
      <c r="D274" s="7" t="str">
        <f ca="1"/>
        <v>FlushBurstPrioritize = 0xD180,</v>
      </c>
    </row>
    <row r="275" spans="4:4" x14ac:dyDescent="0.25">
      <c r="D275" s="7" t="str">
        <f ca="1"/>
        <v>ISOAutoHighLimit = 0xD183,</v>
      </c>
    </row>
    <row r="276" spans="4:4" x14ac:dyDescent="0.25">
      <c r="D276" s="7" t="str">
        <f ca="1"/>
        <v>DynamicAFArea = 0xD184,</v>
      </c>
    </row>
    <row r="277" spans="4:4" x14ac:dyDescent="0.25">
      <c r="D277" s="7" t="str">
        <f ca="1"/>
        <v>CSpeedHigh = 0xD186,</v>
      </c>
    </row>
    <row r="278" spans="4:4" x14ac:dyDescent="0.25">
      <c r="D278" s="7" t="str">
        <f ca="1"/>
        <v>InformationScreenDisplaySetting = 0xD187,</v>
      </c>
    </row>
    <row r="279" spans="4:4" x14ac:dyDescent="0.25">
      <c r="D279" s="7" t="str">
        <f ca="1"/>
        <v>PreviewButton = 0xD189,</v>
      </c>
    </row>
    <row r="280" spans="4:4" x14ac:dyDescent="0.25">
      <c r="D280" s="7" t="str">
        <f ca="1"/>
        <v>PreviewButton2 = 0xD18A,</v>
      </c>
    </row>
    <row r="281" spans="4:4" x14ac:dyDescent="0.25">
      <c r="D281" s="7" t="str">
        <f ca="1"/>
        <v>AEAFLockSetting2 = 0xD18B,</v>
      </c>
    </row>
    <row r="282" spans="4:4" x14ac:dyDescent="0.25">
      <c r="D282" s="7" t="str">
        <f ca="1"/>
        <v>IndicatorDisplay = 0xD18D,</v>
      </c>
    </row>
    <row r="283" spans="4:4" x14ac:dyDescent="0.25">
      <c r="D283" s="7" t="str">
        <f ca="1"/>
        <v>BracketingBurstOptions = 0xD190,</v>
      </c>
    </row>
    <row r="284" spans="4:4" x14ac:dyDescent="0.25">
      <c r="D284" s="7" t="str">
        <f ca="1"/>
        <v>MovieReleaseButton = 0xD197,</v>
      </c>
    </row>
    <row r="285" spans="4:4" x14ac:dyDescent="0.25">
      <c r="D285" s="7" t="str">
        <f ca="1"/>
        <v>FlashISOAutoHighLimit = 0xD199,</v>
      </c>
    </row>
    <row r="286" spans="4:4" x14ac:dyDescent="0.25">
      <c r="D286" s="7" t="str">
        <f ca="1"/>
        <v>LiveViewMode = 0xD1A0,</v>
      </c>
    </row>
    <row r="287" spans="4:4" x14ac:dyDescent="0.25">
      <c r="D287" s="7" t="str">
        <f ca="1"/>
        <v>LiveViewStillCaptureMode = 0xD1A1,</v>
      </c>
    </row>
    <row r="288" spans="4:4" x14ac:dyDescent="0.25">
      <c r="D288" s="7" t="str">
        <f ca="1"/>
        <v>RemoteLiveViewStatus = 0xD1A2,</v>
      </c>
    </row>
    <row r="289" spans="4:4" x14ac:dyDescent="0.25">
      <c r="D289" s="7" t="str">
        <f ca="1"/>
        <v>LiveViewImageZoomRatio = 0xD1A3,</v>
      </c>
    </row>
    <row r="290" spans="4:4" x14ac:dyDescent="0.25">
      <c r="D290" s="7" t="str">
        <f ca="1"/>
        <v>LiveViewProhibitionCondition = 0xD1A4,</v>
      </c>
    </row>
    <row r="291" spans="4:4" x14ac:dyDescent="0.25">
      <c r="D291" s="7" t="str">
        <f ca="1"/>
        <v>LiveViewExposurePreview = 0xD1A5,</v>
      </c>
    </row>
    <row r="292" spans="4:4" x14ac:dyDescent="0.25">
      <c r="D292" s="7" t="str">
        <f ca="1"/>
        <v>LiveViewSelector = 0xD1A6,</v>
      </c>
    </row>
    <row r="293" spans="4:4" x14ac:dyDescent="0.25">
      <c r="D293" s="7" t="str">
        <f ca="1"/>
        <v>LiveViewWhiteBalance = 0xD1A7,</v>
      </c>
    </row>
    <row r="294" spans="4:4" x14ac:dyDescent="0.25">
      <c r="D294" s="7" t="str">
        <f ca="1"/>
        <v>MovieShutterSpeed = 0xD1A8,</v>
      </c>
    </row>
    <row r="295" spans="4:4" x14ac:dyDescent="0.25">
      <c r="D295" s="7" t="str">
        <f ca="1"/>
        <v>MovieFnumber = 0xD1A9,</v>
      </c>
    </row>
    <row r="296" spans="4:4" x14ac:dyDescent="0.25">
      <c r="D296" s="7" t="str">
        <f ca="1"/>
        <v>MovieExposureIndex = 0xD1AA,</v>
      </c>
    </row>
    <row r="297" spans="4:4" x14ac:dyDescent="0.25">
      <c r="D297" s="7" t="str">
        <f ca="1"/>
        <v>MovieExposureBiasCompensation = 0xD1AB,</v>
      </c>
    </row>
    <row r="298" spans="4:4" x14ac:dyDescent="0.25">
      <c r="D298" s="7" t="str">
        <f ca="1"/>
        <v>LiveViewImageSize = 0xD1AC,</v>
      </c>
    </row>
    <row r="299" spans="4:4" x14ac:dyDescent="0.25">
      <c r="D299" s="7" t="str">
        <f ca="1"/>
        <v>SilentPhotography = 0xD1AD,</v>
      </c>
    </row>
    <row r="300" spans="4:4" x14ac:dyDescent="0.25">
      <c r="D300" s="7" t="str">
        <f ca="1"/>
        <v>MovieExposureMeteringMode = 0xD1AF,</v>
      </c>
    </row>
    <row r="301" spans="4:4" x14ac:dyDescent="0.25">
      <c r="D301" s="7" t="str">
        <f ca="1"/>
        <v>ExposureDisplayStatus = 0xD1B0,</v>
      </c>
    </row>
    <row r="302" spans="4:4" x14ac:dyDescent="0.25">
      <c r="D302" s="7" t="str">
        <f ca="1"/>
        <v>ExposureIndicateStatus = 0xD1B1,</v>
      </c>
    </row>
    <row r="303" spans="4:4" x14ac:dyDescent="0.25">
      <c r="D303" s="7" t="str">
        <f ca="1"/>
        <v>InfoDisplayErrorStatus = 0xD1B2,</v>
      </c>
    </row>
    <row r="304" spans="4:4" x14ac:dyDescent="0.25">
      <c r="D304" s="7" t="str">
        <f ca="1"/>
        <v>ExposureIndicateLightup = 0xD1B3,</v>
      </c>
    </row>
    <row r="305" spans="4:4" x14ac:dyDescent="0.25">
      <c r="D305" s="7" t="str">
        <f ca="1"/>
        <v>ContinuousShootingCount = 0xD1B4,</v>
      </c>
    </row>
    <row r="306" spans="4:4" x14ac:dyDescent="0.25">
      <c r="D306" s="7" t="str">
        <f ca="1"/>
        <v>MovieRecFrameCount = 0xD1B7,</v>
      </c>
    </row>
    <row r="307" spans="4:4" x14ac:dyDescent="0.25">
      <c r="D307" s="7" t="str">
        <f ca="1"/>
        <v>CameraLiveViewStatus = 0xD1B8,</v>
      </c>
    </row>
    <row r="308" spans="4:4" x14ac:dyDescent="0.25">
      <c r="D308" s="7" t="str">
        <f ca="1"/>
        <v>DetectionPeaking = 0xD1B9,</v>
      </c>
    </row>
    <row r="309" spans="4:4" x14ac:dyDescent="0.25">
      <c r="D309" s="7" t="str">
        <f ca="1"/>
        <v>MonitorOffStatus = 0xD1BA,</v>
      </c>
    </row>
    <row r="310" spans="4:4" x14ac:dyDescent="0.25">
      <c r="D310" s="7" t="str">
        <f ca="1"/>
        <v>LiveViewImageStatus = 0xD1BB,</v>
      </c>
    </row>
    <row r="311" spans="4:4" x14ac:dyDescent="0.25">
      <c r="D311" s="7" t="str">
        <f ca="1"/>
        <v>LiveViewImageCompression = 0xD1BC,</v>
      </c>
    </row>
    <row r="312" spans="4:4" x14ac:dyDescent="0.25">
      <c r="D312" s="7" t="str">
        <f ca="1"/>
        <v>LiveViewZoomArea = 0xD1BD,</v>
      </c>
    </row>
    <row r="313" spans="4:4" x14ac:dyDescent="0.25">
      <c r="D313" s="7" t="str">
        <f ca="1"/>
        <v>InternalFlashPopup = 0xD1C0,</v>
      </c>
    </row>
    <row r="314" spans="4:4" x14ac:dyDescent="0.25">
      <c r="D314" s="7" t="str">
        <f ca="1"/>
        <v>InternalFlashStatus = 0xD1C1,</v>
      </c>
    </row>
    <row r="315" spans="4:4" x14ac:dyDescent="0.25">
      <c r="D315" s="7" t="str">
        <f ca="1"/>
        <v>3D = 0xD1C4,</v>
      </c>
    </row>
    <row r="316" spans="4:4" x14ac:dyDescent="0.25">
      <c r="D316" s="7" t="str">
        <f ca="1"/>
        <v>AutoFlashIsoSensitivityControl = 0xD1C5,</v>
      </c>
    </row>
    <row r="317" spans="4:4" x14ac:dyDescent="0.25">
      <c r="D317" s="7" t="str">
        <f ca="1"/>
        <v>KeepExposureWhenFNumberChanges = 0xD1C6,</v>
      </c>
    </row>
    <row r="318" spans="4:4" x14ac:dyDescent="0.25">
      <c r="D318" s="7" t="str">
        <f ca="1"/>
        <v>ExternalRecordingControl = 0xD1DE,</v>
      </c>
    </row>
    <row r="319" spans="4:4" x14ac:dyDescent="0.25">
      <c r="D319" s="7" t="str">
        <f ca="1"/>
        <v>HighlightBrightness = 0xD1DF,</v>
      </c>
    </row>
    <row r="320" spans="4:4" x14ac:dyDescent="0.25">
      <c r="D320" s="7" t="str">
        <f ca="1"/>
        <v>SBWirelessMode = 0xD1E2,</v>
      </c>
    </row>
    <row r="321" spans="4:4" x14ac:dyDescent="0.25">
      <c r="D321" s="7" t="str">
        <f ca="1"/>
        <v>SBWirelessMultipleFlashMode = 0xD1E3,</v>
      </c>
    </row>
    <row r="322" spans="4:4" x14ac:dyDescent="0.25">
      <c r="D322" s="7" t="str">
        <f ca="1"/>
        <v>SBUsableGroup = 0xD1E4,</v>
      </c>
    </row>
    <row r="323" spans="4:4" x14ac:dyDescent="0.25">
      <c r="D323" s="7" t="str">
        <f ca="1"/>
        <v>WirelessCLSEntryMode = 0xD1E5,</v>
      </c>
    </row>
    <row r="324" spans="4:4" x14ac:dyDescent="0.25">
      <c r="D324" s="7" t="str">
        <f ca="1"/>
        <v>SBPINCode = 0xD1E6,</v>
      </c>
    </row>
    <row r="325" spans="4:4" x14ac:dyDescent="0.25">
      <c r="D325" s="7" t="str">
        <f ca="1"/>
        <v>RadioMultipleFlashChannel = 0xD1E7,</v>
      </c>
    </row>
    <row r="326" spans="4:4" x14ac:dyDescent="0.25">
      <c r="D326" s="7" t="str">
        <f ca="1"/>
        <v>OpticalMultipleFlashChannel = 0xD1E8,</v>
      </c>
    </row>
    <row r="327" spans="4:4" x14ac:dyDescent="0.25">
      <c r="D327" s="7" t="str">
        <f ca="1"/>
        <v>FlashRangeDisplay = 0xD1E9,</v>
      </c>
    </row>
    <row r="328" spans="4:4" x14ac:dyDescent="0.25">
      <c r="D328" s="7" t="str">
        <f ca="1"/>
        <v>AllTestFiringDisable = 0xD1EA,</v>
      </c>
    </row>
    <row r="329" spans="4:4" x14ac:dyDescent="0.25">
      <c r="D329" s="7" t="str">
        <f ca="1"/>
        <v>SBSettingMemberLock = 0xD1EC,</v>
      </c>
    </row>
    <row r="330" spans="4:4" x14ac:dyDescent="0.25">
      <c r="D330" s="7" t="str">
        <f ca="1"/>
        <v>SBIntegrationFlashReady = 0xD1ED,</v>
      </c>
    </row>
    <row r="331" spans="4:4" x14ac:dyDescent="0.25">
      <c r="D331" s="7" t="str">
        <f ca="1"/>
        <v>ApplicationMode = 0xD1F0,</v>
      </c>
    </row>
    <row r="332" spans="4:4" x14ac:dyDescent="0.25">
      <c r="D332" s="7" t="str">
        <f ca="1"/>
        <v>ExposureRemaining = 0xD1F1,</v>
      </c>
    </row>
    <row r="333" spans="4:4" x14ac:dyDescent="0.25">
      <c r="D333" s="7" t="str">
        <f ca="1"/>
        <v>ActiveSlot = 0xD1F2,</v>
      </c>
    </row>
    <row r="334" spans="4:4" x14ac:dyDescent="0.25">
      <c r="D334" s="7" t="str">
        <f ca="1"/>
        <v>ISOAutoShutterTimeCorrectionValue = 0xD1F4,</v>
      </c>
    </row>
    <row r="335" spans="4:4" x14ac:dyDescent="0.25">
      <c r="D335" s="7" t="str">
        <f ca="1"/>
        <v>MirrorUpStatus = 0xD1F6,</v>
      </c>
    </row>
    <row r="336" spans="4:4" x14ac:dyDescent="0.25">
      <c r="D336" s="7" t="str">
        <f ca="1"/>
        <v>MirrorUpReleaseShootingCount = 0xD1F7,</v>
      </c>
    </row>
    <row r="337" spans="4:4" x14ac:dyDescent="0.25">
      <c r="D337" s="7" t="str">
        <f ca="1"/>
        <v>MovieFocusMeteringMode = 0xD1F8,</v>
      </c>
    </row>
    <row r="338" spans="4:4" x14ac:dyDescent="0.25">
      <c r="D338" s="7" t="str">
        <f ca="1"/>
        <v>MovieVibrationReduction = 0xD1F9,</v>
      </c>
    </row>
    <row r="339" spans="4:4" x14ac:dyDescent="0.25">
      <c r="D339" s="7" t="str">
        <f ca="1"/>
        <v>MovieFocusMode = 0xD1FA,</v>
      </c>
    </row>
    <row r="340" spans="4:4" x14ac:dyDescent="0.25">
      <c r="D340" s="7" t="str">
        <f ca="1"/>
        <v>RecordTimeCodes = 0xD1FB,</v>
      </c>
    </row>
    <row r="341" spans="4:4" x14ac:dyDescent="0.25">
      <c r="D341" s="7" t="str">
        <f ca="1"/>
        <v>CountUpMethod = 0xD1FC,</v>
      </c>
    </row>
    <row r="342" spans="4:4" x14ac:dyDescent="0.25">
      <c r="D342" s="7" t="str">
        <f ca="1"/>
        <v>TimeCodeOrigin = 0xD1FD,</v>
      </c>
    </row>
    <row r="343" spans="4:4" x14ac:dyDescent="0.25">
      <c r="D343" s="7" t="str">
        <f ca="1"/>
        <v>DropFrame = 0xD1FE,</v>
      </c>
    </row>
    <row r="344" spans="4:4" x14ac:dyDescent="0.25">
      <c r="D344" s="7" t="str">
        <f ca="1"/>
        <v>StillCaptureModeSaveFrame = 0xD1FF,</v>
      </c>
    </row>
    <row r="345" spans="4:4" x14ac:dyDescent="0.25">
      <c r="D345" s="7" t="str">
        <f ca="1"/>
        <v>ActivePicCtrlItem = 0xD200,</v>
      </c>
    </row>
    <row r="346" spans="4:4" x14ac:dyDescent="0.25">
      <c r="D346" s="7" t="str">
        <f ca="1"/>
        <v>ChangePicCtrlItem = 0xD201,</v>
      </c>
    </row>
    <row r="347" spans="4:4" x14ac:dyDescent="0.25">
      <c r="D347" s="7" t="str">
        <f ca="1"/>
        <v>ElectronicFrontCurtainShutter = 0xD20D,</v>
      </c>
    </row>
    <row r="348" spans="4:4" x14ac:dyDescent="0.25">
      <c r="D348" s="7" t="str">
        <f ca="1"/>
        <v>MovieResetShootingMenu = 0xD20E,</v>
      </c>
    </row>
    <row r="349" spans="4:4" x14ac:dyDescent="0.25">
      <c r="D349" s="7" t="str">
        <f ca="1"/>
        <v>MovieCaptureAreaCrop = 0xD20F,</v>
      </c>
    </row>
    <row r="350" spans="4:4" x14ac:dyDescent="0.25">
      <c r="D350" s="7" t="str">
        <f ca="1"/>
        <v>MovieAutoDxCrop = 0xD210,</v>
      </c>
    </row>
    <row r="351" spans="4:4" x14ac:dyDescent="0.25">
      <c r="D351" s="7" t="str">
        <f ca="1"/>
        <v>MovieWbAutoType = 0xD211,</v>
      </c>
    </row>
    <row r="352" spans="4:4" x14ac:dyDescent="0.25">
      <c r="D352" s="7" t="str">
        <f ca="1"/>
        <v>MovieWbTuneAuto = 0xD212,</v>
      </c>
    </row>
    <row r="353" spans="4:4" x14ac:dyDescent="0.25">
      <c r="D353" s="7" t="str">
        <f ca="1"/>
        <v>MovieWbTuneIncandescent = 0xD213,</v>
      </c>
    </row>
    <row r="354" spans="4:4" x14ac:dyDescent="0.25">
      <c r="D354" s="7" t="str">
        <f ca="1"/>
        <v>MovieWbFluorescentType = 0xD214,</v>
      </c>
    </row>
    <row r="355" spans="4:4" x14ac:dyDescent="0.25">
      <c r="D355" s="7" t="str">
        <f ca="1"/>
        <v>MovieWbTuneFluorescent = 0xD215,</v>
      </c>
    </row>
    <row r="356" spans="4:4" x14ac:dyDescent="0.25">
      <c r="D356" s="7" t="str">
        <f ca="1"/>
        <v>MovieWbTuneSunny = 0xD216,</v>
      </c>
    </row>
    <row r="357" spans="4:4" x14ac:dyDescent="0.25">
      <c r="D357" s="7" t="str">
        <f ca="1"/>
        <v>MovieWbTuneCloudy = 0xD218,</v>
      </c>
    </row>
    <row r="358" spans="4:4" x14ac:dyDescent="0.25">
      <c r="D358" s="7" t="str">
        <f ca="1"/>
        <v>MovieWbTuneShade = 0xD219,</v>
      </c>
    </row>
    <row r="359" spans="4:4" x14ac:dyDescent="0.25">
      <c r="D359" s="7" t="str">
        <f ca="1"/>
        <v>MovieWbColorTemp = 0xD21A,</v>
      </c>
    </row>
    <row r="360" spans="4:4" x14ac:dyDescent="0.25">
      <c r="D360" s="7" t="str">
        <f ca="1"/>
        <v>MovieWbTuneColorTemp = 0xD21B,</v>
      </c>
    </row>
    <row r="361" spans="4:4" x14ac:dyDescent="0.25">
      <c r="D361" s="7" t="str">
        <f ca="1"/>
        <v>MovieWbPresetDataNo = 0xD21C,</v>
      </c>
    </row>
    <row r="362" spans="4:4" x14ac:dyDescent="0.25">
      <c r="D362" s="7" t="str">
        <f ca="1"/>
        <v>MovieWbPresetDataComment1 = 0xD21D,</v>
      </c>
    </row>
    <row r="363" spans="4:4" x14ac:dyDescent="0.25">
      <c r="D363" s="7" t="str">
        <f ca="1"/>
        <v>MovieWbPresetDataComment2 = 0xD21E,</v>
      </c>
    </row>
    <row r="364" spans="4:4" x14ac:dyDescent="0.25">
      <c r="D364" s="7" t="str">
        <f ca="1"/>
        <v>MovieWbPresetDataComment3 = 0xD21F,</v>
      </c>
    </row>
    <row r="365" spans="4:4" x14ac:dyDescent="0.25">
      <c r="D365" s="7" t="str">
        <f ca="1"/>
        <v>MovieWbPresetDataComment4 = 0xD220,</v>
      </c>
    </row>
    <row r="366" spans="4:4" x14ac:dyDescent="0.25">
      <c r="D366" s="7" t="str">
        <f ca="1"/>
        <v>MovieWbPresetDataComment5 = 0xD221,</v>
      </c>
    </row>
    <row r="367" spans="4:4" x14ac:dyDescent="0.25">
      <c r="D367" s="7" t="str">
        <f ca="1"/>
        <v>MovieWbPresetDataComment6 = 0xD222,</v>
      </c>
    </row>
    <row r="368" spans="4:4" x14ac:dyDescent="0.25">
      <c r="D368" s="7" t="str">
        <f ca="1"/>
        <v>MovieWbPresetDataValue1 = 0xD223,</v>
      </c>
    </row>
    <row r="369" spans="4:4" x14ac:dyDescent="0.25">
      <c r="D369" s="7" t="str">
        <f ca="1"/>
        <v>MovieWbPresetDataValue2 = 0xD224,</v>
      </c>
    </row>
    <row r="370" spans="4:4" x14ac:dyDescent="0.25">
      <c r="D370" s="7" t="str">
        <f ca="1"/>
        <v>MovieWbPresetDataValue3 = 0xD225,</v>
      </c>
    </row>
    <row r="371" spans="4:4" x14ac:dyDescent="0.25">
      <c r="D371" s="7" t="str">
        <f ca="1"/>
        <v>MovieWbPresetDataValue4 = 0xD226,</v>
      </c>
    </row>
    <row r="372" spans="4:4" x14ac:dyDescent="0.25">
      <c r="D372" s="7" t="str">
        <f ca="1"/>
        <v>MovieWbPresetDataValue5 = 0xD227,</v>
      </c>
    </row>
    <row r="373" spans="4:4" x14ac:dyDescent="0.25">
      <c r="D373" s="7" t="str">
        <f ca="1"/>
        <v>MovieWbPresetDataValue6 = 0xD228,</v>
      </c>
    </row>
    <row r="374" spans="4:4" x14ac:dyDescent="0.25">
      <c r="D374" s="7" t="str">
        <f ca="1"/>
        <v>MovieWbTunePreset1 = 0xD229,</v>
      </c>
    </row>
    <row r="375" spans="4:4" x14ac:dyDescent="0.25">
      <c r="D375" s="7" t="str">
        <f ca="1"/>
        <v>MovieWbTunePreset2 = 0xD22A,</v>
      </c>
    </row>
    <row r="376" spans="4:4" x14ac:dyDescent="0.25">
      <c r="D376" s="7" t="str">
        <f ca="1"/>
        <v>MovieWbTunePreset3 = 0xD22B,</v>
      </c>
    </row>
    <row r="377" spans="4:4" x14ac:dyDescent="0.25">
      <c r="D377" s="7" t="str">
        <f ca="1"/>
        <v>MovieWbTunePreset4 = 0xD22C,</v>
      </c>
    </row>
    <row r="378" spans="4:4" x14ac:dyDescent="0.25">
      <c r="D378" s="7" t="str">
        <f ca="1"/>
        <v>MovieWbTunePreset5 = 0xD22D,</v>
      </c>
    </row>
    <row r="379" spans="4:4" x14ac:dyDescent="0.25">
      <c r="D379" s="7" t="str">
        <f ca="1"/>
        <v>MovieWbTunePreset6 = 0xD22E,</v>
      </c>
    </row>
    <row r="380" spans="4:4" x14ac:dyDescent="0.25">
      <c r="D380" s="7" t="str">
        <f ca="1"/>
        <v>MovieWbPresetProtect1 = 0xD22F,</v>
      </c>
    </row>
    <row r="381" spans="4:4" x14ac:dyDescent="0.25">
      <c r="D381" s="7" t="str">
        <f ca="1"/>
        <v>MovieWbPresetProtect2 = 0xD230,</v>
      </c>
    </row>
    <row r="382" spans="4:4" x14ac:dyDescent="0.25">
      <c r="D382" s="7" t="str">
        <f ca="1"/>
        <v>MovieWbPresetProtect3 = 0xD231,</v>
      </c>
    </row>
    <row r="383" spans="4:4" x14ac:dyDescent="0.25">
      <c r="D383" s="7" t="str">
        <f ca="1"/>
        <v>MovieWbPresetProtect4 = 0xD232,</v>
      </c>
    </row>
    <row r="384" spans="4:4" x14ac:dyDescent="0.25">
      <c r="D384" s="7" t="str">
        <f ca="1"/>
        <v>MovieWbPresetProtect5 = 0xD233,</v>
      </c>
    </row>
    <row r="385" spans="4:4" x14ac:dyDescent="0.25">
      <c r="D385" s="7" t="str">
        <f ca="1"/>
        <v>MovieWbPresetProtect6 = 0xD234,</v>
      </c>
    </row>
    <row r="386" spans="4:4" x14ac:dyDescent="0.25">
      <c r="D386" s="7" t="str">
        <f ca="1"/>
        <v>MovieWhiteBalanceReset = 0xD235,</v>
      </c>
    </row>
    <row r="387" spans="4:4" x14ac:dyDescent="0.25">
      <c r="D387" s="7" t="str">
        <f ca="1"/>
        <v>MovieNoiseReductionHiIso = 0xD236,</v>
      </c>
    </row>
    <row r="388" spans="4:4" x14ac:dyDescent="0.25">
      <c r="D388" s="7" t="str">
        <f ca="1"/>
        <v>MovieActivePicCtrlItem = 0xD237,</v>
      </c>
    </row>
    <row r="389" spans="4:4" x14ac:dyDescent="0.25">
      <c r="D389" s="7" t="str">
        <f ca="1"/>
        <v>MovieChangePicCtrlItem = 0xD238,</v>
      </c>
    </row>
    <row r="390" spans="4:4" x14ac:dyDescent="0.25">
      <c r="D390" s="7" t="str">
        <f ca="1"/>
        <v>ExposureBaseCompHighlight = 0xD239,</v>
      </c>
    </row>
    <row r="391" spans="4:4" x14ac:dyDescent="0.25">
      <c r="D391" s="7" t="str">
        <f ca="1"/>
        <v>MovieWhiteBalance = 0xD23A,</v>
      </c>
    </row>
    <row r="392" spans="4:4" x14ac:dyDescent="0.25">
      <c r="D392" s="7" t="str">
        <f ca="1"/>
        <v>MovieActive = 0xD23B,</v>
      </c>
    </row>
    <row r="393" spans="4:4" x14ac:dyDescent="0.25">
      <c r="D393" s="7" t="str">
        <f ca="1"/>
        <v>MovieWbTuneNatural = 0xD23C,</v>
      </c>
    </row>
    <row r="394" spans="4:4" x14ac:dyDescent="0.25">
      <c r="D394" s="7" t="str">
        <f ca="1"/>
        <v>MovieAttenuator = 0xD23D,</v>
      </c>
    </row>
    <row r="395" spans="4:4" x14ac:dyDescent="0.25">
      <c r="D395" s="7" t="str">
        <f ca="1"/>
        <v>MovieVignetteControl = 0xD23E,</v>
      </c>
    </row>
    <row r="396" spans="4:4" x14ac:dyDescent="0.25">
      <c r="D396" s="7" t="str">
        <f ca="1"/>
        <v>MovieDiffractionCompensation = 0xD23F,</v>
      </c>
    </row>
    <row r="397" spans="4:4" x14ac:dyDescent="0.25">
      <c r="D397" s="7" t="str">
        <f ca="1"/>
        <v>UseDeviceStageFlag = 0xD303,</v>
      </c>
    </row>
    <row r="398" spans="4:4" x14ac:dyDescent="0.25">
      <c r="D398" s="7" t="str">
        <f ca="1"/>
        <v>ElectronicVR = 0xD314,</v>
      </c>
    </row>
    <row r="399" spans="4:4" x14ac:dyDescent="0.25">
      <c r="D399" s="7" t="str">
        <f ca="1"/>
        <v>SessionInitiatorVersionInfo = 0xD406,</v>
      </c>
    </row>
    <row r="400" spans="4:4" x14ac:dyDescent="0.25">
      <c r="D400" s="7" t="str">
        <f ca="1"/>
        <v>PerceivedDeviceType = 0xD407,</v>
      </c>
    </row>
    <row r="401" spans="4:4" x14ac:dyDescent="0.25">
      <c r="D401" s="7" t="str">
        <f ca="1"/>
        <v>MovieProResToneMode = 0x0001D000,</v>
      </c>
    </row>
    <row r="402" spans="4:4" x14ac:dyDescent="0.25">
      <c r="D402" s="7" t="str">
        <f ca="1"/>
        <v>MovieH265ToneMode = 0x0001D001,</v>
      </c>
    </row>
    <row r="403" spans="4:4" x14ac:dyDescent="0.25">
      <c r="D403" s="7" t="str">
        <f ca="1"/>
        <v>SpecialShootingMode = 0x0001D002,</v>
      </c>
    </row>
    <row r="404" spans="4:4" x14ac:dyDescent="0.25">
      <c r="D404" s="7" t="str">
        <f ca="1"/>
        <v>AFSubjectDetection = 0x0001D005,</v>
      </c>
    </row>
    <row r="405" spans="4:4" x14ac:dyDescent="0.25">
      <c r="D405" s="7" t="str">
        <f ca="1"/>
        <v>MovieAFSubjectDetection = 0x0001D006,</v>
      </c>
    </row>
    <row r="406" spans="4:4" x14ac:dyDescent="0.25">
      <c r="D406" s="7" t="str">
        <f ca="1"/>
        <v>ViewModeEaseOfViewing = 0x0001D007,</v>
      </c>
    </row>
    <row r="407" spans="4:4" x14ac:dyDescent="0.25">
      <c r="D407" s="7" t="str">
        <f ca="1"/>
        <v>ViewModeWhiteBalance = 0x0001D008,</v>
      </c>
    </row>
    <row r="408" spans="4:4" x14ac:dyDescent="0.25">
      <c r="D408" s="7" t="str">
        <f ca="1"/>
        <v>ViewModeWbColorTemp = 0x0001D009,</v>
      </c>
    </row>
    <row r="409" spans="4:4" x14ac:dyDescent="0.25">
      <c r="D409" s="7" t="str">
        <f ca="1"/>
        <v>ViewModeWbTuneColorTemp = 0x0001D00A,</v>
      </c>
    </row>
    <row r="410" spans="4:4" x14ac:dyDescent="0.25">
      <c r="D410" s="7" t="str">
        <f ca="1"/>
        <v>ViewModePictureControl = 0x0001D00B,</v>
      </c>
    </row>
    <row r="411" spans="4:4" x14ac:dyDescent="0.25">
      <c r="D411" s="7" t="str">
        <f ca="1"/>
        <v>ViewModeBrightenShadow = 0x0001D00C,</v>
      </c>
    </row>
    <row r="412" spans="4:4" x14ac:dyDescent="0.25">
      <c r="D412" s="7" t="str">
        <f ca="1"/>
        <v>StarlightView = 0x0001D00E,</v>
      </c>
    </row>
    <row r="413" spans="4:4" x14ac:dyDescent="0.25">
      <c r="D413" s="7" t="str">
        <f ca="1"/>
        <v>MovieTVLockSetting = 0x0001D00F,</v>
      </c>
    </row>
    <row r="414" spans="4:4" x14ac:dyDescent="0.25">
      <c r="D414" s="7" t="str">
        <f ca="1"/>
        <v>MovieAVLockSetting = 0x0001D010,</v>
      </c>
    </row>
    <row r="415" spans="4:4" x14ac:dyDescent="0.25">
      <c r="D415" s="7" t="str">
        <f ca="1"/>
        <v>SilentMode = 0x0001D011,</v>
      </c>
    </row>
    <row r="416" spans="4:4" x14ac:dyDescent="0.25">
      <c r="D416" s="7" t="str">
        <f ca="1"/>
        <v>ShutterSoundEffect = 0x0001D012,</v>
      </c>
    </row>
    <row r="417" spans="4:4" x14ac:dyDescent="0.25">
      <c r="D417" s="7" t="str">
        <f ca="1"/>
        <v>AFWhenSubjectNotDetected = 0x0001D014,</v>
      </c>
    </row>
    <row r="418" spans="4:4" x14ac:dyDescent="0.25">
      <c r="D418" s="7" t="str">
        <f ca="1"/>
        <v>FocusPointLock = 0x0001D015,</v>
      </c>
    </row>
    <row r="419" spans="4:4" x14ac:dyDescent="0.25">
      <c r="D419" s="7" t="str">
        <f ca="1"/>
        <v>MovieFocusPointLock = 0x0001D016,</v>
      </c>
    </row>
    <row r="420" spans="4:4" x14ac:dyDescent="0.25">
      <c r="D420" s="7" t="str">
        <f ca="1"/>
        <v>SkinSoftening = 0x0001D017,</v>
      </c>
    </row>
    <row r="421" spans="4:4" x14ac:dyDescent="0.25">
      <c r="D421" s="7" t="str">
        <f ca="1"/>
        <v>MovieSkinSoftening = 0x0001D018,</v>
      </c>
    </row>
    <row r="422" spans="4:4" x14ac:dyDescent="0.25">
      <c r="D422" s="7" t="str">
        <f ca="1"/>
        <v>PortraitImpressionBalance = 0x0001D019,</v>
      </c>
    </row>
    <row r="423" spans="4:4" x14ac:dyDescent="0.25">
      <c r="D423" s="7" t="str">
        <f ca="1"/>
        <v>MoviePortraitImpressionBalance = 0x0001D01A,</v>
      </c>
    </row>
    <row r="424" spans="4:4" x14ac:dyDescent="0.25">
      <c r="D424" s="7" t="str">
        <f ca="1"/>
        <v>MovieExtendedShutterSpeedsManual = 0x0001D01B,</v>
      </c>
    </row>
    <row r="425" spans="4:4" x14ac:dyDescent="0.25">
      <c r="D425" s="7" t="str">
        <f ca="1"/>
        <v>ToneMode = 0x0001D01C,</v>
      </c>
    </row>
    <row r="426" spans="4:4" x14ac:dyDescent="0.25">
      <c r="D426" s="7" t="str">
        <f ca="1"/>
        <v>ActivePicCtrlHlgItem = 0x0001D01D,</v>
      </c>
    </row>
    <row r="427" spans="4:4" x14ac:dyDescent="0.25">
      <c r="D427" s="7" t="str">
        <f ca="1"/>
        <v>ExtendedOverSampling = 0x0001D01E,</v>
      </c>
    </row>
    <row r="428" spans="4:4" x14ac:dyDescent="0.25">
      <c r="D428" s="7" t="str">
        <f ca="1"/>
        <v>MovieExtendedIsoStepManual = 0x0001D01F,</v>
      </c>
    </row>
    <row r="429" spans="4:4" x14ac:dyDescent="0.25">
      <c r="D429" s="7" t="str">
        <f ca="1"/>
        <v>PreCapturePreReleaseBurst = 0x0001D025,</v>
      </c>
    </row>
    <row r="430" spans="4:4" x14ac:dyDescent="0.25">
      <c r="D430" s="7" t="str">
        <f ca="1"/>
        <v>PreCapturePostReleaseBurst = 0x0001D026,</v>
      </c>
    </row>
    <row r="431" spans="4:4" x14ac:dyDescent="0.25">
      <c r="D431" s="7" t="str">
        <f ca="1"/>
        <v>MovieNRaw12bitToneMode = 0x0001D028,</v>
      </c>
    </row>
    <row r="432" spans="4:4" x14ac:dyDescent="0.25">
      <c r="D432" s="7" t="str">
        <f ca="1"/>
        <v>MovieProResRawHq12bitToneMode = 0x0001D029,</v>
      </c>
    </row>
    <row r="433" spans="4:4" x14ac:dyDescent="0.25">
      <c r="D433" s="7" t="str">
        <f ca="1"/>
        <v>MovieQualityNRaw = 0x0001D02A,</v>
      </c>
    </row>
    <row r="434" spans="4:4" x14ac:dyDescent="0.25">
      <c r="D434" s="7" t="str">
        <f ca="1"/>
        <v>AutoCaptureMode = 0x0001D02B,</v>
      </c>
    </row>
    <row r="435" spans="4:4" x14ac:dyDescent="0.25">
      <c r="D435" s="7" t="str">
        <f ca="1"/>
        <v>AutoCaptureFocusNear = 0x0001D02E,</v>
      </c>
    </row>
    <row r="436" spans="4:4" x14ac:dyDescent="0.25">
      <c r="D436" s="7" t="str">
        <f ca="1"/>
        <v>AutoCaptureFocusFar = 0x0001D02F,</v>
      </c>
    </row>
    <row r="437" spans="4:4" x14ac:dyDescent="0.25">
      <c r="D437" s="7" t="str">
        <f ca="1"/>
        <v>AutoCaptureProhibitCondition = 0x0001D030,</v>
      </c>
    </row>
    <row r="438" spans="4:4" x14ac:dyDescent="0.25">
      <c r="D438" s="7" t="str">
        <f ca="1"/>
        <v>HighFrequencyFlickerReduction = 0x0001D031,</v>
      </c>
    </row>
    <row r="439" spans="4:4" x14ac:dyDescent="0.25">
      <c r="D439" s="7" t="str">
        <f ca="1"/>
        <v>MovieHighFrequencyFlickerReduction = 0x0001D032,</v>
      </c>
    </row>
    <row r="440" spans="4:4" x14ac:dyDescent="0.25">
      <c r="D440" s="7" t="str">
        <f ca="1"/>
        <v>HiResZoom = 0x0001D033,</v>
      </c>
    </row>
    <row r="441" spans="4:4" x14ac:dyDescent="0.25">
      <c r="D441" s="7" t="str">
        <f ca="1"/>
        <v>ViewModeShowEffectsOfSettings = 0x0001D036,</v>
      </c>
    </row>
    <row r="442" spans="4:4" x14ac:dyDescent="0.25">
      <c r="D442" s="7" t="str">
        <f ca="1"/>
        <v>FlickerReductionShutterSpeed = 0x0001D03D,</v>
      </c>
    </row>
    <row r="443" spans="4:4" x14ac:dyDescent="0.25">
      <c r="D443" s="7" t="str">
        <f ca="1"/>
        <v>EnableDXImageSize = 0x0001D041,</v>
      </c>
    </row>
    <row r="444" spans="4:4" x14ac:dyDescent="0.25">
      <c r="D444" s="7" t="str">
        <f ca="1"/>
        <v>ImageSizeDX = 0x0001D042,</v>
      </c>
    </row>
    <row r="445" spans="4:4" x14ac:dyDescent="0.25">
      <c r="D445" s="7" t="str">
        <f ca="1"/>
        <v>PixelShiftShootingMode = 0x0001D045,</v>
      </c>
    </row>
    <row r="446" spans="4:4" x14ac:dyDescent="0.25">
      <c r="D446" s="7" t="str">
        <f ca="1"/>
        <v>WideAreaAFC1 = 0x0001D046,</v>
      </c>
    </row>
    <row r="447" spans="4:4" x14ac:dyDescent="0.25">
      <c r="D447" s="7" t="str">
        <f ca="1"/>
        <v>WideAreaAFC2 = 0x0001D047,</v>
      </c>
    </row>
    <row r="448" spans="4:4" x14ac:dyDescent="0.25">
      <c r="D448" s="7" t="str">
        <f ca="1"/>
        <v>MovieWideAreaAFC1 = 0x0001D048,</v>
      </c>
    </row>
    <row r="449" spans="4:4" x14ac:dyDescent="0.25">
      <c r="D449" s="7" t="str">
        <f ca="1"/>
        <v>MovieWideAreaAFC2 = 0x0001D049,</v>
      </c>
    </row>
    <row r="450" spans="4:4" x14ac:dyDescent="0.25">
      <c r="D450" s="7" t="str">
        <f ca="1"/>
        <v>FmmManualSetting2 = 0x0001D04A,</v>
      </c>
    </row>
    <row r="451" spans="4:4" x14ac:dyDescent="0.25">
      <c r="D451" s="7" t="str">
        <f ca="1"/>
        <v>F0ManualSetting2 = 0x0001D04B,</v>
      </c>
    </row>
    <row r="452" spans="4:4" x14ac:dyDescent="0.25">
      <c r="D452" s="7" t="str">
        <f ca="1"/>
        <v>ManualSettingLensName = 0x0001D04C,</v>
      </c>
    </row>
    <row r="453" spans="4:4" x14ac:dyDescent="0.25">
      <c r="D453" s="7" t="str">
        <f ca="1"/>
        <v>PixelShiftShootingInterval = 0x0001D050,</v>
      </c>
    </row>
    <row r="454" spans="4:4" x14ac:dyDescent="0.25">
      <c r="D454" s="7" t="str">
        <f ca="1"/>
        <v>AutoCaptureCaptureCriteria = 0x0001D052,</v>
      </c>
    </row>
    <row r="455" spans="4:4" x14ac:dyDescent="0.25">
      <c r="D455" s="7" t="str">
        <f ca="1"/>
        <v>AutoCaptureMotionSpeed = 0x0001D053,</v>
      </c>
    </row>
    <row r="456" spans="4:4" x14ac:dyDescent="0.25">
      <c r="D456" s="7" t="str">
        <f ca="1"/>
        <v>AutoCaptureMotionSubjectSize = 0x0001D054,</v>
      </c>
    </row>
    <row r="457" spans="4:4" x14ac:dyDescent="0.25">
      <c r="D457" s="7" t="str">
        <f ca="1"/>
        <v>AutoCaptureMotionDirection = 0x0001D055,</v>
      </c>
    </row>
    <row r="458" spans="4:4" x14ac:dyDescent="0.25">
      <c r="D458" s="7" t="str">
        <f ca="1"/>
        <v>AutoCaptureSubjectDetectionSize = 0x0001D056,</v>
      </c>
    </row>
    <row r="459" spans="4:4" x14ac:dyDescent="0.25">
      <c r="D459" s="7" t="str">
        <f ca="1"/>
        <v>AutoCaptureSubjectDetectionType = 0x0001D057,</v>
      </c>
    </row>
    <row r="460" spans="4:4" x14ac:dyDescent="0.25">
      <c r="D460" s="7" t="str">
        <f ca="1"/>
        <v>AutoCaptureRecordingTime = 0x0001D058,</v>
      </c>
    </row>
    <row r="461" spans="4:4" x14ac:dyDescent="0.25">
      <c r="D461" s="7" t="str">
        <f ca="1"/>
        <v>AutoCaptureWaitAfterShootingTime = 0x0001D059,</v>
      </c>
    </row>
    <row r="462" spans="4:4" x14ac:dyDescent="0.25">
      <c r="D462" s="7" t="str">
        <f ca="1"/>
        <v>AutoCaptureSelectUserPreset = 0x0001D05A,</v>
      </c>
    </row>
    <row r="463" spans="4:4" x14ac:dyDescent="0.25">
      <c r="D463" s="7" t="str">
        <f ca="1"/>
        <v>AutoCaptureMovieSelectUserPreset = 0x0001D05B,</v>
      </c>
    </row>
    <row r="464" spans="4:4" x14ac:dyDescent="0.25">
      <c r="D464" s="7" t="str">
        <f ca="1"/>
        <v>ImageQualityHSFC = 0x0001D05C,</v>
      </c>
    </row>
    <row r="465" spans="4:4" x14ac:dyDescent="0.25">
      <c r="D465" s="7" t="str">
        <f ca="1"/>
        <v>PreCaptureState = 0x0001D05D,</v>
      </c>
    </row>
    <row r="466" spans="4:4" x14ac:dyDescent="0.25">
      <c r="D466" s="7" t="str">
        <f ca="1"/>
        <v>HighISONRMode = 0x0001D05E,</v>
      </c>
    </row>
    <row r="467" spans="4:4" x14ac:dyDescent="0.25">
      <c r="D467" s="7" t="str">
        <f ca="1"/>
        <v>AutoCaptureFocusRange = 0x0001D061,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B4FA5-B537-4C96-98AC-DA9A7175249B}">
  <sheetPr>
    <tabColor theme="7" tint="0.59999389629810485"/>
  </sheetPr>
  <dimension ref="A1:AK1029"/>
  <sheetViews>
    <sheetView tabSelected="1" workbookViewId="0">
      <pane xSplit="2" ySplit="2" topLeftCell="C120" activePane="bottomRight" state="frozen"/>
      <selection activeCell="C4" sqref="C4"/>
      <selection pane="topRight" activeCell="C4" sqref="C4"/>
      <selection pane="bottomLeft" activeCell="C4" sqref="C4"/>
      <selection pane="bottomRight" activeCell="C137" sqref="C137"/>
    </sheetView>
  </sheetViews>
  <sheetFormatPr defaultRowHeight="15" x14ac:dyDescent="0.25"/>
  <cols>
    <col min="1" max="1" width="15" style="13" bestFit="1" customWidth="1"/>
    <col min="2" max="2" width="25.140625" style="14" bestFit="1" customWidth="1"/>
    <col min="3" max="3" width="9.140625" style="7"/>
    <col min="4" max="7" width="9.140625" style="8" customWidth="1"/>
    <col min="8" max="19" width="9.140625" style="7"/>
    <col min="20" max="20" width="6.5703125" style="7" bestFit="1" customWidth="1"/>
    <col min="21" max="21" width="6.140625" style="7" bestFit="1" customWidth="1"/>
    <col min="22" max="23" width="9.140625" style="7"/>
    <col min="24" max="27" width="9.140625" style="8"/>
    <col min="28" max="16384" width="9.140625" style="7"/>
  </cols>
  <sheetData>
    <row r="1" spans="1:37" s="9" customFormat="1" x14ac:dyDescent="0.25">
      <c r="A1" s="2"/>
      <c r="B1" s="10"/>
      <c r="D1" s="2" t="str" cm="1">
        <f t="array" ref="D1:Q1">TRANSPOSE(Cameras[Camera])</f>
        <v>Z8</v>
      </c>
      <c r="E1" s="2" t="str">
        <v>Z9</v>
      </c>
      <c r="F1" s="2" t="str">
        <v>Z6 II</v>
      </c>
      <c r="G1" s="2" t="str">
        <v>Z7 II</v>
      </c>
      <c r="H1" s="9" t="str">
        <v>Z50</v>
      </c>
      <c r="I1" s="9" t="str">
        <v>Z6</v>
      </c>
      <c r="J1" s="9" t="str">
        <v>Z7</v>
      </c>
      <c r="K1" s="9" t="str">
        <v>Z5</v>
      </c>
      <c r="L1" s="9" t="str">
        <v>D6</v>
      </c>
      <c r="M1" s="9" t="str">
        <v>D5</v>
      </c>
      <c r="N1" s="9" t="str">
        <v>D4S</v>
      </c>
      <c r="O1" s="9" t="str">
        <v>D4</v>
      </c>
      <c r="P1" s="9" t="str">
        <v>D3X</v>
      </c>
      <c r="Q1" s="9" t="str">
        <v>D3</v>
      </c>
      <c r="X1" s="9" t="str" cm="1">
        <f t="array" ref="X1:AK1">TRANSPOSE(Cameras[Camera])</f>
        <v>Z8</v>
      </c>
      <c r="Y1" s="9" t="str">
        <v>Z9</v>
      </c>
      <c r="Z1" s="9" t="str">
        <v>Z6 II</v>
      </c>
      <c r="AA1" s="9" t="str">
        <v>Z7 II</v>
      </c>
      <c r="AB1" s="9" t="str">
        <v>Z50</v>
      </c>
      <c r="AC1" s="9" t="str">
        <v>Z6</v>
      </c>
      <c r="AD1" s="9" t="str">
        <v>Z7</v>
      </c>
      <c r="AE1" s="9" t="str">
        <v>Z5</v>
      </c>
      <c r="AF1" s="9" t="str">
        <v>D6</v>
      </c>
      <c r="AG1" s="9" t="str">
        <v>D5</v>
      </c>
      <c r="AH1" s="9" t="str">
        <v>D4S</v>
      </c>
      <c r="AI1" s="9" t="str">
        <v>D4</v>
      </c>
      <c r="AJ1" s="9" t="str">
        <v>D3X</v>
      </c>
      <c r="AK1" s="9" t="str">
        <v>D3</v>
      </c>
    </row>
    <row r="2" spans="1:37" s="11" customFormat="1" x14ac:dyDescent="0.25">
      <c r="A2" s="3" t="s">
        <v>3</v>
      </c>
      <c r="B2" s="6" t="s">
        <v>4</v>
      </c>
      <c r="C2" s="4"/>
      <c r="D2" s="5" t="str" cm="1">
        <f t="array" ref="D2:Q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</v>
      </c>
      <c r="I2" s="4" t="str">
        <v>Rev. 1.40</v>
      </c>
      <c r="J2" s="4" t="str">
        <v>Rev. 1.40</v>
      </c>
      <c r="K2" s="4" t="str">
        <v>Rev. 1.10</v>
      </c>
      <c r="L2" s="4" t="str">
        <v>Rev. 1.0</v>
      </c>
      <c r="M2" s="4" t="str">
        <v>Rev. 2.0</v>
      </c>
      <c r="N2" s="4" t="str">
        <v>Rev. 1.0</v>
      </c>
      <c r="O2" s="4" t="str">
        <v>Rev. 1.0</v>
      </c>
      <c r="P2" s="4" t="str">
        <v>Rev. 1.0</v>
      </c>
      <c r="Q2" s="4" t="str">
        <v>Rev. 1.0</v>
      </c>
      <c r="R2" s="4"/>
      <c r="S2" s="4"/>
      <c r="T2" s="12" t="s">
        <v>1232</v>
      </c>
      <c r="U2" s="12" t="s">
        <v>1233</v>
      </c>
      <c r="V2" s="12" t="s">
        <v>1234</v>
      </c>
      <c r="W2" s="4"/>
      <c r="X2" s="11" t="str" cm="1">
        <f t="array" ref="X2:AK2">"Rev. "&amp;TRANSPOSE(Cameras[MTP Doc])</f>
        <v>Rev. 2.00</v>
      </c>
      <c r="Y2" s="11" t="str">
        <v>Rev. 6.00</v>
      </c>
      <c r="Z2" s="11" t="str">
        <v>Rev. 1.10</v>
      </c>
      <c r="AA2" s="11" t="str">
        <v>Rev. 1.10</v>
      </c>
      <c r="AB2" s="11" t="str">
        <v>Rev. 2.0</v>
      </c>
      <c r="AC2" s="11" t="str">
        <v>Rev. 1.40</v>
      </c>
      <c r="AD2" s="11" t="str">
        <v>Rev. 1.40</v>
      </c>
      <c r="AE2" s="11" t="str">
        <v>Rev. 1.10</v>
      </c>
      <c r="AF2" s="11" t="str">
        <v>Rev. 1.0</v>
      </c>
      <c r="AG2" s="11" t="str">
        <v>Rev. 2.0</v>
      </c>
      <c r="AH2" s="11" t="str">
        <v>Rev. 1.0</v>
      </c>
      <c r="AI2" s="11" t="str">
        <v>Rev. 1.0</v>
      </c>
      <c r="AJ2" s="11" t="str">
        <v>Rev. 1.0</v>
      </c>
      <c r="AK2" s="11" t="str">
        <v>Rev. 1.0</v>
      </c>
    </row>
    <row r="3" spans="1:37" x14ac:dyDescent="0.25">
      <c r="A3" s="13" t="str" cm="1">
        <f t="array" aca="1" ref="A3:B130" ca="1">_xlfn.LET(_xlpm.arr,_xlfn.ANCHORARRAY(T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0x1001</v>
      </c>
      <c r="B3" s="14" t="str">
        <f ca="1"/>
        <v>GetDeviceInfo</v>
      </c>
      <c r="D3" s="8" t="str" cm="1">
        <f t="array" aca="1" ref="D3:Q130" ca="1">_xlfn.LET(_xlpm.models,_xlfn.ANCHORARRAY(D1),_xlpm.arr,_xlfn.ANCHORARRAY(T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GetDeviceInfo</v>
      </c>
      <c r="E3" s="8" t="str">
        <f ca="1"/>
        <v>GetDeviceInfo</v>
      </c>
      <c r="F3" s="8" t="str">
        <f ca="1"/>
        <v>GetDeviceInfo</v>
      </c>
      <c r="G3" s="8" t="str">
        <f ca="1"/>
        <v>GetDeviceInfo</v>
      </c>
      <c r="H3" s="7" t="str">
        <f ca="1"/>
        <v>GetDeviceInfo</v>
      </c>
      <c r="I3" s="7" t="str">
        <f ca="1"/>
        <v>GetDeviceInfo</v>
      </c>
      <c r="J3" s="7" t="str">
        <f ca="1"/>
        <v>GetDeviceInfo</v>
      </c>
      <c r="K3" s="7" t="str">
        <f ca="1"/>
        <v>GetDeviceInfo</v>
      </c>
      <c r="L3" s="7" t="str">
        <f ca="1"/>
        <v>GetDeviceInfo</v>
      </c>
      <c r="M3" s="7" t="str">
        <f ca="1"/>
        <v>GetDeviceInfo</v>
      </c>
      <c r="N3" s="7" t="str">
        <f ca="1"/>
        <v>GetDeviceInfo</v>
      </c>
      <c r="O3" s="7" t="str">
        <f ca="1"/>
        <v>GetDeviceInfo</v>
      </c>
      <c r="P3" s="7" t="str">
        <f ca="1"/>
        <v>GetDeviceInfo</v>
      </c>
      <c r="Q3" s="7" t="str">
        <f ca="1"/>
        <v>GetDeviceInfo</v>
      </c>
      <c r="T3" s="7" t="str" cm="1">
        <f t="array" aca="1" ref="T3:V1029" ca="1">_xlfn.LET(_xlpm.models,_xlfn.ANCHORARRAY(X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U3" s="7" t="str">
        <f ca="1"/>
        <v>0x1001</v>
      </c>
      <c r="V3" s="7" t="str">
        <f ca="1"/>
        <v>GetDeviceInfo</v>
      </c>
      <c r="X3" s="8" t="s">
        <v>5</v>
      </c>
      <c r="Y3" s="8" t="s">
        <v>5</v>
      </c>
      <c r="Z3" s="8" t="s">
        <v>5</v>
      </c>
      <c r="AA3" s="8" t="s">
        <v>5</v>
      </c>
      <c r="AB3" s="7" t="s">
        <v>5</v>
      </c>
      <c r="AC3" s="7" t="s">
        <v>5</v>
      </c>
      <c r="AD3" s="7" t="s">
        <v>5</v>
      </c>
      <c r="AE3" s="7" t="s">
        <v>5</v>
      </c>
      <c r="AF3" s="7" t="s">
        <v>5</v>
      </c>
      <c r="AG3" s="7" t="s">
        <v>5</v>
      </c>
      <c r="AH3" s="7" t="s">
        <v>5</v>
      </c>
      <c r="AI3" s="7" t="s">
        <v>5</v>
      </c>
      <c r="AJ3" s="7" t="s">
        <v>5</v>
      </c>
      <c r="AK3" s="7" t="s">
        <v>5</v>
      </c>
    </row>
    <row r="4" spans="1:37" x14ac:dyDescent="0.25">
      <c r="A4" s="13" t="str">
        <f ca="1"/>
        <v>0x1002</v>
      </c>
      <c r="B4" s="14" t="str">
        <f ca="1"/>
        <v>OpenSession</v>
      </c>
      <c r="D4" s="8" t="str">
        <f ca="1"/>
        <v>OpenSession</v>
      </c>
      <c r="E4" s="8" t="str">
        <f ca="1"/>
        <v>OpenSession</v>
      </c>
      <c r="F4" s="8" t="str">
        <f ca="1"/>
        <v>OpenSession</v>
      </c>
      <c r="G4" s="8" t="str">
        <f ca="1"/>
        <v>OpenSession</v>
      </c>
      <c r="H4" s="7" t="str">
        <f ca="1"/>
        <v>OpenSession</v>
      </c>
      <c r="I4" s="7" t="str">
        <f ca="1"/>
        <v>OpenSession</v>
      </c>
      <c r="J4" s="7" t="str">
        <f ca="1"/>
        <v>OpenSession</v>
      </c>
      <c r="K4" s="7" t="str">
        <f ca="1"/>
        <v>OpenSession</v>
      </c>
      <c r="L4" s="7" t="str">
        <f ca="1"/>
        <v>OpenSession</v>
      </c>
      <c r="M4" s="7" t="str">
        <f ca="1"/>
        <v>OpenSession</v>
      </c>
      <c r="N4" s="7" t="str">
        <f ca="1"/>
        <v>OpenSession</v>
      </c>
      <c r="O4" s="7" t="str">
        <f ca="1"/>
        <v>OpenSession</v>
      </c>
      <c r="P4" s="7" t="str">
        <f ca="1"/>
        <v>OpenSession</v>
      </c>
      <c r="Q4" s="7" t="str">
        <f ca="1"/>
        <v>OpenSession</v>
      </c>
      <c r="T4" s="7" t="str">
        <f ca="1"/>
        <v>Z8</v>
      </c>
      <c r="U4" s="7" t="str">
        <f ca="1"/>
        <v>0x1002</v>
      </c>
      <c r="V4" s="7" t="str">
        <f ca="1"/>
        <v>OpenSession</v>
      </c>
      <c r="X4" s="8" t="s">
        <v>6</v>
      </c>
      <c r="Y4" s="8" t="s">
        <v>6</v>
      </c>
      <c r="Z4" s="8" t="s">
        <v>6</v>
      </c>
      <c r="AA4" s="8" t="s">
        <v>6</v>
      </c>
      <c r="AB4" s="7" t="s">
        <v>6</v>
      </c>
      <c r="AC4" s="7" t="s">
        <v>6</v>
      </c>
      <c r="AD4" s="7" t="s">
        <v>6</v>
      </c>
      <c r="AE4" s="7" t="s">
        <v>6</v>
      </c>
      <c r="AF4" s="7" t="s">
        <v>6</v>
      </c>
      <c r="AG4" s="7" t="s">
        <v>6</v>
      </c>
      <c r="AH4" s="7" t="s">
        <v>6</v>
      </c>
      <c r="AI4" s="7" t="s">
        <v>6</v>
      </c>
      <c r="AJ4" s="7" t="s">
        <v>6</v>
      </c>
      <c r="AK4" s="7" t="s">
        <v>6</v>
      </c>
    </row>
    <row r="5" spans="1:37" x14ac:dyDescent="0.25">
      <c r="A5" s="13" t="str">
        <f ca="1"/>
        <v>0x1003</v>
      </c>
      <c r="B5" s="14" t="str">
        <f ca="1"/>
        <v>CloseSession</v>
      </c>
      <c r="D5" s="8" t="str">
        <f ca="1"/>
        <v>CloseSession</v>
      </c>
      <c r="E5" s="8" t="str">
        <f ca="1"/>
        <v>CloseSession</v>
      </c>
      <c r="F5" s="8" t="str">
        <f ca="1"/>
        <v>CloseSession</v>
      </c>
      <c r="G5" s="8" t="str">
        <f ca="1"/>
        <v>CloseSession</v>
      </c>
      <c r="H5" s="7" t="str">
        <f ca="1"/>
        <v>CloseSession</v>
      </c>
      <c r="I5" s="7" t="str">
        <f ca="1"/>
        <v>CloseSession</v>
      </c>
      <c r="J5" s="7" t="str">
        <f ca="1"/>
        <v>CloseSession</v>
      </c>
      <c r="K5" s="7" t="str">
        <f ca="1"/>
        <v>CloseSession</v>
      </c>
      <c r="L5" s="7" t="str">
        <f ca="1"/>
        <v>CloseSession</v>
      </c>
      <c r="M5" s="7" t="str">
        <f ca="1"/>
        <v>CloseSession</v>
      </c>
      <c r="N5" s="7" t="str">
        <f ca="1"/>
        <v>CloseSession</v>
      </c>
      <c r="O5" s="7" t="str">
        <f ca="1"/>
        <v>CloseSession</v>
      </c>
      <c r="P5" s="7" t="str">
        <f ca="1"/>
        <v>CloseSession</v>
      </c>
      <c r="Q5" s="7" t="str">
        <f ca="1"/>
        <v>CloseSession</v>
      </c>
      <c r="T5" s="7" t="str">
        <f ca="1"/>
        <v>Z8</v>
      </c>
      <c r="U5" s="7" t="str">
        <f ca="1"/>
        <v>0x1003</v>
      </c>
      <c r="V5" s="7" t="str">
        <f ca="1"/>
        <v>CloseSession</v>
      </c>
      <c r="X5" s="8" t="s">
        <v>7</v>
      </c>
      <c r="Y5" s="8" t="s">
        <v>7</v>
      </c>
      <c r="Z5" s="8" t="s">
        <v>7</v>
      </c>
      <c r="AA5" s="8" t="s">
        <v>7</v>
      </c>
      <c r="AB5" s="7" t="s">
        <v>7</v>
      </c>
      <c r="AC5" s="7" t="s">
        <v>7</v>
      </c>
      <c r="AD5" s="7" t="s">
        <v>7</v>
      </c>
      <c r="AE5" s="7" t="s">
        <v>7</v>
      </c>
      <c r="AF5" s="7" t="s">
        <v>7</v>
      </c>
      <c r="AG5" s="7" t="s">
        <v>7</v>
      </c>
      <c r="AH5" s="7" t="s">
        <v>7</v>
      </c>
      <c r="AI5" s="7" t="s">
        <v>7</v>
      </c>
      <c r="AJ5" s="7" t="s">
        <v>7</v>
      </c>
      <c r="AK5" s="7" t="s">
        <v>7</v>
      </c>
    </row>
    <row r="6" spans="1:37" x14ac:dyDescent="0.25">
      <c r="A6" s="13" t="str">
        <f ca="1"/>
        <v>0x1004</v>
      </c>
      <c r="B6" s="14" t="str">
        <f ca="1"/>
        <v>GetStorageIDs</v>
      </c>
      <c r="D6" s="8" t="str">
        <f ca="1"/>
        <v>GetStorageIDs</v>
      </c>
      <c r="E6" s="8" t="str">
        <f ca="1"/>
        <v>GetStorageIDs</v>
      </c>
      <c r="F6" s="8" t="str">
        <f ca="1"/>
        <v>GetStorageIDs</v>
      </c>
      <c r="G6" s="8" t="str">
        <f ca="1"/>
        <v>GetStorageIDs</v>
      </c>
      <c r="H6" s="7" t="str">
        <f ca="1"/>
        <v>GetStorageIDs</v>
      </c>
      <c r="I6" s="7" t="str">
        <f ca="1"/>
        <v>GetStorageIDs</v>
      </c>
      <c r="J6" s="7" t="str">
        <f ca="1"/>
        <v>GetStorageIDs</v>
      </c>
      <c r="K6" s="7" t="str">
        <f ca="1"/>
        <v>GetStorageIDs</v>
      </c>
      <c r="L6" s="7" t="str">
        <f ca="1"/>
        <v>GetStorageIDs</v>
      </c>
      <c r="M6" s="7" t="str">
        <f ca="1"/>
        <v>GetStorageIDs</v>
      </c>
      <c r="N6" s="7" t="str">
        <f ca="1"/>
        <v>GetStorageIDs</v>
      </c>
      <c r="O6" s="7" t="str">
        <f ca="1"/>
        <v>GetStorageIDs</v>
      </c>
      <c r="P6" s="7" t="str">
        <f ca="1"/>
        <v>GetStorageIDs</v>
      </c>
      <c r="Q6" s="7" t="str">
        <f ca="1"/>
        <v>GetStorageIDs</v>
      </c>
      <c r="T6" s="7" t="str">
        <f ca="1"/>
        <v>Z8</v>
      </c>
      <c r="U6" s="7" t="str">
        <f ca="1"/>
        <v>0x1004</v>
      </c>
      <c r="V6" s="7" t="str">
        <f ca="1"/>
        <v>GetStorageIDs</v>
      </c>
      <c r="X6" s="8" t="s">
        <v>8</v>
      </c>
      <c r="Y6" s="8" t="s">
        <v>8</v>
      </c>
      <c r="Z6" s="8" t="s">
        <v>8</v>
      </c>
      <c r="AA6" s="8" t="s">
        <v>8</v>
      </c>
      <c r="AB6" s="7" t="s">
        <v>8</v>
      </c>
      <c r="AC6" s="7" t="s">
        <v>8</v>
      </c>
      <c r="AD6" s="7" t="s">
        <v>8</v>
      </c>
      <c r="AE6" s="7" t="s">
        <v>8</v>
      </c>
      <c r="AF6" s="7" t="s">
        <v>8</v>
      </c>
      <c r="AG6" s="7" t="s">
        <v>8</v>
      </c>
      <c r="AH6" s="7" t="s">
        <v>8</v>
      </c>
      <c r="AI6" s="7" t="s">
        <v>8</v>
      </c>
      <c r="AJ6" s="7" t="s">
        <v>8</v>
      </c>
      <c r="AK6" s="7" t="s">
        <v>8</v>
      </c>
    </row>
    <row r="7" spans="1:37" x14ac:dyDescent="0.25">
      <c r="A7" s="13" t="str">
        <f ca="1"/>
        <v>0x1005</v>
      </c>
      <c r="B7" s="14" t="str">
        <f ca="1"/>
        <v>GetStorageInfo</v>
      </c>
      <c r="D7" s="8" t="str">
        <f ca="1"/>
        <v>GetStorageInfo</v>
      </c>
      <c r="E7" s="8" t="str">
        <f ca="1"/>
        <v>GetStorageInfo</v>
      </c>
      <c r="F7" s="8" t="str">
        <f ca="1"/>
        <v>GetStorageInfo</v>
      </c>
      <c r="G7" s="8" t="str">
        <f ca="1"/>
        <v>GetStorageInfo</v>
      </c>
      <c r="H7" s="7" t="str">
        <f ca="1"/>
        <v>GetStorageInfo</v>
      </c>
      <c r="I7" s="7" t="str">
        <f ca="1"/>
        <v>GetStorageInfo</v>
      </c>
      <c r="J7" s="7" t="str">
        <f ca="1"/>
        <v>GetStorageInfo</v>
      </c>
      <c r="K7" s="7" t="str">
        <f ca="1"/>
        <v>GetStorageInfo</v>
      </c>
      <c r="L7" s="7" t="str">
        <f ca="1"/>
        <v>GetStorageInfo</v>
      </c>
      <c r="M7" s="7" t="str">
        <f ca="1"/>
        <v>GetStorageInfo</v>
      </c>
      <c r="N7" s="7" t="str">
        <f ca="1"/>
        <v>GetStorageInfo</v>
      </c>
      <c r="O7" s="7" t="str">
        <f ca="1"/>
        <v>GetStorageInfo</v>
      </c>
      <c r="P7" s="7" t="str">
        <f ca="1"/>
        <v>GetStorageInfo</v>
      </c>
      <c r="Q7" s="7" t="str">
        <f ca="1"/>
        <v>GetStorageInfo</v>
      </c>
      <c r="T7" s="7" t="str">
        <f ca="1"/>
        <v>Z8</v>
      </c>
      <c r="U7" s="7" t="str">
        <f ca="1"/>
        <v>0x1005</v>
      </c>
      <c r="V7" s="7" t="str">
        <f ca="1"/>
        <v>GetStorageInfo</v>
      </c>
      <c r="X7" s="8" t="s">
        <v>9</v>
      </c>
      <c r="Y7" s="8" t="s">
        <v>9</v>
      </c>
      <c r="Z7" s="8" t="s">
        <v>9</v>
      </c>
      <c r="AA7" s="8" t="s">
        <v>9</v>
      </c>
      <c r="AB7" s="7" t="s">
        <v>9</v>
      </c>
      <c r="AC7" s="7" t="s">
        <v>9</v>
      </c>
      <c r="AD7" s="7" t="s">
        <v>9</v>
      </c>
      <c r="AE7" s="7" t="s">
        <v>9</v>
      </c>
      <c r="AF7" s="7" t="s">
        <v>9</v>
      </c>
      <c r="AG7" s="7" t="s">
        <v>9</v>
      </c>
      <c r="AH7" s="7" t="s">
        <v>9</v>
      </c>
      <c r="AI7" s="7" t="s">
        <v>9</v>
      </c>
      <c r="AJ7" s="7" t="s">
        <v>9</v>
      </c>
      <c r="AK7" s="7" t="s">
        <v>9</v>
      </c>
    </row>
    <row r="8" spans="1:37" x14ac:dyDescent="0.25">
      <c r="A8" s="13" t="str">
        <f ca="1"/>
        <v>0x1006</v>
      </c>
      <c r="B8" s="14" t="str">
        <f ca="1"/>
        <v>GetNumObjects</v>
      </c>
      <c r="D8" s="8" t="str">
        <f ca="1"/>
        <v>GetNumObjects</v>
      </c>
      <c r="E8" s="8" t="str">
        <f ca="1"/>
        <v>GetNumObjects</v>
      </c>
      <c r="F8" s="8" t="str">
        <f ca="1"/>
        <v>GetNumObjects</v>
      </c>
      <c r="G8" s="8" t="str">
        <f ca="1"/>
        <v>GetNumObjects</v>
      </c>
      <c r="H8" s="7" t="str">
        <f ca="1"/>
        <v>GetNumObjects</v>
      </c>
      <c r="I8" s="7" t="str">
        <f ca="1"/>
        <v>GetNumObjects</v>
      </c>
      <c r="J8" s="7" t="str">
        <f ca="1"/>
        <v>GetNumObjects</v>
      </c>
      <c r="K8" s="7" t="str">
        <f ca="1"/>
        <v>GetNumObjects</v>
      </c>
      <c r="L8" s="7" t="str">
        <f ca="1"/>
        <v>GetNumObjects</v>
      </c>
      <c r="M8" s="7" t="str">
        <f ca="1"/>
        <v>GetNumObjects</v>
      </c>
      <c r="N8" s="7" t="str">
        <f ca="1"/>
        <v>GetNumObjects</v>
      </c>
      <c r="O8" s="7" t="str">
        <f ca="1"/>
        <v>GetNumObjects</v>
      </c>
      <c r="P8" s="7" t="str">
        <f ca="1"/>
        <v>GetNumObjects</v>
      </c>
      <c r="Q8" s="7" t="str">
        <f ca="1"/>
        <v>GetNumObjects</v>
      </c>
      <c r="T8" s="7" t="str">
        <f ca="1"/>
        <v>Z8</v>
      </c>
      <c r="U8" s="7" t="str">
        <f ca="1"/>
        <v>0x1006</v>
      </c>
      <c r="V8" s="7" t="str">
        <f ca="1"/>
        <v>GetNumObjects</v>
      </c>
      <c r="X8" s="8" t="s">
        <v>10</v>
      </c>
      <c r="Y8" s="8" t="s">
        <v>10</v>
      </c>
      <c r="Z8" s="8" t="s">
        <v>10</v>
      </c>
      <c r="AA8" s="8" t="s">
        <v>10</v>
      </c>
      <c r="AB8" s="7" t="s">
        <v>10</v>
      </c>
      <c r="AC8" s="7" t="s">
        <v>10</v>
      </c>
      <c r="AD8" s="7" t="s">
        <v>10</v>
      </c>
      <c r="AE8" s="7" t="s">
        <v>10</v>
      </c>
      <c r="AF8" s="7" t="s">
        <v>10</v>
      </c>
      <c r="AG8" s="7" t="s">
        <v>10</v>
      </c>
      <c r="AH8" s="7" t="s">
        <v>10</v>
      </c>
      <c r="AI8" s="7" t="s">
        <v>10</v>
      </c>
      <c r="AJ8" s="7" t="s">
        <v>10</v>
      </c>
      <c r="AK8" s="7" t="s">
        <v>10</v>
      </c>
    </row>
    <row r="9" spans="1:37" x14ac:dyDescent="0.25">
      <c r="A9" s="13" t="str">
        <f ca="1"/>
        <v>0x1007</v>
      </c>
      <c r="B9" s="14" t="str">
        <f ca="1"/>
        <v>GetObjectHandles</v>
      </c>
      <c r="D9" s="8" t="str">
        <f ca="1"/>
        <v>GetObjectHandles</v>
      </c>
      <c r="E9" s="8" t="str">
        <f ca="1"/>
        <v>GetObjectHandles</v>
      </c>
      <c r="F9" s="8" t="str">
        <f ca="1"/>
        <v>GetObjectHandles</v>
      </c>
      <c r="G9" s="8" t="str">
        <f ca="1"/>
        <v>GetObjectHandles</v>
      </c>
      <c r="H9" s="7" t="str">
        <f ca="1"/>
        <v>GetObjectHandles</v>
      </c>
      <c r="I9" s="7" t="str">
        <f ca="1"/>
        <v>GetObjectHandles</v>
      </c>
      <c r="J9" s="7" t="str">
        <f ca="1"/>
        <v>GetObjectHandles</v>
      </c>
      <c r="K9" s="7" t="str">
        <f ca="1"/>
        <v>GetObjectHandles</v>
      </c>
      <c r="L9" s="7" t="str">
        <f ca="1"/>
        <v>GetObjectHandles</v>
      </c>
      <c r="M9" s="7" t="str">
        <f ca="1"/>
        <v>GetObjectHandles</v>
      </c>
      <c r="N9" s="7" t="str">
        <f ca="1"/>
        <v>GetObjectHandles</v>
      </c>
      <c r="O9" s="7" t="str">
        <f ca="1"/>
        <v>GetObjectHandles</v>
      </c>
      <c r="P9" s="7" t="str">
        <f ca="1"/>
        <v>GetObjectHandles</v>
      </c>
      <c r="Q9" s="7" t="str">
        <f ca="1"/>
        <v>GetObjectHandles</v>
      </c>
      <c r="T9" s="7" t="str">
        <f ca="1"/>
        <v>Z8</v>
      </c>
      <c r="U9" s="7" t="str">
        <f ca="1"/>
        <v>0x1007</v>
      </c>
      <c r="V9" s="7" t="str">
        <f ca="1"/>
        <v>GetObjectHandles</v>
      </c>
      <c r="X9" s="8" t="s">
        <v>11</v>
      </c>
      <c r="Y9" s="8" t="s">
        <v>11</v>
      </c>
      <c r="Z9" s="8" t="s">
        <v>11</v>
      </c>
      <c r="AA9" s="8" t="s">
        <v>11</v>
      </c>
      <c r="AB9" s="7" t="s">
        <v>11</v>
      </c>
      <c r="AC9" s="7" t="s">
        <v>11</v>
      </c>
      <c r="AD9" s="7" t="s">
        <v>11</v>
      </c>
      <c r="AE9" s="7" t="s">
        <v>11</v>
      </c>
      <c r="AF9" s="7" t="s">
        <v>11</v>
      </c>
      <c r="AG9" s="7" t="s">
        <v>11</v>
      </c>
      <c r="AH9" s="7" t="s">
        <v>11</v>
      </c>
      <c r="AI9" s="7" t="s">
        <v>11</v>
      </c>
      <c r="AJ9" s="7" t="s">
        <v>11</v>
      </c>
      <c r="AK9" s="7" t="s">
        <v>11</v>
      </c>
    </row>
    <row r="10" spans="1:37" x14ac:dyDescent="0.25">
      <c r="A10" s="13" t="str">
        <f ca="1"/>
        <v>0x1008</v>
      </c>
      <c r="B10" s="14" t="str">
        <f ca="1"/>
        <v>GetObjectInfo</v>
      </c>
      <c r="D10" s="8" t="str">
        <f ca="1"/>
        <v>GetObjectInfo</v>
      </c>
      <c r="E10" s="8" t="str">
        <f ca="1"/>
        <v>GetObjectInfo</v>
      </c>
      <c r="F10" s="8" t="str">
        <f ca="1"/>
        <v>GetObjectInfo</v>
      </c>
      <c r="G10" s="8" t="str">
        <f ca="1"/>
        <v>GetObjectInfo</v>
      </c>
      <c r="H10" s="7" t="str">
        <f ca="1"/>
        <v>GetObjectInfo</v>
      </c>
      <c r="I10" s="7" t="str">
        <f ca="1"/>
        <v>GetObjectInfo</v>
      </c>
      <c r="J10" s="7" t="str">
        <f ca="1"/>
        <v>GetObjectInfo</v>
      </c>
      <c r="K10" s="7" t="str">
        <f ca="1"/>
        <v>GetObjectInfo</v>
      </c>
      <c r="L10" s="7" t="str">
        <f ca="1"/>
        <v>GetObjectInfo</v>
      </c>
      <c r="M10" s="7" t="str">
        <f ca="1"/>
        <v>GetObjectInfo</v>
      </c>
      <c r="N10" s="7" t="str">
        <f ca="1"/>
        <v>GetObjectInfo</v>
      </c>
      <c r="O10" s="7" t="str">
        <f ca="1"/>
        <v>GetObjectInfo</v>
      </c>
      <c r="P10" s="7" t="str">
        <f ca="1"/>
        <v>GetObjectInfo</v>
      </c>
      <c r="Q10" s="7" t="str">
        <f ca="1"/>
        <v>GetObjectInfo</v>
      </c>
      <c r="T10" s="7" t="str">
        <f ca="1"/>
        <v>Z8</v>
      </c>
      <c r="U10" s="7" t="str">
        <f ca="1"/>
        <v>0x1008</v>
      </c>
      <c r="V10" s="7" t="str">
        <f ca="1"/>
        <v>GetObjectInfo</v>
      </c>
      <c r="X10" s="8" t="s">
        <v>12</v>
      </c>
      <c r="Y10" s="8" t="s">
        <v>12</v>
      </c>
      <c r="Z10" s="8" t="s">
        <v>12</v>
      </c>
      <c r="AA10" s="8" t="s">
        <v>12</v>
      </c>
      <c r="AB10" s="7" t="s">
        <v>12</v>
      </c>
      <c r="AC10" s="7" t="s">
        <v>12</v>
      </c>
      <c r="AD10" s="7" t="s">
        <v>12</v>
      </c>
      <c r="AE10" s="7" t="s">
        <v>12</v>
      </c>
      <c r="AF10" s="7" t="s">
        <v>12</v>
      </c>
      <c r="AG10" s="7" t="s">
        <v>12</v>
      </c>
      <c r="AH10" s="7" t="s">
        <v>12</v>
      </c>
      <c r="AI10" s="7" t="s">
        <v>12</v>
      </c>
      <c r="AJ10" s="7" t="s">
        <v>12</v>
      </c>
      <c r="AK10" s="7" t="s">
        <v>12</v>
      </c>
    </row>
    <row r="11" spans="1:37" x14ac:dyDescent="0.25">
      <c r="A11" s="13" t="str">
        <f ca="1"/>
        <v>0x1009</v>
      </c>
      <c r="B11" s="14" t="str">
        <f ca="1"/>
        <v>GetObject</v>
      </c>
      <c r="D11" s="8" t="str">
        <f ca="1"/>
        <v>GetObject</v>
      </c>
      <c r="E11" s="8" t="str">
        <f ca="1"/>
        <v>GetObject</v>
      </c>
      <c r="F11" s="8" t="str">
        <f ca="1"/>
        <v>GetObject</v>
      </c>
      <c r="G11" s="8" t="str">
        <f ca="1"/>
        <v>GetObject</v>
      </c>
      <c r="H11" s="7" t="str">
        <f ca="1"/>
        <v>GetObject</v>
      </c>
      <c r="I11" s="7" t="str">
        <f ca="1"/>
        <v>GetObject</v>
      </c>
      <c r="J11" s="7" t="str">
        <f ca="1"/>
        <v>GetObject</v>
      </c>
      <c r="K11" s="7" t="str">
        <f ca="1"/>
        <v>GetObject</v>
      </c>
      <c r="L11" s="7" t="str">
        <f ca="1"/>
        <v>GetObject</v>
      </c>
      <c r="M11" s="7" t="str">
        <f ca="1"/>
        <v>GetObject</v>
      </c>
      <c r="N11" s="7" t="str">
        <f ca="1"/>
        <v>GetObject</v>
      </c>
      <c r="O11" s="7" t="str">
        <f ca="1"/>
        <v>GetObject</v>
      </c>
      <c r="P11" s="7" t="str">
        <f ca="1"/>
        <v>GetObject</v>
      </c>
      <c r="Q11" s="7" t="str">
        <f ca="1"/>
        <v>GetObject</v>
      </c>
      <c r="T11" s="7" t="str">
        <f ca="1"/>
        <v>Z8</v>
      </c>
      <c r="U11" s="7" t="str">
        <f ca="1"/>
        <v>0x1009</v>
      </c>
      <c r="V11" s="7" t="str">
        <f ca="1"/>
        <v>GetObject</v>
      </c>
      <c r="X11" s="8" t="s">
        <v>13</v>
      </c>
      <c r="Y11" s="8" t="s">
        <v>13</v>
      </c>
      <c r="Z11" s="8" t="s">
        <v>13</v>
      </c>
      <c r="AA11" s="8" t="s">
        <v>13</v>
      </c>
      <c r="AB11" s="7" t="s">
        <v>13</v>
      </c>
      <c r="AC11" s="7" t="s">
        <v>13</v>
      </c>
      <c r="AD11" s="7" t="s">
        <v>13</v>
      </c>
      <c r="AE11" s="7" t="s">
        <v>13</v>
      </c>
      <c r="AF11" s="7" t="s">
        <v>13</v>
      </c>
      <c r="AG11" s="7" t="s">
        <v>13</v>
      </c>
      <c r="AH11" s="7" t="s">
        <v>13</v>
      </c>
      <c r="AI11" s="7" t="s">
        <v>13</v>
      </c>
      <c r="AJ11" s="7" t="s">
        <v>13</v>
      </c>
      <c r="AK11" s="7" t="s">
        <v>13</v>
      </c>
    </row>
    <row r="12" spans="1:37" x14ac:dyDescent="0.25">
      <c r="A12" s="13" t="str">
        <f ca="1"/>
        <v>0x100A</v>
      </c>
      <c r="B12" s="14" t="str">
        <f ca="1"/>
        <v>GetThumb</v>
      </c>
      <c r="D12" s="8" t="str">
        <f ca="1"/>
        <v>GetThumb</v>
      </c>
      <c r="E12" s="8" t="str">
        <f ca="1"/>
        <v>GetThumb</v>
      </c>
      <c r="F12" s="8" t="str">
        <f ca="1"/>
        <v>GetThumb</v>
      </c>
      <c r="G12" s="8" t="str">
        <f ca="1"/>
        <v>GetThumb</v>
      </c>
      <c r="H12" s="7" t="str">
        <f ca="1"/>
        <v>GetThumb</v>
      </c>
      <c r="I12" s="7" t="str">
        <f ca="1"/>
        <v>GetThumb</v>
      </c>
      <c r="J12" s="7" t="str">
        <f ca="1"/>
        <v>GetThumb</v>
      </c>
      <c r="K12" s="7" t="str">
        <f ca="1"/>
        <v>GetThumb</v>
      </c>
      <c r="L12" s="7" t="str">
        <f ca="1"/>
        <v>GetThumb</v>
      </c>
      <c r="M12" s="7" t="str">
        <f ca="1"/>
        <v>GetThumb</v>
      </c>
      <c r="N12" s="7" t="str">
        <f ca="1"/>
        <v>GetThumb</v>
      </c>
      <c r="O12" s="7" t="str">
        <f ca="1"/>
        <v>GetThumb</v>
      </c>
      <c r="P12" s="7" t="str">
        <f ca="1"/>
        <v>GetThumb</v>
      </c>
      <c r="Q12" s="7" t="str">
        <f ca="1"/>
        <v>GetThumb</v>
      </c>
      <c r="T12" s="7" t="str">
        <f ca="1"/>
        <v>Z8</v>
      </c>
      <c r="U12" s="7" t="str">
        <f ca="1"/>
        <v>0x100A</v>
      </c>
      <c r="V12" s="7" t="str">
        <f ca="1"/>
        <v>GetThumb</v>
      </c>
      <c r="X12" s="8" t="s">
        <v>14</v>
      </c>
      <c r="Y12" s="8" t="s">
        <v>14</v>
      </c>
      <c r="Z12" s="8" t="s">
        <v>14</v>
      </c>
      <c r="AA12" s="8" t="s">
        <v>14</v>
      </c>
      <c r="AB12" s="7" t="s">
        <v>14</v>
      </c>
      <c r="AC12" s="7" t="s">
        <v>14</v>
      </c>
      <c r="AD12" s="7" t="s">
        <v>14</v>
      </c>
      <c r="AE12" s="7" t="s">
        <v>14</v>
      </c>
      <c r="AF12" s="7" t="s">
        <v>14</v>
      </c>
      <c r="AG12" s="7" t="s">
        <v>14</v>
      </c>
      <c r="AH12" s="7" t="s">
        <v>14</v>
      </c>
      <c r="AI12" s="7" t="s">
        <v>14</v>
      </c>
      <c r="AJ12" s="7" t="s">
        <v>14</v>
      </c>
      <c r="AK12" s="7" t="s">
        <v>14</v>
      </c>
    </row>
    <row r="13" spans="1:37" x14ac:dyDescent="0.25">
      <c r="A13" s="13" t="str">
        <f ca="1"/>
        <v>0x100B</v>
      </c>
      <c r="B13" s="14" t="str">
        <f ca="1"/>
        <v>DeleteObject</v>
      </c>
      <c r="D13" s="8" t="str">
        <f ca="1"/>
        <v>DeleteObject</v>
      </c>
      <c r="E13" s="8" t="str">
        <f ca="1"/>
        <v>DeleteObject</v>
      </c>
      <c r="F13" s="8" t="str">
        <f ca="1"/>
        <v>DeleteObject</v>
      </c>
      <c r="G13" s="8" t="str">
        <f ca="1"/>
        <v>DeleteObject</v>
      </c>
      <c r="H13" s="7" t="str">
        <f ca="1"/>
        <v>DeleteObject</v>
      </c>
      <c r="I13" s="7" t="str">
        <f ca="1"/>
        <v>DeleteObject</v>
      </c>
      <c r="J13" s="7" t="str">
        <f ca="1"/>
        <v>DeleteObject</v>
      </c>
      <c r="K13" s="7" t="str">
        <f ca="1"/>
        <v>DeleteObject</v>
      </c>
      <c r="L13" s="7" t="str">
        <f ca="1"/>
        <v>DeleteObject</v>
      </c>
      <c r="M13" s="7" t="str">
        <f ca="1"/>
        <v>DeleteObject</v>
      </c>
      <c r="N13" s="7" t="str">
        <f ca="1"/>
        <v>DeleteObject</v>
      </c>
      <c r="O13" s="7" t="str">
        <f ca="1"/>
        <v>DeleteObject</v>
      </c>
      <c r="P13" s="7" t="str">
        <f ca="1"/>
        <v>DeleteObject</v>
      </c>
      <c r="Q13" s="7" t="str">
        <f ca="1"/>
        <v>DeleteObject</v>
      </c>
      <c r="T13" s="7" t="str">
        <f ca="1"/>
        <v>Z8</v>
      </c>
      <c r="U13" s="7" t="str">
        <f ca="1"/>
        <v>0x100B</v>
      </c>
      <c r="V13" s="7" t="str">
        <f ca="1"/>
        <v>DeleteObject</v>
      </c>
      <c r="X13" s="8" t="s">
        <v>15</v>
      </c>
      <c r="Y13" s="8" t="s">
        <v>15</v>
      </c>
      <c r="Z13" s="8" t="s">
        <v>15</v>
      </c>
      <c r="AA13" s="8" t="s">
        <v>15</v>
      </c>
      <c r="AB13" s="7" t="s">
        <v>15</v>
      </c>
      <c r="AC13" s="7" t="s">
        <v>15</v>
      </c>
      <c r="AD13" s="7" t="s">
        <v>15</v>
      </c>
      <c r="AE13" s="7" t="s">
        <v>15</v>
      </c>
      <c r="AF13" s="7" t="s">
        <v>15</v>
      </c>
      <c r="AG13" s="7" t="s">
        <v>15</v>
      </c>
      <c r="AH13" s="7" t="s">
        <v>15</v>
      </c>
      <c r="AI13" s="7" t="s">
        <v>15</v>
      </c>
      <c r="AJ13" s="7" t="s">
        <v>15</v>
      </c>
      <c r="AK13" s="7" t="s">
        <v>15</v>
      </c>
    </row>
    <row r="14" spans="1:37" x14ac:dyDescent="0.25">
      <c r="A14" s="13" t="str">
        <f ca="1"/>
        <v>0x100C</v>
      </c>
      <c r="B14" s="14" t="str">
        <f ca="1"/>
        <v>SendObjectInfo</v>
      </c>
      <c r="D14" s="8" t="str">
        <f ca="1"/>
        <v>SendObjectInfo</v>
      </c>
      <c r="E14" s="8" t="str">
        <f ca="1"/>
        <v>SendObjectInfo</v>
      </c>
      <c r="F14" s="8" t="str">
        <f ca="1"/>
        <v>SendObjectInfo</v>
      </c>
      <c r="G14" s="8" t="str">
        <f ca="1"/>
        <v>SendObjectInfo</v>
      </c>
      <c r="H14" s="7" t="str">
        <f ca="1"/>
        <v>SendObjectInfo</v>
      </c>
      <c r="I14" s="7" t="str">
        <f ca="1"/>
        <v>SendObjectInfo</v>
      </c>
      <c r="J14" s="7" t="str">
        <f ca="1"/>
        <v>SendObjectInfo</v>
      </c>
      <c r="K14" s="7" t="str">
        <f ca="1"/>
        <v>SendObjectInfo</v>
      </c>
      <c r="L14" s="7" t="str">
        <f ca="1"/>
        <v>SendObjectInfo</v>
      </c>
      <c r="M14" s="7" t="str">
        <f ca="1"/>
        <v>SendObjectInfo</v>
      </c>
      <c r="N14" s="7" t="str">
        <f ca="1"/>
        <v>SendObjectInfo</v>
      </c>
      <c r="O14" s="7" t="str">
        <f ca="1"/>
        <v>SendObjectInfo</v>
      </c>
      <c r="P14" s="7" t="str">
        <f ca="1"/>
        <v>SendObjectInfo</v>
      </c>
      <c r="Q14" s="7" t="str">
        <f ca="1"/>
        <v>SendObjectInfo</v>
      </c>
      <c r="T14" s="7" t="str">
        <f ca="1"/>
        <v>Z8</v>
      </c>
      <c r="U14" s="7" t="str">
        <f ca="1"/>
        <v>0x100C</v>
      </c>
      <c r="V14" s="7" t="str">
        <f ca="1"/>
        <v>SendObjectInfo</v>
      </c>
      <c r="X14" s="8" t="s">
        <v>16</v>
      </c>
      <c r="Y14" s="8" t="s">
        <v>16</v>
      </c>
      <c r="Z14" s="8" t="s">
        <v>16</v>
      </c>
      <c r="AA14" s="8" t="s">
        <v>16</v>
      </c>
      <c r="AB14" s="7" t="s">
        <v>16</v>
      </c>
      <c r="AC14" s="7" t="s">
        <v>16</v>
      </c>
      <c r="AD14" s="7" t="s">
        <v>16</v>
      </c>
      <c r="AE14" s="7" t="s">
        <v>16</v>
      </c>
      <c r="AF14" s="7" t="s">
        <v>16</v>
      </c>
      <c r="AG14" s="7" t="s">
        <v>16</v>
      </c>
      <c r="AH14" s="7" t="s">
        <v>16</v>
      </c>
      <c r="AI14" s="7" t="s">
        <v>16</v>
      </c>
      <c r="AJ14" s="7" t="s">
        <v>16</v>
      </c>
      <c r="AK14" s="7" t="s">
        <v>16</v>
      </c>
    </row>
    <row r="15" spans="1:37" x14ac:dyDescent="0.25">
      <c r="A15" s="13" t="str">
        <f ca="1"/>
        <v>0x100D</v>
      </c>
      <c r="B15" s="14" t="str">
        <f ca="1"/>
        <v>SendObject</v>
      </c>
      <c r="D15" s="8" t="str">
        <f ca="1"/>
        <v>SendObject</v>
      </c>
      <c r="E15" s="8" t="str">
        <f ca="1"/>
        <v>SendObject</v>
      </c>
      <c r="F15" s="8" t="str">
        <f ca="1"/>
        <v>SendObject</v>
      </c>
      <c r="G15" s="8" t="str">
        <f ca="1"/>
        <v>SendObject</v>
      </c>
      <c r="H15" s="7" t="str">
        <f ca="1"/>
        <v>SendObject</v>
      </c>
      <c r="I15" s="7" t="str">
        <f ca="1"/>
        <v>SendObject</v>
      </c>
      <c r="J15" s="7" t="str">
        <f ca="1"/>
        <v>SendObject</v>
      </c>
      <c r="K15" s="7" t="str">
        <f ca="1"/>
        <v>SendObject</v>
      </c>
      <c r="L15" s="7" t="str">
        <f ca="1"/>
        <v>SendObject</v>
      </c>
      <c r="M15" s="7" t="str">
        <f ca="1"/>
        <v>SendObject</v>
      </c>
      <c r="N15" s="7" t="str">
        <f ca="1"/>
        <v>SendObject</v>
      </c>
      <c r="O15" s="7" t="str">
        <f ca="1"/>
        <v>SendObject</v>
      </c>
      <c r="P15" s="7" t="str">
        <f ca="1"/>
        <v>SendObject</v>
      </c>
      <c r="Q15" s="7" t="str">
        <f ca="1"/>
        <v>SendObject</v>
      </c>
      <c r="T15" s="7" t="str">
        <f ca="1"/>
        <v>Z8</v>
      </c>
      <c r="U15" s="7" t="str">
        <f ca="1"/>
        <v>0x100D</v>
      </c>
      <c r="V15" s="7" t="str">
        <f ca="1"/>
        <v>SendObject</v>
      </c>
      <c r="X15" s="8" t="s">
        <v>17</v>
      </c>
      <c r="Y15" s="8" t="s">
        <v>17</v>
      </c>
      <c r="Z15" s="8" t="s">
        <v>17</v>
      </c>
      <c r="AA15" s="8" t="s">
        <v>17</v>
      </c>
      <c r="AB15" s="7" t="s">
        <v>17</v>
      </c>
      <c r="AC15" s="7" t="s">
        <v>17</v>
      </c>
      <c r="AD15" s="7" t="s">
        <v>17</v>
      </c>
      <c r="AE15" s="7" t="s">
        <v>17</v>
      </c>
      <c r="AF15" s="7" t="s">
        <v>17</v>
      </c>
      <c r="AG15" s="7" t="s">
        <v>17</v>
      </c>
      <c r="AH15" s="7" t="s">
        <v>17</v>
      </c>
      <c r="AI15" s="7" t="s">
        <v>17</v>
      </c>
      <c r="AJ15" s="7" t="s">
        <v>17</v>
      </c>
      <c r="AK15" s="7" t="s">
        <v>17</v>
      </c>
    </row>
    <row r="16" spans="1:37" x14ac:dyDescent="0.25">
      <c r="A16" s="13" t="str">
        <f ca="1"/>
        <v>0x100E</v>
      </c>
      <c r="B16" s="14" t="str">
        <f ca="1"/>
        <v>InitiateCapture</v>
      </c>
      <c r="D16" s="8" t="str">
        <f ca="1"/>
        <v>InitiateCapture</v>
      </c>
      <c r="E16" s="8" t="str">
        <f ca="1"/>
        <v>InitiateCapture</v>
      </c>
      <c r="F16" s="8" t="str">
        <f ca="1"/>
        <v>InitiateCapture</v>
      </c>
      <c r="G16" s="8" t="str">
        <f ca="1"/>
        <v>InitiateCapture</v>
      </c>
      <c r="H16" s="7" t="str">
        <f ca="1"/>
        <v>InitiateCapture</v>
      </c>
      <c r="I16" s="7" t="str">
        <f ca="1"/>
        <v>InitiateCapture</v>
      </c>
      <c r="J16" s="7" t="str">
        <f ca="1"/>
        <v>InitiateCapture</v>
      </c>
      <c r="K16" s="7" t="str">
        <f ca="1"/>
        <v>InitiateCapture</v>
      </c>
      <c r="L16" s="7" t="str">
        <f ca="1"/>
        <v>InitiateCapture</v>
      </c>
      <c r="M16" s="7" t="str">
        <f ca="1"/>
        <v>InitiateCapture</v>
      </c>
      <c r="N16" s="7" t="str">
        <f ca="1"/>
        <v>InitiateCapture</v>
      </c>
      <c r="O16" s="7" t="str">
        <f ca="1"/>
        <v>InitiateCapture</v>
      </c>
      <c r="P16" s="7" t="str">
        <f ca="1"/>
        <v>InitiateCapture</v>
      </c>
      <c r="Q16" s="7" t="str">
        <f ca="1"/>
        <v>InitiateCapture</v>
      </c>
      <c r="T16" s="7" t="str">
        <f ca="1"/>
        <v>Z8</v>
      </c>
      <c r="U16" s="7" t="str">
        <f ca="1"/>
        <v>0x100E</v>
      </c>
      <c r="V16" s="7" t="str">
        <f ca="1"/>
        <v>InitiateCapture</v>
      </c>
      <c r="X16" s="8" t="s">
        <v>18</v>
      </c>
      <c r="Y16" s="8" t="s">
        <v>18</v>
      </c>
      <c r="Z16" s="8" t="s">
        <v>18</v>
      </c>
      <c r="AA16" s="8" t="s">
        <v>18</v>
      </c>
      <c r="AB16" s="7" t="s">
        <v>18</v>
      </c>
      <c r="AC16" s="7" t="s">
        <v>18</v>
      </c>
      <c r="AD16" s="7" t="s">
        <v>18</v>
      </c>
      <c r="AE16" s="7" t="s">
        <v>18</v>
      </c>
      <c r="AF16" s="7" t="s">
        <v>18</v>
      </c>
      <c r="AG16" s="7" t="s">
        <v>18</v>
      </c>
      <c r="AH16" s="7" t="s">
        <v>18</v>
      </c>
      <c r="AI16" s="7" t="s">
        <v>18</v>
      </c>
      <c r="AJ16" s="7" t="s">
        <v>18</v>
      </c>
      <c r="AK16" s="7" t="s">
        <v>18</v>
      </c>
    </row>
    <row r="17" spans="1:37" x14ac:dyDescent="0.25">
      <c r="A17" s="13" t="str">
        <f ca="1"/>
        <v>0x100F</v>
      </c>
      <c r="B17" s="14" t="str">
        <f ca="1"/>
        <v>FormatStore</v>
      </c>
      <c r="D17" s="8" t="str">
        <f ca="1"/>
        <v>FormatStore</v>
      </c>
      <c r="E17" s="8" t="str">
        <f ca="1"/>
        <v>FormatStore</v>
      </c>
      <c r="F17" s="8" t="str">
        <f ca="1"/>
        <v>FormatStore</v>
      </c>
      <c r="G17" s="8" t="str">
        <f ca="1"/>
        <v>FormatStore</v>
      </c>
      <c r="H17" s="7" t="str">
        <f ca="1"/>
        <v>FormatStore</v>
      </c>
      <c r="I17" s="7" t="str">
        <f ca="1"/>
        <v>FormatStore</v>
      </c>
      <c r="J17" s="7" t="str">
        <f ca="1"/>
        <v>FormatStore</v>
      </c>
      <c r="K17" s="7" t="str">
        <f ca="1"/>
        <v>FormatStore</v>
      </c>
      <c r="L17" s="7" t="str">
        <f ca="1"/>
        <v>FormatStore</v>
      </c>
      <c r="M17" s="7" t="str">
        <f ca="1"/>
        <v>FormatStore</v>
      </c>
      <c r="N17" s="7" t="str">
        <f ca="1"/>
        <v>FormatStore</v>
      </c>
      <c r="O17" s="7" t="str">
        <f ca="1"/>
        <v>FormatStore</v>
      </c>
      <c r="P17" s="7" t="str">
        <f ca="1"/>
        <v>FormatStore</v>
      </c>
      <c r="Q17" s="7" t="str">
        <f ca="1"/>
        <v>FormatStore</v>
      </c>
      <c r="T17" s="7" t="str">
        <f ca="1"/>
        <v>Z8</v>
      </c>
      <c r="U17" s="7" t="str">
        <f ca="1"/>
        <v>0x100F</v>
      </c>
      <c r="V17" s="7" t="str">
        <f ca="1"/>
        <v>FormatStore</v>
      </c>
      <c r="X17" s="8" t="s">
        <v>19</v>
      </c>
      <c r="Y17" s="8" t="s">
        <v>19</v>
      </c>
      <c r="Z17" s="8" t="s">
        <v>19</v>
      </c>
      <c r="AA17" s="8" t="s">
        <v>19</v>
      </c>
      <c r="AB17" s="7" t="s">
        <v>19</v>
      </c>
      <c r="AC17" s="7" t="s">
        <v>19</v>
      </c>
      <c r="AD17" s="7" t="s">
        <v>19</v>
      </c>
      <c r="AE17" s="7" t="s">
        <v>19</v>
      </c>
      <c r="AF17" s="7" t="s">
        <v>19</v>
      </c>
      <c r="AG17" s="7" t="s">
        <v>19</v>
      </c>
      <c r="AH17" s="7" t="s">
        <v>19</v>
      </c>
      <c r="AI17" s="7" t="s">
        <v>19</v>
      </c>
      <c r="AJ17" s="7" t="s">
        <v>19</v>
      </c>
      <c r="AK17" s="7" t="s">
        <v>19</v>
      </c>
    </row>
    <row r="18" spans="1:37" x14ac:dyDescent="0.25">
      <c r="A18" s="13" t="str">
        <f ca="1"/>
        <v>0x1012</v>
      </c>
      <c r="B18" s="14" t="str">
        <f ca="1"/>
        <v>SetObjectProtection</v>
      </c>
      <c r="D18" s="8" t="str">
        <f ca="1"/>
        <v/>
      </c>
      <c r="E18" s="8" t="str">
        <f ca="1"/>
        <v>SetObjectProtection</v>
      </c>
      <c r="F18" s="8" t="str">
        <f ca="1"/>
        <v/>
      </c>
      <c r="G18" s="8" t="str">
        <f ca="1"/>
        <v/>
      </c>
      <c r="H18" s="7" t="str">
        <f ca="1"/>
        <v/>
      </c>
      <c r="I18" s="7" t="str">
        <f ca="1"/>
        <v/>
      </c>
      <c r="J18" s="7" t="str">
        <f ca="1"/>
        <v/>
      </c>
      <c r="K18" s="7" t="str">
        <f ca="1"/>
        <v/>
      </c>
      <c r="L18" s="7" t="str">
        <f ca="1"/>
        <v/>
      </c>
      <c r="M18" s="7" t="str">
        <f ca="1"/>
        <v/>
      </c>
      <c r="N18" s="7" t="str">
        <f ca="1"/>
        <v/>
      </c>
      <c r="O18" s="7" t="str">
        <f ca="1"/>
        <v/>
      </c>
      <c r="P18" s="7" t="str">
        <f ca="1"/>
        <v/>
      </c>
      <c r="Q18" s="7" t="str">
        <f ca="1"/>
        <v/>
      </c>
      <c r="T18" s="7" t="str">
        <f ca="1"/>
        <v>Z8</v>
      </c>
      <c r="U18" s="7" t="str">
        <f ca="1"/>
        <v>0x1014</v>
      </c>
      <c r="V18" s="7" t="str">
        <f ca="1"/>
        <v>GetDevicePropDesc</v>
      </c>
      <c r="X18" s="8" t="s">
        <v>20</v>
      </c>
      <c r="Y18" s="8" t="s">
        <v>20</v>
      </c>
      <c r="Z18" s="8" t="s">
        <v>20</v>
      </c>
      <c r="AA18" s="8" t="s">
        <v>20</v>
      </c>
      <c r="AB18" s="7" t="s">
        <v>20</v>
      </c>
      <c r="AC18" s="7" t="s">
        <v>20</v>
      </c>
      <c r="AD18" s="7" t="s">
        <v>20</v>
      </c>
      <c r="AE18" s="7" t="s">
        <v>20</v>
      </c>
      <c r="AF18" s="7" t="s">
        <v>20</v>
      </c>
      <c r="AG18" s="7" t="s">
        <v>20</v>
      </c>
      <c r="AH18" s="7" t="s">
        <v>20</v>
      </c>
      <c r="AI18" s="7" t="s">
        <v>20</v>
      </c>
      <c r="AJ18" s="7" t="s">
        <v>20</v>
      </c>
      <c r="AK18" s="7" t="s">
        <v>20</v>
      </c>
    </row>
    <row r="19" spans="1:37" x14ac:dyDescent="0.25">
      <c r="A19" s="13" t="str">
        <f ca="1"/>
        <v>0x1014</v>
      </c>
      <c r="B19" s="14" t="str">
        <f ca="1"/>
        <v>GetDevicePropDesc</v>
      </c>
      <c r="D19" s="8" t="str">
        <f ca="1"/>
        <v>GetDevicePropDesc</v>
      </c>
      <c r="E19" s="8" t="str">
        <f ca="1"/>
        <v>GetDevicePropDesc</v>
      </c>
      <c r="F19" s="8" t="str">
        <f ca="1"/>
        <v>GetDevicePropDesc</v>
      </c>
      <c r="G19" s="8" t="str">
        <f ca="1"/>
        <v>GetDevicePropDesc</v>
      </c>
      <c r="H19" s="7" t="str">
        <f ca="1"/>
        <v>GetDevicePropDesc</v>
      </c>
      <c r="I19" s="7" t="str">
        <f ca="1"/>
        <v>GetDevicePropDesc</v>
      </c>
      <c r="J19" s="7" t="str">
        <f ca="1"/>
        <v>GetDevicePropDesc</v>
      </c>
      <c r="K19" s="7" t="str">
        <f ca="1"/>
        <v>GetDevicePropDesc</v>
      </c>
      <c r="L19" s="7" t="str">
        <f ca="1"/>
        <v>GetDevicePropDesc</v>
      </c>
      <c r="M19" s="7" t="str">
        <f ca="1"/>
        <v>GetDevicePropDesc</v>
      </c>
      <c r="N19" s="7" t="str">
        <f ca="1"/>
        <v>GetDevicePropDesc</v>
      </c>
      <c r="O19" s="7" t="str">
        <f ca="1"/>
        <v>GetDevicePropDesc</v>
      </c>
      <c r="P19" s="7" t="str">
        <f ca="1"/>
        <v>GetDevicePropDesc</v>
      </c>
      <c r="Q19" s="7" t="str">
        <f ca="1"/>
        <v>GetDevicePropDesc</v>
      </c>
      <c r="T19" s="7" t="str">
        <f ca="1"/>
        <v>Z8</v>
      </c>
      <c r="U19" s="7" t="str">
        <f ca="1"/>
        <v>0x1015</v>
      </c>
      <c r="V19" s="7" t="str">
        <f ca="1"/>
        <v>GetDevicePropValue</v>
      </c>
      <c r="X19" s="8" t="s">
        <v>21</v>
      </c>
      <c r="Y19" s="8" t="s">
        <v>21</v>
      </c>
      <c r="Z19" s="8" t="s">
        <v>21</v>
      </c>
      <c r="AA19" s="8" t="s">
        <v>21</v>
      </c>
      <c r="AB19" s="7" t="s">
        <v>21</v>
      </c>
      <c r="AC19" s="7" t="s">
        <v>21</v>
      </c>
      <c r="AD19" s="7" t="s">
        <v>21</v>
      </c>
      <c r="AE19" s="7" t="s">
        <v>21</v>
      </c>
      <c r="AF19" s="7" t="s">
        <v>21</v>
      </c>
      <c r="AG19" s="7" t="s">
        <v>21</v>
      </c>
      <c r="AH19" s="7" t="s">
        <v>21</v>
      </c>
      <c r="AI19" s="7" t="s">
        <v>21</v>
      </c>
      <c r="AJ19" s="7" t="s">
        <v>21</v>
      </c>
      <c r="AK19" s="7" t="s">
        <v>21</v>
      </c>
    </row>
    <row r="20" spans="1:37" x14ac:dyDescent="0.25">
      <c r="A20" s="13" t="str">
        <f ca="1"/>
        <v>0x1015</v>
      </c>
      <c r="B20" s="14" t="str">
        <f ca="1"/>
        <v>GetDevicePropValue</v>
      </c>
      <c r="D20" s="8" t="str">
        <f ca="1"/>
        <v>GetDevicePropValue</v>
      </c>
      <c r="E20" s="8" t="str">
        <f ca="1"/>
        <v>GetDevicePropValue</v>
      </c>
      <c r="F20" s="8" t="str">
        <f ca="1"/>
        <v>GetDevicePropValue</v>
      </c>
      <c r="G20" s="8" t="str">
        <f ca="1"/>
        <v>GetDevicePropValue</v>
      </c>
      <c r="H20" s="7" t="str">
        <f ca="1"/>
        <v>GetDevicePropValue</v>
      </c>
      <c r="I20" s="7" t="str">
        <f ca="1"/>
        <v>GetDevicePropValue</v>
      </c>
      <c r="J20" s="7" t="str">
        <f ca="1"/>
        <v>GetDevicePropValue</v>
      </c>
      <c r="K20" s="7" t="str">
        <f ca="1"/>
        <v>GetDevicePropValue</v>
      </c>
      <c r="L20" s="7" t="str">
        <f ca="1"/>
        <v>GetDevicePropValue</v>
      </c>
      <c r="M20" s="7" t="str">
        <f ca="1"/>
        <v>GetDevicePropValue</v>
      </c>
      <c r="N20" s="7" t="str">
        <f ca="1"/>
        <v>GetDevicePropValue</v>
      </c>
      <c r="O20" s="7" t="str">
        <f ca="1"/>
        <v>GetDevicePropValue</v>
      </c>
      <c r="P20" s="7" t="str">
        <f ca="1"/>
        <v>GetDevicePropValue</v>
      </c>
      <c r="Q20" s="7" t="str">
        <f ca="1"/>
        <v>GetDevicePropValue</v>
      </c>
      <c r="T20" s="7" t="str">
        <f ca="1"/>
        <v>Z8</v>
      </c>
      <c r="U20" s="7" t="str">
        <f ca="1"/>
        <v>0x1016</v>
      </c>
      <c r="V20" s="7" t="str">
        <f ca="1"/>
        <v>SetDevicePropValue</v>
      </c>
      <c r="X20" s="8" t="s">
        <v>22</v>
      </c>
      <c r="Y20" s="8" t="s">
        <v>22</v>
      </c>
      <c r="Z20" s="8" t="s">
        <v>22</v>
      </c>
      <c r="AA20" s="8" t="s">
        <v>22</v>
      </c>
      <c r="AB20" s="7" t="s">
        <v>22</v>
      </c>
      <c r="AC20" s="7" t="s">
        <v>22</v>
      </c>
      <c r="AD20" s="7" t="s">
        <v>22</v>
      </c>
      <c r="AE20" s="7" t="s">
        <v>22</v>
      </c>
      <c r="AF20" s="7" t="s">
        <v>22</v>
      </c>
      <c r="AG20" s="7" t="s">
        <v>22</v>
      </c>
      <c r="AH20" s="7" t="s">
        <v>22</v>
      </c>
      <c r="AI20" s="7" t="s">
        <v>22</v>
      </c>
      <c r="AJ20" s="7" t="s">
        <v>22</v>
      </c>
      <c r="AK20" s="7" t="s">
        <v>22</v>
      </c>
    </row>
    <row r="21" spans="1:37" x14ac:dyDescent="0.25">
      <c r="A21" s="13" t="str">
        <f ca="1"/>
        <v>0x1016</v>
      </c>
      <c r="B21" s="14" t="str">
        <f ca="1"/>
        <v>SetDevicePropValue</v>
      </c>
      <c r="D21" s="8" t="str">
        <f ca="1"/>
        <v>SetDevicePropValue</v>
      </c>
      <c r="E21" s="8" t="str">
        <f ca="1"/>
        <v>SetDevicePropValue</v>
      </c>
      <c r="F21" s="8" t="str">
        <f ca="1"/>
        <v>SetDevicePropValue</v>
      </c>
      <c r="G21" s="8" t="str">
        <f ca="1"/>
        <v>SetDevicePropValue</v>
      </c>
      <c r="H21" s="7" t="str">
        <f ca="1"/>
        <v>SetDevicePropValue</v>
      </c>
      <c r="I21" s="7" t="str">
        <f ca="1"/>
        <v>SetDevicePropValue</v>
      </c>
      <c r="J21" s="7" t="str">
        <f ca="1"/>
        <v>SetDevicePropValue</v>
      </c>
      <c r="K21" s="7" t="str">
        <f ca="1"/>
        <v>SetDevicePropValue</v>
      </c>
      <c r="L21" s="7" t="str">
        <f ca="1"/>
        <v>SetDevicePropValue</v>
      </c>
      <c r="M21" s="7" t="str">
        <f ca="1"/>
        <v>SetDevicePropValue</v>
      </c>
      <c r="N21" s="7" t="str">
        <f ca="1"/>
        <v>SetDevicePropValue</v>
      </c>
      <c r="O21" s="7" t="str">
        <f ca="1"/>
        <v>SetDevicePropValue</v>
      </c>
      <c r="P21" s="7" t="str">
        <f ca="1"/>
        <v>SetDevicePropValue</v>
      </c>
      <c r="Q21" s="7" t="str">
        <f ca="1"/>
        <v>SetDevicePropValue</v>
      </c>
      <c r="T21" s="7" t="str">
        <f ca="1"/>
        <v>Z8</v>
      </c>
      <c r="U21" s="7" t="str">
        <f ca="1"/>
        <v>0x101B</v>
      </c>
      <c r="V21" s="7" t="str">
        <f ca="1"/>
        <v>GetPartialObject</v>
      </c>
      <c r="X21" s="8" t="s">
        <v>23</v>
      </c>
      <c r="Y21" s="8" t="s">
        <v>23</v>
      </c>
      <c r="Z21" s="8" t="s">
        <v>23</v>
      </c>
      <c r="AA21" s="8" t="s">
        <v>23</v>
      </c>
      <c r="AB21" s="7" t="s">
        <v>23</v>
      </c>
      <c r="AC21" s="7" t="s">
        <v>23</v>
      </c>
      <c r="AD21" s="7" t="s">
        <v>23</v>
      </c>
      <c r="AE21" s="7" t="s">
        <v>23</v>
      </c>
      <c r="AF21" s="7" t="s">
        <v>23</v>
      </c>
      <c r="AG21" s="7" t="s">
        <v>23</v>
      </c>
      <c r="AH21" s="7" t="s">
        <v>23</v>
      </c>
      <c r="AI21" s="7" t="s">
        <v>23</v>
      </c>
      <c r="AJ21" s="7" t="s">
        <v>23</v>
      </c>
      <c r="AK21" s="7" t="s">
        <v>23</v>
      </c>
    </row>
    <row r="22" spans="1:37" x14ac:dyDescent="0.25">
      <c r="A22" s="13" t="str">
        <f ca="1"/>
        <v>0x101B</v>
      </c>
      <c r="B22" s="14" t="str">
        <f ca="1"/>
        <v>GetPartialObject</v>
      </c>
      <c r="D22" s="8" t="str">
        <f ca="1"/>
        <v>GetPartialObject</v>
      </c>
      <c r="E22" s="8" t="str">
        <f ca="1"/>
        <v>GetPartialObject</v>
      </c>
      <c r="F22" s="8" t="str">
        <f ca="1"/>
        <v>GetPartialObject</v>
      </c>
      <c r="G22" s="8" t="str">
        <f ca="1"/>
        <v>GetPartialObject</v>
      </c>
      <c r="H22" s="7" t="str">
        <f ca="1"/>
        <v>GetPartialObject</v>
      </c>
      <c r="I22" s="7" t="str">
        <f ca="1"/>
        <v>GetPartialObject</v>
      </c>
      <c r="J22" s="7" t="str">
        <f ca="1"/>
        <v>GetPartialObject</v>
      </c>
      <c r="K22" s="7" t="str">
        <f ca="1"/>
        <v>GetPartialObject</v>
      </c>
      <c r="L22" s="7" t="str">
        <f ca="1"/>
        <v>GetPartialObject</v>
      </c>
      <c r="M22" s="7" t="str">
        <f ca="1"/>
        <v>GetPartialObject</v>
      </c>
      <c r="N22" s="7" t="str">
        <f ca="1"/>
        <v>GetPartialObject</v>
      </c>
      <c r="O22" s="7" t="str">
        <f ca="1"/>
        <v>GetPartialObject</v>
      </c>
      <c r="P22" s="7" t="str">
        <f ca="1"/>
        <v>GetPartialObject</v>
      </c>
      <c r="Q22" s="7" t="str">
        <f ca="1"/>
        <v>GetPartialObject</v>
      </c>
      <c r="T22" s="7" t="str">
        <f ca="1"/>
        <v>Z8</v>
      </c>
      <c r="U22" s="7" t="str">
        <f ca="1"/>
        <v>0x90C0</v>
      </c>
      <c r="V22" s="7" t="str">
        <f ca="1"/>
        <v>InitiateCaptureRecInSdram</v>
      </c>
      <c r="X22" s="8" t="s">
        <v>24</v>
      </c>
      <c r="Y22" s="8" t="s">
        <v>24</v>
      </c>
      <c r="Z22" s="8" t="s">
        <v>24</v>
      </c>
      <c r="AA22" s="8" t="s">
        <v>24</v>
      </c>
      <c r="AB22" s="7" t="s">
        <v>24</v>
      </c>
      <c r="AC22" s="7" t="s">
        <v>24</v>
      </c>
      <c r="AD22" s="7" t="s">
        <v>24</v>
      </c>
      <c r="AE22" s="7" t="s">
        <v>24</v>
      </c>
      <c r="AF22" s="7" t="s">
        <v>24</v>
      </c>
      <c r="AG22" s="7" t="s">
        <v>24</v>
      </c>
      <c r="AH22" s="7" t="s">
        <v>24</v>
      </c>
      <c r="AI22" s="7" t="s">
        <v>24</v>
      </c>
      <c r="AJ22" s="7" t="s">
        <v>24</v>
      </c>
      <c r="AK22" s="7" t="s">
        <v>24</v>
      </c>
    </row>
    <row r="23" spans="1:37" x14ac:dyDescent="0.25">
      <c r="A23" s="13" t="str">
        <f ca="1"/>
        <v>0x90C0</v>
      </c>
      <c r="B23" s="14" t="str">
        <f ca="1"/>
        <v>InitiateCaptureRecInSdram</v>
      </c>
      <c r="D23" s="8" t="str">
        <f ca="1"/>
        <v>InitiateCaptureRecInSdram</v>
      </c>
      <c r="E23" s="8" t="str">
        <f ca="1"/>
        <v>InitiateCaptureRecInSdram</v>
      </c>
      <c r="F23" s="8" t="str">
        <f ca="1"/>
        <v>InitiateCaptureRecInSdram</v>
      </c>
      <c r="G23" s="8" t="str">
        <f ca="1"/>
        <v>InitiateCaptureRecInSdram</v>
      </c>
      <c r="H23" s="7" t="str">
        <f ca="1"/>
        <v>InitiateCaptureRecInSdram</v>
      </c>
      <c r="I23" s="7" t="str">
        <f ca="1"/>
        <v>InitiateCaptureRecInSdram</v>
      </c>
      <c r="J23" s="7" t="str">
        <f ca="1"/>
        <v>InitiateCaptureRecInSdram</v>
      </c>
      <c r="K23" s="7" t="str">
        <f ca="1"/>
        <v>InitiateCaptureRecInSdram</v>
      </c>
      <c r="L23" s="7" t="str">
        <f ca="1"/>
        <v>InitiateCaptureRecInSdram</v>
      </c>
      <c r="M23" s="7" t="str">
        <f ca="1"/>
        <v>InitiateCaptureRecInSdram</v>
      </c>
      <c r="N23" s="7" t="str">
        <f ca="1"/>
        <v>InitiateCaptureRecInSdram</v>
      </c>
      <c r="O23" s="7" t="str">
        <f ca="1"/>
        <v>InitiateCaptureRecInSdram</v>
      </c>
      <c r="P23" s="7" t="str">
        <f ca="1"/>
        <v>InitiateCaptureRecInSdram</v>
      </c>
      <c r="Q23" s="7" t="str">
        <f ca="1"/>
        <v>InitiateCaptureRecInSdram</v>
      </c>
      <c r="T23" s="7" t="str">
        <f ca="1"/>
        <v>Z8</v>
      </c>
      <c r="U23" s="7" t="str">
        <f ca="1"/>
        <v>0x90C1</v>
      </c>
      <c r="V23" s="7" t="str">
        <f ca="1"/>
        <v>AfDrive</v>
      </c>
      <c r="X23" s="8" t="s">
        <v>25</v>
      </c>
      <c r="Y23" s="8" t="s">
        <v>25</v>
      </c>
      <c r="Z23" s="8" t="s">
        <v>25</v>
      </c>
      <c r="AA23" s="8" t="s">
        <v>25</v>
      </c>
      <c r="AB23" s="7" t="s">
        <v>25</v>
      </c>
      <c r="AC23" s="7" t="s">
        <v>25</v>
      </c>
      <c r="AD23" s="7" t="s">
        <v>25</v>
      </c>
      <c r="AE23" s="7" t="s">
        <v>25</v>
      </c>
      <c r="AF23" s="7" t="s">
        <v>25</v>
      </c>
      <c r="AG23" s="7" t="s">
        <v>25</v>
      </c>
      <c r="AH23" s="7" t="s">
        <v>25</v>
      </c>
      <c r="AI23" s="7" t="s">
        <v>25</v>
      </c>
      <c r="AJ23" s="7" t="s">
        <v>25</v>
      </c>
      <c r="AK23" s="7" t="s">
        <v>25</v>
      </c>
    </row>
    <row r="24" spans="1:37" x14ac:dyDescent="0.25">
      <c r="A24" s="13" t="str">
        <f ca="1"/>
        <v>0x90C1</v>
      </c>
      <c r="B24" s="14" t="str">
        <f ca="1"/>
        <v>AfDrive</v>
      </c>
      <c r="D24" s="8" t="str">
        <f ca="1"/>
        <v>AfDrive</v>
      </c>
      <c r="E24" s="8" t="str">
        <f ca="1"/>
        <v>AfDrive</v>
      </c>
      <c r="F24" s="8" t="str">
        <f ca="1"/>
        <v>AfDrive</v>
      </c>
      <c r="G24" s="8" t="str">
        <f ca="1"/>
        <v>AfDrive</v>
      </c>
      <c r="H24" s="7" t="str">
        <f ca="1"/>
        <v>AfDrive</v>
      </c>
      <c r="I24" s="7" t="str">
        <f ca="1"/>
        <v>AfDrive</v>
      </c>
      <c r="J24" s="7" t="str">
        <f ca="1"/>
        <v>AfDrive</v>
      </c>
      <c r="K24" s="7" t="str">
        <f ca="1"/>
        <v>AfDrive</v>
      </c>
      <c r="L24" s="7" t="str">
        <f ca="1"/>
        <v>AfDrive</v>
      </c>
      <c r="M24" s="7" t="str">
        <f ca="1"/>
        <v>AfDrive</v>
      </c>
      <c r="N24" s="7" t="str">
        <f ca="1"/>
        <v>AfDrive</v>
      </c>
      <c r="O24" s="7" t="str">
        <f ca="1"/>
        <v>AfDrive</v>
      </c>
      <c r="P24" s="7" t="str">
        <f ca="1"/>
        <v>AfDrive</v>
      </c>
      <c r="Q24" s="7" t="str">
        <f ca="1"/>
        <v>AfDrive</v>
      </c>
      <c r="T24" s="7" t="str">
        <f ca="1"/>
        <v>Z8</v>
      </c>
      <c r="U24" s="7" t="str">
        <f ca="1"/>
        <v>0x90C2</v>
      </c>
      <c r="V24" s="7" t="str">
        <f ca="1"/>
        <v>ChangeCameraMode</v>
      </c>
      <c r="X24" s="8" t="s">
        <v>26</v>
      </c>
      <c r="Y24" s="8" t="s">
        <v>26</v>
      </c>
      <c r="Z24" s="8" t="s">
        <v>26</v>
      </c>
      <c r="AA24" s="8" t="s">
        <v>26</v>
      </c>
      <c r="AB24" s="7" t="s">
        <v>26</v>
      </c>
      <c r="AC24" s="7" t="s">
        <v>26</v>
      </c>
      <c r="AD24" s="7" t="s">
        <v>26</v>
      </c>
      <c r="AE24" s="7" t="s">
        <v>26</v>
      </c>
      <c r="AF24" s="7" t="s">
        <v>26</v>
      </c>
      <c r="AG24" s="7" t="s">
        <v>26</v>
      </c>
      <c r="AH24" s="7" t="s">
        <v>26</v>
      </c>
      <c r="AI24" s="7" t="s">
        <v>26</v>
      </c>
      <c r="AJ24" s="7" t="s">
        <v>26</v>
      </c>
      <c r="AK24" s="7" t="s">
        <v>26</v>
      </c>
    </row>
    <row r="25" spans="1:37" x14ac:dyDescent="0.25">
      <c r="A25" s="13" t="str">
        <f ca="1"/>
        <v>0x90C2</v>
      </c>
      <c r="B25" s="14" t="str">
        <f ca="1"/>
        <v>ChangeCameraMode</v>
      </c>
      <c r="D25" s="8" t="str">
        <f ca="1"/>
        <v>ChangeCameraMode</v>
      </c>
      <c r="E25" s="8" t="str">
        <f ca="1"/>
        <v>ChangeCameraMode</v>
      </c>
      <c r="F25" s="8" t="str">
        <f ca="1"/>
        <v>ChangeCameraMode</v>
      </c>
      <c r="G25" s="8" t="str">
        <f ca="1"/>
        <v>ChangeCameraMode</v>
      </c>
      <c r="H25" s="7" t="str">
        <f ca="1"/>
        <v>ChangeCameraMode</v>
      </c>
      <c r="I25" s="7" t="str">
        <f ca="1"/>
        <v>ChangeCameraMode</v>
      </c>
      <c r="J25" s="7" t="str">
        <f ca="1"/>
        <v>ChangeCameraMode</v>
      </c>
      <c r="K25" s="7" t="str">
        <f ca="1"/>
        <v>ChangeCameraMode</v>
      </c>
      <c r="L25" s="7" t="str">
        <f ca="1"/>
        <v>ChangeCameraMode</v>
      </c>
      <c r="M25" s="7" t="str">
        <f ca="1"/>
        <v>ChangeCameraMode</v>
      </c>
      <c r="N25" s="7" t="str">
        <f ca="1"/>
        <v>ChangeCameraMode</v>
      </c>
      <c r="O25" s="7" t="str">
        <f ca="1"/>
        <v>ChangeCameraMode</v>
      </c>
      <c r="P25" s="7" t="str">
        <f ca="1"/>
        <v>ChangeCameraMode</v>
      </c>
      <c r="Q25" s="7" t="str">
        <f ca="1"/>
        <v>ChangeCameraMode</v>
      </c>
      <c r="T25" s="7" t="str">
        <f ca="1"/>
        <v>Z8</v>
      </c>
      <c r="U25" s="7" t="str">
        <f ca="1"/>
        <v>0x90C3</v>
      </c>
      <c r="V25" s="7" t="str">
        <f ca="1"/>
        <v>DeleteImagesInSdram</v>
      </c>
      <c r="X25" s="8" t="s">
        <v>27</v>
      </c>
      <c r="Y25" s="8" t="s">
        <v>27</v>
      </c>
      <c r="Z25" s="8" t="s">
        <v>27</v>
      </c>
      <c r="AA25" s="8" t="s">
        <v>27</v>
      </c>
      <c r="AB25" s="7" t="s">
        <v>27</v>
      </c>
      <c r="AC25" s="7" t="s">
        <v>27</v>
      </c>
      <c r="AD25" s="7" t="s">
        <v>27</v>
      </c>
      <c r="AE25" s="7" t="s">
        <v>27</v>
      </c>
      <c r="AF25" s="7" t="s">
        <v>27</v>
      </c>
      <c r="AG25" s="7" t="s">
        <v>27</v>
      </c>
      <c r="AH25" s="7" t="s">
        <v>27</v>
      </c>
      <c r="AI25" s="7" t="s">
        <v>27</v>
      </c>
      <c r="AJ25" s="7" t="s">
        <v>27</v>
      </c>
      <c r="AK25" s="7" t="s">
        <v>27</v>
      </c>
    </row>
    <row r="26" spans="1:37" x14ac:dyDescent="0.25">
      <c r="A26" s="13" t="str">
        <f ca="1"/>
        <v>0x90C3</v>
      </c>
      <c r="B26" s="14" t="str">
        <f ca="1"/>
        <v>DeleteImagesInSdram</v>
      </c>
      <c r="D26" s="8" t="str">
        <f ca="1"/>
        <v>DeleteImagesInSdram</v>
      </c>
      <c r="E26" s="8" t="str">
        <f ca="1"/>
        <v>DeleteImagesInSdram</v>
      </c>
      <c r="F26" s="8" t="str">
        <f ca="1"/>
        <v>DeleteImagesInSdram</v>
      </c>
      <c r="G26" s="8" t="str">
        <f ca="1"/>
        <v>DeleteImagesInSdram</v>
      </c>
      <c r="H26" s="7" t="str">
        <f ca="1"/>
        <v>DeleteImagesInSdram</v>
      </c>
      <c r="I26" s="7" t="str">
        <f ca="1"/>
        <v>DeleteImagesInSdram</v>
      </c>
      <c r="J26" s="7" t="str">
        <f ca="1"/>
        <v>DeleteImagesInSdram</v>
      </c>
      <c r="K26" s="7" t="str">
        <f ca="1"/>
        <v>DeleteImagesInSdram</v>
      </c>
      <c r="L26" s="7" t="str">
        <f ca="1"/>
        <v>DeleteImagesInSdram</v>
      </c>
      <c r="M26" s="7" t="str">
        <f ca="1"/>
        <v>DeleteImagesInSdram</v>
      </c>
      <c r="N26" s="7" t="str">
        <f ca="1"/>
        <v>DeleteImagesInSdram</v>
      </c>
      <c r="O26" s="7" t="str">
        <f ca="1"/>
        <v>DeleteImagesInSdram</v>
      </c>
      <c r="P26" s="7" t="str">
        <f ca="1"/>
        <v>DeleteImagesInSdram</v>
      </c>
      <c r="Q26" s="7" t="str">
        <f ca="1"/>
        <v>DeleteImagesInSdram</v>
      </c>
      <c r="T26" s="7" t="str">
        <f ca="1"/>
        <v>Z8</v>
      </c>
      <c r="U26" s="7" t="str">
        <f ca="1"/>
        <v>0x90C4</v>
      </c>
      <c r="V26" s="7" t="str">
        <f ca="1"/>
        <v>GetLargeThumb</v>
      </c>
      <c r="X26" s="8" t="s">
        <v>28</v>
      </c>
      <c r="Y26" s="8" t="s">
        <v>28</v>
      </c>
      <c r="Z26" s="8" t="s">
        <v>28</v>
      </c>
      <c r="AA26" s="8" t="s">
        <v>28</v>
      </c>
      <c r="AB26" s="7" t="s">
        <v>28</v>
      </c>
      <c r="AC26" s="7" t="s">
        <v>28</v>
      </c>
      <c r="AD26" s="7" t="s">
        <v>28</v>
      </c>
      <c r="AE26" s="7" t="s">
        <v>28</v>
      </c>
      <c r="AF26" s="7" t="s">
        <v>28</v>
      </c>
      <c r="AG26" s="7" t="s">
        <v>28</v>
      </c>
      <c r="AH26" s="7" t="s">
        <v>28</v>
      </c>
      <c r="AI26" s="7" t="s">
        <v>28</v>
      </c>
      <c r="AJ26" s="7" t="s">
        <v>28</v>
      </c>
      <c r="AK26" s="7" t="s">
        <v>28</v>
      </c>
    </row>
    <row r="27" spans="1:37" x14ac:dyDescent="0.25">
      <c r="A27" s="13" t="str">
        <f ca="1"/>
        <v>0x90C4</v>
      </c>
      <c r="B27" s="14" t="str">
        <f ca="1"/>
        <v>GetLargeThumb</v>
      </c>
      <c r="D27" s="8" t="str">
        <f ca="1"/>
        <v>GetLargeThumb</v>
      </c>
      <c r="E27" s="8" t="str">
        <f ca="1"/>
        <v>GetLargeThumb</v>
      </c>
      <c r="F27" s="8" t="str">
        <f ca="1"/>
        <v>GetLargeThumb</v>
      </c>
      <c r="G27" s="8" t="str">
        <f ca="1"/>
        <v>GetLargeThumb</v>
      </c>
      <c r="H27" s="7" t="str">
        <f ca="1"/>
        <v>GetLargeThumb</v>
      </c>
      <c r="I27" s="7" t="str">
        <f ca="1"/>
        <v>GetLargeThumb</v>
      </c>
      <c r="J27" s="7" t="str">
        <f ca="1"/>
        <v>GetLargeThumb</v>
      </c>
      <c r="K27" s="7" t="str">
        <f ca="1"/>
        <v>GetLargeThumb</v>
      </c>
      <c r="L27" s="7" t="str">
        <f ca="1"/>
        <v>GetLargeThumb</v>
      </c>
      <c r="M27" s="7" t="str">
        <f ca="1"/>
        <v>GetLargeThumb</v>
      </c>
      <c r="N27" s="7" t="str">
        <f ca="1"/>
        <v>GetLargeThumb</v>
      </c>
      <c r="O27" s="7" t="str">
        <f ca="1"/>
        <v>GetLargeThumb</v>
      </c>
      <c r="P27" s="7" t="str">
        <f ca="1"/>
        <v>GetLargeThumb</v>
      </c>
      <c r="Q27" s="7" t="str">
        <f ca="1"/>
        <v>GetLargeThumb</v>
      </c>
      <c r="T27" s="7" t="str">
        <f ca="1"/>
        <v>Z8</v>
      </c>
      <c r="U27" s="7" t="str">
        <f ca="1"/>
        <v>0x90C7</v>
      </c>
      <c r="V27" s="7" t="str">
        <f ca="1"/>
        <v>GetEvent</v>
      </c>
      <c r="X27" s="8" t="s">
        <v>29</v>
      </c>
      <c r="Y27" s="8" t="s">
        <v>29</v>
      </c>
      <c r="Z27" s="8" t="s">
        <v>29</v>
      </c>
      <c r="AA27" s="8" t="s">
        <v>29</v>
      </c>
      <c r="AB27" s="7" t="s">
        <v>29</v>
      </c>
      <c r="AC27" s="7" t="s">
        <v>29</v>
      </c>
      <c r="AD27" s="7" t="s">
        <v>29</v>
      </c>
      <c r="AE27" s="7" t="s">
        <v>29</v>
      </c>
      <c r="AF27" s="7" t="s">
        <v>29</v>
      </c>
      <c r="AG27" s="7" t="s">
        <v>29</v>
      </c>
      <c r="AH27" s="7" t="s">
        <v>29</v>
      </c>
      <c r="AI27" s="7" t="s">
        <v>29</v>
      </c>
      <c r="AJ27" s="7" t="s">
        <v>29</v>
      </c>
      <c r="AK27" s="7" t="s">
        <v>29</v>
      </c>
    </row>
    <row r="28" spans="1:37" x14ac:dyDescent="0.25">
      <c r="A28" s="13" t="str">
        <f ca="1"/>
        <v>0x90C7</v>
      </c>
      <c r="B28" s="14" t="str">
        <f ca="1"/>
        <v>GetEvent</v>
      </c>
      <c r="D28" s="8" t="str">
        <f ca="1"/>
        <v>GetEvent</v>
      </c>
      <c r="E28" s="8" t="str">
        <f ca="1"/>
        <v>GetEvent</v>
      </c>
      <c r="F28" s="8" t="str">
        <f ca="1"/>
        <v>GetEvent</v>
      </c>
      <c r="G28" s="8" t="str">
        <f ca="1"/>
        <v>GetEvent</v>
      </c>
      <c r="H28" s="7" t="str">
        <f ca="1"/>
        <v>GetEvent</v>
      </c>
      <c r="I28" s="7" t="str">
        <f ca="1"/>
        <v>GetEvent</v>
      </c>
      <c r="J28" s="7" t="str">
        <f ca="1"/>
        <v>GetEvent</v>
      </c>
      <c r="K28" s="7" t="str">
        <f ca="1"/>
        <v>GetEvent</v>
      </c>
      <c r="L28" s="7" t="str">
        <f ca="1"/>
        <v>GetEvent</v>
      </c>
      <c r="M28" s="7" t="str">
        <f ca="1"/>
        <v>GetEvent</v>
      </c>
      <c r="N28" s="7" t="str">
        <f ca="1"/>
        <v>GetEvent</v>
      </c>
      <c r="O28" s="7" t="str">
        <f ca="1"/>
        <v>GetEvent</v>
      </c>
      <c r="P28" s="7" t="str">
        <f ca="1"/>
        <v>GetEvent</v>
      </c>
      <c r="Q28" s="7" t="str">
        <f ca="1"/>
        <v>GetEvent</v>
      </c>
      <c r="T28" s="7" t="str">
        <f ca="1"/>
        <v>Z8</v>
      </c>
      <c r="U28" s="7" t="str">
        <f ca="1"/>
        <v>0x90C8</v>
      </c>
      <c r="V28" s="7" t="str">
        <f ca="1"/>
        <v>DeviceReady</v>
      </c>
      <c r="X28" s="8" t="s">
        <v>30</v>
      </c>
      <c r="Y28" s="8" t="s">
        <v>30</v>
      </c>
      <c r="Z28" s="8" t="s">
        <v>30</v>
      </c>
      <c r="AA28" s="8" t="s">
        <v>30</v>
      </c>
      <c r="AB28" s="7" t="s">
        <v>30</v>
      </c>
      <c r="AC28" s="7" t="s">
        <v>30</v>
      </c>
      <c r="AD28" s="7" t="s">
        <v>30</v>
      </c>
      <c r="AE28" s="7" t="s">
        <v>30</v>
      </c>
      <c r="AF28" s="7" t="s">
        <v>30</v>
      </c>
      <c r="AG28" s="7" t="s">
        <v>30</v>
      </c>
      <c r="AH28" s="7" t="s">
        <v>30</v>
      </c>
      <c r="AI28" s="7" t="s">
        <v>30</v>
      </c>
      <c r="AJ28" s="7" t="s">
        <v>30</v>
      </c>
      <c r="AK28" s="7" t="s">
        <v>30</v>
      </c>
    </row>
    <row r="29" spans="1:37" x14ac:dyDescent="0.25">
      <c r="A29" s="13" t="str">
        <f ca="1"/>
        <v>0x90C8</v>
      </c>
      <c r="B29" s="14" t="str">
        <f ca="1"/>
        <v>DeviceReady</v>
      </c>
      <c r="D29" s="8" t="str">
        <f ca="1"/>
        <v>DeviceReady</v>
      </c>
      <c r="E29" s="8" t="str">
        <f ca="1"/>
        <v>DeviceReady</v>
      </c>
      <c r="F29" s="8" t="str">
        <f ca="1"/>
        <v>DeviceReady</v>
      </c>
      <c r="G29" s="8" t="str">
        <f ca="1"/>
        <v>DeviceReady</v>
      </c>
      <c r="H29" s="7" t="str">
        <f ca="1"/>
        <v>DeviceReady</v>
      </c>
      <c r="I29" s="7" t="str">
        <f ca="1"/>
        <v>DeviceReady</v>
      </c>
      <c r="J29" s="7" t="str">
        <f ca="1"/>
        <v>DeviceReady</v>
      </c>
      <c r="K29" s="7" t="str">
        <f ca="1"/>
        <v>DeviceReady</v>
      </c>
      <c r="L29" s="7" t="str">
        <f ca="1"/>
        <v>DeviceReady</v>
      </c>
      <c r="M29" s="7" t="str">
        <f ca="1"/>
        <v>DeviceReady</v>
      </c>
      <c r="N29" s="7" t="str">
        <f ca="1"/>
        <v>DeviceReady</v>
      </c>
      <c r="O29" s="7" t="str">
        <f ca="1"/>
        <v>DeviceReady</v>
      </c>
      <c r="P29" s="7" t="str">
        <f ca="1"/>
        <v>DeviceReady</v>
      </c>
      <c r="Q29" s="7" t="str">
        <f ca="1"/>
        <v>DeviceReady</v>
      </c>
      <c r="T29" s="7" t="str">
        <f ca="1"/>
        <v>Z8</v>
      </c>
      <c r="U29" s="7" t="str">
        <f ca="1"/>
        <v>0x90C9</v>
      </c>
      <c r="V29" s="7" t="str">
        <f ca="1"/>
        <v>SetPreWbData</v>
      </c>
      <c r="X29" s="8" t="s">
        <v>31</v>
      </c>
      <c r="Y29" s="8" t="s">
        <v>31</v>
      </c>
      <c r="Z29" s="8" t="s">
        <v>31</v>
      </c>
      <c r="AA29" s="8" t="s">
        <v>31</v>
      </c>
      <c r="AB29" s="7" t="s">
        <v>31</v>
      </c>
      <c r="AC29" s="7" t="s">
        <v>31</v>
      </c>
      <c r="AD29" s="7" t="s">
        <v>31</v>
      </c>
      <c r="AE29" s="7" t="s">
        <v>31</v>
      </c>
      <c r="AF29" s="7" t="s">
        <v>31</v>
      </c>
      <c r="AG29" s="7" t="s">
        <v>31</v>
      </c>
      <c r="AH29" s="7" t="s">
        <v>31</v>
      </c>
      <c r="AI29" s="7" t="s">
        <v>31</v>
      </c>
      <c r="AJ29" s="7" t="s">
        <v>31</v>
      </c>
      <c r="AK29" s="7" t="s">
        <v>31</v>
      </c>
    </row>
    <row r="30" spans="1:37" x14ac:dyDescent="0.25">
      <c r="A30" s="13" t="str">
        <f ca="1"/>
        <v>0x90C9</v>
      </c>
      <c r="B30" s="14" t="str">
        <f ca="1"/>
        <v>SetPreWbData</v>
      </c>
      <c r="D30" s="8" t="str">
        <f ca="1"/>
        <v>SetPreWbData</v>
      </c>
      <c r="E30" s="8" t="str">
        <f ca="1"/>
        <v>SetPreWbData</v>
      </c>
      <c r="F30" s="8" t="str">
        <f ca="1"/>
        <v>SetPreWbData</v>
      </c>
      <c r="G30" s="8" t="str">
        <f ca="1"/>
        <v>SetPreWbData</v>
      </c>
      <c r="H30" s="7" t="str">
        <f ca="1"/>
        <v>SetPreWbData</v>
      </c>
      <c r="I30" s="7" t="str">
        <f ca="1"/>
        <v>SetPreWbData</v>
      </c>
      <c r="J30" s="7" t="str">
        <f ca="1"/>
        <v>SetPreWbData</v>
      </c>
      <c r="K30" s="7" t="str">
        <f ca="1"/>
        <v>SetPreWbData</v>
      </c>
      <c r="L30" s="7" t="str">
        <f ca="1"/>
        <v>SetPreWbData</v>
      </c>
      <c r="M30" s="7" t="str">
        <f ca="1"/>
        <v>SetPreWbData</v>
      </c>
      <c r="N30" s="7" t="str">
        <f ca="1"/>
        <v>SetPreWbData</v>
      </c>
      <c r="O30" s="7" t="str">
        <f ca="1"/>
        <v>SetPreWbData</v>
      </c>
      <c r="P30" s="7" t="str">
        <f ca="1"/>
        <v>SetPreWbData</v>
      </c>
      <c r="Q30" s="7" t="str">
        <f ca="1"/>
        <v>SetPreWbData</v>
      </c>
      <c r="T30" s="7" t="str">
        <f ca="1"/>
        <v>Z8</v>
      </c>
      <c r="U30" s="7" t="str">
        <f ca="1"/>
        <v>0x90CB</v>
      </c>
      <c r="V30" s="7" t="str">
        <f ca="1"/>
        <v>AfAndCaptureRecInSdram</v>
      </c>
      <c r="X30" s="8" t="s">
        <v>32</v>
      </c>
      <c r="Y30" s="8" t="s">
        <v>32</v>
      </c>
      <c r="Z30" s="8" t="s">
        <v>32</v>
      </c>
      <c r="AA30" s="8" t="s">
        <v>32</v>
      </c>
      <c r="AB30" s="7" t="s">
        <v>32</v>
      </c>
      <c r="AC30" s="7" t="s">
        <v>32</v>
      </c>
      <c r="AD30" s="7" t="s">
        <v>32</v>
      </c>
      <c r="AE30" s="7" t="s">
        <v>32</v>
      </c>
      <c r="AF30" s="7" t="s">
        <v>32</v>
      </c>
      <c r="AG30" s="7" t="s">
        <v>32</v>
      </c>
      <c r="AH30" s="7" t="s">
        <v>32</v>
      </c>
      <c r="AI30" s="7" t="s">
        <v>32</v>
      </c>
      <c r="AJ30" s="7" t="s">
        <v>32</v>
      </c>
      <c r="AK30" s="7" t="s">
        <v>32</v>
      </c>
    </row>
    <row r="31" spans="1:37" x14ac:dyDescent="0.25">
      <c r="A31" s="13" t="str">
        <f ca="1"/>
        <v>0x90CA</v>
      </c>
      <c r="B31" s="14" t="str">
        <f ca="1"/>
        <v>GetVendorPropCodes</v>
      </c>
      <c r="D31" s="8" t="str">
        <f ca="1"/>
        <v/>
      </c>
      <c r="E31" s="8" t="str">
        <f ca="1"/>
        <v/>
      </c>
      <c r="F31" s="8" t="str">
        <f ca="1"/>
        <v>GetVendorPropCodes</v>
      </c>
      <c r="G31" s="8" t="str">
        <f ca="1"/>
        <v>GetVendorPropCodes</v>
      </c>
      <c r="H31" s="7" t="str">
        <f ca="1"/>
        <v>GetVendorPropCodes</v>
      </c>
      <c r="I31" s="7" t="str">
        <f ca="1"/>
        <v>GetVendorPropCodes</v>
      </c>
      <c r="J31" s="7" t="str">
        <f ca="1"/>
        <v>GetVendorPropCodes</v>
      </c>
      <c r="K31" s="7" t="str">
        <f ca="1"/>
        <v>GetVendorPropCodes</v>
      </c>
      <c r="L31" s="7" t="str">
        <f ca="1"/>
        <v>GetVendorPropCodes</v>
      </c>
      <c r="M31" s="7" t="str">
        <f ca="1"/>
        <v>GetVendorPropCodes</v>
      </c>
      <c r="N31" s="7" t="str">
        <f ca="1"/>
        <v>GetVendorPropCodes</v>
      </c>
      <c r="O31" s="7" t="str">
        <f ca="1"/>
        <v>GetVendorPropCodes</v>
      </c>
      <c r="P31" s="7" t="str">
        <f ca="1"/>
        <v>GetVendorPropCodes</v>
      </c>
      <c r="Q31" s="7" t="str">
        <f ca="1"/>
        <v>GetVendorPropCodes</v>
      </c>
      <c r="T31" s="7" t="str">
        <f ca="1"/>
        <v>Z8</v>
      </c>
      <c r="U31" s="7" t="str">
        <f ca="1"/>
        <v>0x90CC</v>
      </c>
      <c r="V31" s="7" t="str">
        <f ca="1"/>
        <v>GetPicCtrlData</v>
      </c>
      <c r="X31" s="8" t="s">
        <v>33</v>
      </c>
      <c r="Y31" s="8" t="s">
        <v>33</v>
      </c>
      <c r="Z31" s="8" t="s">
        <v>33</v>
      </c>
      <c r="AA31" s="8" t="s">
        <v>33</v>
      </c>
      <c r="AB31" s="7" t="s">
        <v>33</v>
      </c>
      <c r="AC31" s="7" t="s">
        <v>33</v>
      </c>
      <c r="AD31" s="7" t="s">
        <v>33</v>
      </c>
      <c r="AE31" s="7" t="s">
        <v>33</v>
      </c>
      <c r="AF31" s="7" t="s">
        <v>33</v>
      </c>
      <c r="AG31" s="7" t="s">
        <v>33</v>
      </c>
      <c r="AH31" s="7" t="s">
        <v>33</v>
      </c>
      <c r="AI31" s="7" t="s">
        <v>33</v>
      </c>
      <c r="AJ31" s="7" t="s">
        <v>33</v>
      </c>
      <c r="AK31" s="7" t="s">
        <v>33</v>
      </c>
    </row>
    <row r="32" spans="1:37" x14ac:dyDescent="0.25">
      <c r="A32" s="13" t="str">
        <f ca="1"/>
        <v>0x90CB</v>
      </c>
      <c r="B32" s="14" t="str">
        <f ca="1"/>
        <v>AfAndCaptureRecInSdram</v>
      </c>
      <c r="D32" s="8" t="str">
        <f ca="1"/>
        <v>AfAndCaptureRecInSdram</v>
      </c>
      <c r="E32" s="8" t="str">
        <f ca="1"/>
        <v>AfAndCaptureRecInSdram</v>
      </c>
      <c r="F32" s="8" t="str">
        <f ca="1"/>
        <v>AfAndCaptureRecInSdram</v>
      </c>
      <c r="G32" s="8" t="str">
        <f ca="1"/>
        <v>AfAndCaptureRecInSdram</v>
      </c>
      <c r="H32" s="7" t="str">
        <f ca="1"/>
        <v>AfAndCaptureRecInSdram</v>
      </c>
      <c r="I32" s="7" t="str">
        <f ca="1"/>
        <v>AfAndCaptureRecInSdram</v>
      </c>
      <c r="J32" s="7" t="str">
        <f ca="1"/>
        <v>AfAndCaptureRecInSdram</v>
      </c>
      <c r="K32" s="7" t="str">
        <f ca="1"/>
        <v>AfAndCaptureRecInSdram</v>
      </c>
      <c r="L32" s="7" t="str">
        <f ca="1"/>
        <v>AfAndCaptureRecInSdram</v>
      </c>
      <c r="M32" s="7" t="str">
        <f ca="1"/>
        <v>AfAndCaptureRecInSdram</v>
      </c>
      <c r="N32" s="7" t="str">
        <f ca="1"/>
        <v>AfAndCaptureRecInSdram</v>
      </c>
      <c r="O32" s="7" t="str">
        <f ca="1"/>
        <v>AfAndCaptureRecInSdram</v>
      </c>
      <c r="P32" s="7" t="str">
        <f ca="1"/>
        <v>AfAndCaptureRecInSdram</v>
      </c>
      <c r="Q32" s="7" t="str">
        <f ca="1"/>
        <v>AfAndCaptureRecInSdram</v>
      </c>
      <c r="T32" s="7" t="str">
        <f ca="1"/>
        <v>Z8</v>
      </c>
      <c r="U32" s="7" t="str">
        <f ca="1"/>
        <v>0x90CD</v>
      </c>
      <c r="V32" s="7" t="str">
        <f ca="1"/>
        <v>SetPicCtrlData</v>
      </c>
      <c r="X32" s="8" t="s">
        <v>34</v>
      </c>
      <c r="Y32" s="8" t="s">
        <v>34</v>
      </c>
      <c r="Z32" s="8" t="s">
        <v>34</v>
      </c>
      <c r="AA32" s="8" t="s">
        <v>34</v>
      </c>
      <c r="AB32" s="7" t="s">
        <v>34</v>
      </c>
      <c r="AC32" s="7" t="s">
        <v>34</v>
      </c>
      <c r="AD32" s="7" t="s">
        <v>34</v>
      </c>
      <c r="AE32" s="7" t="s">
        <v>34</v>
      </c>
      <c r="AF32" s="7" t="s">
        <v>34</v>
      </c>
      <c r="AG32" s="7" t="s">
        <v>34</v>
      </c>
      <c r="AH32" s="7" t="s">
        <v>34</v>
      </c>
      <c r="AI32" s="7" t="s">
        <v>34</v>
      </c>
      <c r="AJ32" s="7" t="s">
        <v>34</v>
      </c>
      <c r="AK32" s="7" t="s">
        <v>34</v>
      </c>
    </row>
    <row r="33" spans="1:37" x14ac:dyDescent="0.25">
      <c r="A33" s="13" t="str">
        <f ca="1"/>
        <v>0x90CC</v>
      </c>
      <c r="B33" s="14" t="str">
        <f ca="1"/>
        <v>GetPicCtrlData</v>
      </c>
      <c r="D33" s="8" t="str">
        <f ca="1"/>
        <v>GetPicCtrlData</v>
      </c>
      <c r="E33" s="8" t="str">
        <f ca="1"/>
        <v>GetPicCtrlData</v>
      </c>
      <c r="F33" s="8" t="str">
        <f ca="1"/>
        <v>GetPicCtrlData</v>
      </c>
      <c r="G33" s="8" t="str">
        <f ca="1"/>
        <v>GetPicCtrlData</v>
      </c>
      <c r="H33" s="7" t="str">
        <f ca="1"/>
        <v>GetPicCtrlData</v>
      </c>
      <c r="I33" s="7" t="str">
        <f ca="1"/>
        <v>GetPicCtrlData</v>
      </c>
      <c r="J33" s="7" t="str">
        <f ca="1"/>
        <v>GetPicCtrlData</v>
      </c>
      <c r="K33" s="7" t="str">
        <f ca="1"/>
        <v>GetPicCtrlData</v>
      </c>
      <c r="L33" s="7" t="str">
        <f ca="1"/>
        <v>GetPicCtrlData</v>
      </c>
      <c r="M33" s="7" t="str">
        <f ca="1"/>
        <v>GetPicCtrlData</v>
      </c>
      <c r="N33" s="7" t="str">
        <f ca="1"/>
        <v>GetPicCtrlData</v>
      </c>
      <c r="O33" s="7" t="str">
        <f ca="1"/>
        <v>GetPicCtrlData</v>
      </c>
      <c r="P33" s="7" t="str">
        <f ca="1"/>
        <v>GetPicCtrlData</v>
      </c>
      <c r="Q33" s="7" t="str">
        <f ca="1"/>
        <v>GetPicCtrlData</v>
      </c>
      <c r="T33" s="7" t="str">
        <f ca="1"/>
        <v>Z8</v>
      </c>
      <c r="U33" s="7" t="str">
        <f ca="1"/>
        <v>0x90CE</v>
      </c>
      <c r="V33" s="7" t="str">
        <f ca="1"/>
        <v>DeleteCustomPicCtrl</v>
      </c>
      <c r="X33" s="8" t="s">
        <v>35</v>
      </c>
      <c r="Y33" s="8" t="s">
        <v>1125</v>
      </c>
      <c r="Z33" s="8" t="s">
        <v>35</v>
      </c>
      <c r="AA33" s="8" t="s">
        <v>35</v>
      </c>
      <c r="AB33" s="7" t="s">
        <v>35</v>
      </c>
      <c r="AC33" s="7" t="s">
        <v>35</v>
      </c>
      <c r="AD33" s="7" t="s">
        <v>35</v>
      </c>
      <c r="AE33" s="7" t="s">
        <v>35</v>
      </c>
      <c r="AF33" s="7" t="s">
        <v>35</v>
      </c>
      <c r="AG33" s="7" t="s">
        <v>35</v>
      </c>
      <c r="AH33" s="7" t="s">
        <v>35</v>
      </c>
      <c r="AI33" s="7" t="s">
        <v>35</v>
      </c>
      <c r="AJ33" s="7" t="s">
        <v>35</v>
      </c>
      <c r="AK33" s="7" t="s">
        <v>35</v>
      </c>
    </row>
    <row r="34" spans="1:37" x14ac:dyDescent="0.25">
      <c r="A34" s="13" t="str">
        <f ca="1"/>
        <v>0x90CD</v>
      </c>
      <c r="B34" s="14" t="str">
        <f ca="1"/>
        <v>SetPicCtrlData</v>
      </c>
      <c r="D34" s="8" t="str">
        <f ca="1"/>
        <v>SetPicCtrlData</v>
      </c>
      <c r="E34" s="8" t="str">
        <f ca="1"/>
        <v>SetPicCtrlData</v>
      </c>
      <c r="F34" s="8" t="str">
        <f ca="1"/>
        <v>SetPicCtrlData</v>
      </c>
      <c r="G34" s="8" t="str">
        <f ca="1"/>
        <v>SetPicCtrlData</v>
      </c>
      <c r="H34" s="7" t="str">
        <f ca="1"/>
        <v>SetPicCtrlData</v>
      </c>
      <c r="I34" s="7" t="str">
        <f ca="1"/>
        <v>SetPicCtrlData</v>
      </c>
      <c r="J34" s="7" t="str">
        <f ca="1"/>
        <v>SetPicCtrlData</v>
      </c>
      <c r="K34" s="7" t="str">
        <f ca="1"/>
        <v>SetPicCtrlData</v>
      </c>
      <c r="L34" s="7" t="str">
        <f ca="1"/>
        <v>SetPicCtrlData</v>
      </c>
      <c r="M34" s="7" t="str">
        <f ca="1"/>
        <v>SetPicCtrlData</v>
      </c>
      <c r="N34" s="7" t="str">
        <f ca="1"/>
        <v>SetPicCtrlData</v>
      </c>
      <c r="O34" s="7" t="str">
        <f ca="1"/>
        <v>SetPicCtrlData</v>
      </c>
      <c r="P34" s="7" t="str">
        <f ca="1"/>
        <v>SetPicCtrlData</v>
      </c>
      <c r="Q34" s="7" t="str">
        <f ca="1"/>
        <v>SetPicCtrlData</v>
      </c>
      <c r="T34" s="7" t="str">
        <f ca="1"/>
        <v>Z8</v>
      </c>
      <c r="U34" s="7" t="str">
        <f ca="1"/>
        <v>0x90CF</v>
      </c>
      <c r="V34" s="7" t="str">
        <f ca="1"/>
        <v>GetPicCtrlCapability</v>
      </c>
      <c r="X34" s="8" t="s">
        <v>36</v>
      </c>
      <c r="Y34" s="8" t="s">
        <v>1126</v>
      </c>
      <c r="Z34" s="8" t="s">
        <v>36</v>
      </c>
      <c r="AA34" s="8" t="s">
        <v>36</v>
      </c>
      <c r="AB34" s="7" t="s">
        <v>36</v>
      </c>
      <c r="AC34" s="7" t="s">
        <v>36</v>
      </c>
      <c r="AD34" s="7" t="s">
        <v>36</v>
      </c>
      <c r="AE34" s="7" t="s">
        <v>36</v>
      </c>
      <c r="AF34" s="7" t="s">
        <v>36</v>
      </c>
      <c r="AG34" s="7" t="s">
        <v>36</v>
      </c>
      <c r="AH34" s="7" t="s">
        <v>36</v>
      </c>
      <c r="AI34" s="7" t="s">
        <v>36</v>
      </c>
      <c r="AJ34" s="7" t="s">
        <v>36</v>
      </c>
      <c r="AK34" s="7" t="s">
        <v>36</v>
      </c>
    </row>
    <row r="35" spans="1:37" x14ac:dyDescent="0.25">
      <c r="A35" s="13" t="str">
        <f ca="1"/>
        <v>0x90CE</v>
      </c>
      <c r="B35" s="14" t="str">
        <f ca="1"/>
        <v>DeleteCustomPicCtrl</v>
      </c>
      <c r="D35" s="8" t="str">
        <f ca="1"/>
        <v>DeleteCustomPicCtrl</v>
      </c>
      <c r="E35" s="8" t="str">
        <f ca="1"/>
        <v>DeleteCustomPicCtrl</v>
      </c>
      <c r="F35" s="8" t="str">
        <f ca="1"/>
        <v>DeleteCustomPicCtrl</v>
      </c>
      <c r="G35" s="8" t="str">
        <f ca="1"/>
        <v>DeleteCustomPicCtrl</v>
      </c>
      <c r="H35" s="7" t="str">
        <f ca="1"/>
        <v>DeleteCustomPicCtrl</v>
      </c>
      <c r="I35" s="7" t="str">
        <f ca="1"/>
        <v>DeleteCustomPicCtrl</v>
      </c>
      <c r="J35" s="7" t="str">
        <f ca="1"/>
        <v>DeleteCustomPicCtrl</v>
      </c>
      <c r="K35" s="7" t="str">
        <f ca="1"/>
        <v>DeleteCustomPicCtrl</v>
      </c>
      <c r="L35" s="7" t="str">
        <f ca="1"/>
        <v>DeleteCustomPicCtrl</v>
      </c>
      <c r="M35" s="7" t="str">
        <f ca="1"/>
        <v>DeleteCustomPicCtrl</v>
      </c>
      <c r="N35" s="7" t="str">
        <f ca="1"/>
        <v>DeleteCustomPicCtrl</v>
      </c>
      <c r="O35" s="7" t="str">
        <f ca="1"/>
        <v>DeleteCustomPicCtrl</v>
      </c>
      <c r="P35" s="7" t="str">
        <f ca="1"/>
        <v>DeleteCustomPicCtrl</v>
      </c>
      <c r="Q35" s="7" t="str">
        <f ca="1"/>
        <v>DeleteCustomPicCtrl</v>
      </c>
      <c r="T35" s="7" t="str">
        <f ca="1"/>
        <v>Z8</v>
      </c>
      <c r="U35" s="7" t="str">
        <f ca="1"/>
        <v>0x9201</v>
      </c>
      <c r="V35" s="7" t="str">
        <f ca="1"/>
        <v>StartLiveView</v>
      </c>
      <c r="X35" s="8" t="s">
        <v>37</v>
      </c>
      <c r="Y35" s="8" t="s">
        <v>35</v>
      </c>
      <c r="Z35" s="8" t="s">
        <v>37</v>
      </c>
      <c r="AA35" s="8" t="s">
        <v>37</v>
      </c>
      <c r="AB35" s="7" t="s">
        <v>37</v>
      </c>
      <c r="AC35" s="7" t="s">
        <v>37</v>
      </c>
      <c r="AD35" s="7" t="s">
        <v>37</v>
      </c>
      <c r="AE35" s="7" t="s">
        <v>37</v>
      </c>
      <c r="AF35" s="7" t="s">
        <v>37</v>
      </c>
      <c r="AG35" s="7" t="s">
        <v>37</v>
      </c>
      <c r="AH35" s="7" t="s">
        <v>37</v>
      </c>
      <c r="AI35" s="7" t="s">
        <v>37</v>
      </c>
      <c r="AJ35" s="7" t="s">
        <v>37</v>
      </c>
      <c r="AK35" s="7" t="s">
        <v>37</v>
      </c>
    </row>
    <row r="36" spans="1:37" x14ac:dyDescent="0.25">
      <c r="A36" s="13" t="str">
        <f ca="1"/>
        <v>0x90CF</v>
      </c>
      <c r="B36" s="14" t="str">
        <f ca="1"/>
        <v>GetPicCtrlCapability</v>
      </c>
      <c r="D36" s="8" t="str">
        <f ca="1"/>
        <v>GetPicCtrlCapability</v>
      </c>
      <c r="E36" s="8" t="str">
        <f ca="1"/>
        <v>GetPicCtrlCapability</v>
      </c>
      <c r="F36" s="8" t="str">
        <f ca="1"/>
        <v>GetPicCtrlCapability</v>
      </c>
      <c r="G36" s="8" t="str">
        <f ca="1"/>
        <v>GetPicCtrlCapability</v>
      </c>
      <c r="H36" s="7" t="str">
        <f ca="1"/>
        <v>GetPicCtrlCapability</v>
      </c>
      <c r="I36" s="7" t="str">
        <f ca="1"/>
        <v>GetPicCtrlCapability</v>
      </c>
      <c r="J36" s="7" t="str">
        <f ca="1"/>
        <v>GetPicCtrlCapability</v>
      </c>
      <c r="K36" s="7" t="str">
        <f ca="1"/>
        <v>GetPicCtrlCapability</v>
      </c>
      <c r="L36" s="7" t="str">
        <f ca="1"/>
        <v>GetPicCtrlCapability</v>
      </c>
      <c r="M36" s="7" t="str">
        <f ca="1"/>
        <v>GetPicCtrlCapability</v>
      </c>
      <c r="N36" s="7" t="str">
        <f ca="1"/>
        <v>GetPicCtrlCapability</v>
      </c>
      <c r="O36" s="7" t="str">
        <f ca="1"/>
        <v>GetPicCtrlCapability</v>
      </c>
      <c r="P36" s="7" t="str">
        <f ca="1"/>
        <v>GetPicCtrlCapability</v>
      </c>
      <c r="Q36" s="7" t="str">
        <f ca="1"/>
        <v>GetPicCtrlCapability</v>
      </c>
      <c r="T36" s="7" t="str">
        <f ca="1"/>
        <v>Z8</v>
      </c>
      <c r="U36" s="7" t="str">
        <f ca="1"/>
        <v>0x9202</v>
      </c>
      <c r="V36" s="7" t="str">
        <f ca="1"/>
        <v>EndLiveView</v>
      </c>
      <c r="X36" s="8" t="s">
        <v>38</v>
      </c>
      <c r="Y36" s="8" t="s">
        <v>36</v>
      </c>
      <c r="Z36" s="8" t="s">
        <v>38</v>
      </c>
      <c r="AA36" s="8" t="s">
        <v>38</v>
      </c>
      <c r="AB36" s="7" t="s">
        <v>38</v>
      </c>
      <c r="AC36" s="7" t="s">
        <v>38</v>
      </c>
      <c r="AD36" s="7" t="s">
        <v>38</v>
      </c>
      <c r="AE36" s="7" t="s">
        <v>38</v>
      </c>
      <c r="AF36" s="7" t="s">
        <v>38</v>
      </c>
      <c r="AG36" s="7" t="s">
        <v>38</v>
      </c>
      <c r="AH36" s="7" t="s">
        <v>38</v>
      </c>
      <c r="AI36" s="7" t="s">
        <v>38</v>
      </c>
      <c r="AJ36" s="7" t="s">
        <v>38</v>
      </c>
      <c r="AK36" s="7" t="s">
        <v>38</v>
      </c>
    </row>
    <row r="37" spans="1:37" x14ac:dyDescent="0.25">
      <c r="A37" s="13" t="str">
        <f ca="1"/>
        <v>0x9200</v>
      </c>
      <c r="B37" s="14" t="str">
        <f ca="1"/>
        <v>GetPreviewImage</v>
      </c>
      <c r="D37" s="8" t="str">
        <f ca="1"/>
        <v/>
      </c>
      <c r="E37" s="8" t="str">
        <f ca="1"/>
        <v/>
      </c>
      <c r="F37" s="8" t="str">
        <f ca="1"/>
        <v/>
      </c>
      <c r="G37" s="8" t="str">
        <f ca="1"/>
        <v/>
      </c>
      <c r="H37" s="7" t="str">
        <f ca="1"/>
        <v/>
      </c>
      <c r="I37" s="7" t="str">
        <f ca="1"/>
        <v/>
      </c>
      <c r="J37" s="7" t="str">
        <f ca="1"/>
        <v/>
      </c>
      <c r="K37" s="7" t="str">
        <f ca="1"/>
        <v/>
      </c>
      <c r="L37" s="7" t="str">
        <f ca="1"/>
        <v/>
      </c>
      <c r="M37" s="7" t="str">
        <f ca="1"/>
        <v/>
      </c>
      <c r="N37" s="7" t="str">
        <f ca="1"/>
        <v/>
      </c>
      <c r="O37" s="7" t="str">
        <f ca="1"/>
        <v/>
      </c>
      <c r="P37" s="7" t="str">
        <f ca="1"/>
        <v>GetPreviewImage</v>
      </c>
      <c r="Q37" s="7" t="str">
        <f ca="1"/>
        <v>GetPreviewImage</v>
      </c>
      <c r="T37" s="7" t="str">
        <f ca="1"/>
        <v>Z8</v>
      </c>
      <c r="U37" s="7" t="str">
        <f ca="1"/>
        <v>0x9203</v>
      </c>
      <c r="V37" s="7" t="str">
        <f ca="1"/>
        <v>GetLiveViewImage</v>
      </c>
      <c r="X37" s="8" t="s">
        <v>39</v>
      </c>
      <c r="Y37" s="8" t="s">
        <v>37</v>
      </c>
      <c r="Z37" s="8" t="s">
        <v>39</v>
      </c>
      <c r="AA37" s="8" t="s">
        <v>39</v>
      </c>
      <c r="AB37" s="7" t="s">
        <v>39</v>
      </c>
      <c r="AC37" s="7" t="s">
        <v>39</v>
      </c>
      <c r="AD37" s="7" t="s">
        <v>39</v>
      </c>
      <c r="AE37" s="7" t="s">
        <v>39</v>
      </c>
      <c r="AF37" s="7" t="s">
        <v>39</v>
      </c>
      <c r="AG37" s="7" t="s">
        <v>39</v>
      </c>
      <c r="AH37" s="7" t="s">
        <v>39</v>
      </c>
      <c r="AI37" s="7" t="s">
        <v>39</v>
      </c>
      <c r="AJ37" s="7" t="s">
        <v>39</v>
      </c>
      <c r="AK37" s="7" t="s">
        <v>39</v>
      </c>
    </row>
    <row r="38" spans="1:37" x14ac:dyDescent="0.25">
      <c r="A38" s="13" t="str">
        <f ca="1"/>
        <v>0x9201</v>
      </c>
      <c r="B38" s="14" t="str">
        <f ca="1"/>
        <v>StartLiveView</v>
      </c>
      <c r="D38" s="8" t="str">
        <f ca="1"/>
        <v>StartLiveView</v>
      </c>
      <c r="E38" s="8" t="str">
        <f ca="1"/>
        <v>StartLiveView</v>
      </c>
      <c r="F38" s="8" t="str">
        <f ca="1"/>
        <v>StartLiveView</v>
      </c>
      <c r="G38" s="8" t="str">
        <f ca="1"/>
        <v>StartLiveView</v>
      </c>
      <c r="H38" s="7" t="str">
        <f ca="1"/>
        <v>StartLiveView</v>
      </c>
      <c r="I38" s="7" t="str">
        <f ca="1"/>
        <v>StartLiveView</v>
      </c>
      <c r="J38" s="7" t="str">
        <f ca="1"/>
        <v>StartLiveView</v>
      </c>
      <c r="K38" s="7" t="str">
        <f ca="1"/>
        <v>StartLiveView</v>
      </c>
      <c r="L38" s="7" t="str">
        <f ca="1"/>
        <v>StartLiveView</v>
      </c>
      <c r="M38" s="7" t="str">
        <f ca="1"/>
        <v>StartLiveView</v>
      </c>
      <c r="N38" s="7" t="str">
        <f ca="1"/>
        <v>StartLiveView</v>
      </c>
      <c r="O38" s="7" t="str">
        <f ca="1"/>
        <v>StartLiveView</v>
      </c>
      <c r="P38" s="7" t="str">
        <f ca="1"/>
        <v>StartLiveView</v>
      </c>
      <c r="Q38" s="7" t="str">
        <f ca="1"/>
        <v>StartLiveView</v>
      </c>
      <c r="T38" s="7" t="str">
        <f ca="1"/>
        <v>Z8</v>
      </c>
      <c r="U38" s="7" t="str">
        <f ca="1"/>
        <v>0x9204</v>
      </c>
      <c r="V38" s="7" t="str">
        <f ca="1"/>
        <v>MfDrive</v>
      </c>
      <c r="X38" s="8" t="s">
        <v>40</v>
      </c>
      <c r="Y38" s="8" t="s">
        <v>38</v>
      </c>
      <c r="Z38" s="8" t="s">
        <v>40</v>
      </c>
      <c r="AA38" s="8" t="s">
        <v>40</v>
      </c>
      <c r="AB38" s="7" t="s">
        <v>40</v>
      </c>
      <c r="AC38" s="7" t="s">
        <v>40</v>
      </c>
      <c r="AD38" s="7" t="s">
        <v>40</v>
      </c>
      <c r="AE38" s="7" t="s">
        <v>40</v>
      </c>
      <c r="AF38" s="7" t="s">
        <v>40</v>
      </c>
      <c r="AG38" s="7" t="s">
        <v>40</v>
      </c>
      <c r="AH38" s="7" t="s">
        <v>40</v>
      </c>
      <c r="AI38" s="7" t="s">
        <v>40</v>
      </c>
      <c r="AJ38" s="7" t="s">
        <v>40</v>
      </c>
      <c r="AK38" s="7" t="s">
        <v>40</v>
      </c>
    </row>
    <row r="39" spans="1:37" x14ac:dyDescent="0.25">
      <c r="A39" s="13" t="str">
        <f ca="1"/>
        <v>0x9202</v>
      </c>
      <c r="B39" s="14" t="str">
        <f ca="1"/>
        <v>EndLiveView</v>
      </c>
      <c r="D39" s="8" t="str">
        <f ca="1"/>
        <v>EndLiveView</v>
      </c>
      <c r="E39" s="8" t="str">
        <f ca="1"/>
        <v>EndLiveView</v>
      </c>
      <c r="F39" s="8" t="str">
        <f ca="1"/>
        <v>EndLiveView</v>
      </c>
      <c r="G39" s="8" t="str">
        <f ca="1"/>
        <v>EndLiveView</v>
      </c>
      <c r="H39" s="7" t="str">
        <f ca="1"/>
        <v>EndLiveView</v>
      </c>
      <c r="I39" s="7" t="str">
        <f ca="1"/>
        <v>EndLiveView</v>
      </c>
      <c r="J39" s="7" t="str">
        <f ca="1"/>
        <v>EndLiveView</v>
      </c>
      <c r="K39" s="7" t="str">
        <f ca="1"/>
        <v>EndLiveView</v>
      </c>
      <c r="L39" s="7" t="str">
        <f ca="1"/>
        <v>EndLiveView</v>
      </c>
      <c r="M39" s="7" t="str">
        <f ca="1"/>
        <v>EndLiveView</v>
      </c>
      <c r="N39" s="7" t="str">
        <f ca="1"/>
        <v>EndLiveView</v>
      </c>
      <c r="O39" s="7" t="str">
        <f ca="1"/>
        <v>EndLiveView</v>
      </c>
      <c r="P39" s="7" t="str">
        <f ca="1"/>
        <v>EndLiveView</v>
      </c>
      <c r="Q39" s="7" t="str">
        <f ca="1"/>
        <v>EndLiveView</v>
      </c>
      <c r="T39" s="7" t="str">
        <f ca="1"/>
        <v>Z8</v>
      </c>
      <c r="U39" s="7" t="str">
        <f ca="1"/>
        <v>0x9205</v>
      </c>
      <c r="V39" s="7" t="str">
        <f ca="1"/>
        <v>ChangeAfArea</v>
      </c>
      <c r="X39" s="8" t="s">
        <v>41</v>
      </c>
      <c r="Y39" s="8" t="s">
        <v>39</v>
      </c>
      <c r="Z39" s="8" t="s">
        <v>41</v>
      </c>
      <c r="AA39" s="8" t="s">
        <v>41</v>
      </c>
      <c r="AB39" s="7" t="s">
        <v>41</v>
      </c>
      <c r="AC39" s="7" t="s">
        <v>41</v>
      </c>
      <c r="AD39" s="7" t="s">
        <v>41</v>
      </c>
      <c r="AE39" s="7" t="s">
        <v>41</v>
      </c>
      <c r="AF39" s="7" t="s">
        <v>41</v>
      </c>
      <c r="AG39" s="7" t="s">
        <v>41</v>
      </c>
      <c r="AH39" s="7" t="s">
        <v>41</v>
      </c>
      <c r="AI39" s="7" t="s">
        <v>41</v>
      </c>
      <c r="AJ39" s="7" t="s">
        <v>41</v>
      </c>
      <c r="AK39" s="7" t="s">
        <v>41</v>
      </c>
    </row>
    <row r="40" spans="1:37" x14ac:dyDescent="0.25">
      <c r="A40" s="13" t="str">
        <f ca="1"/>
        <v>0x9203</v>
      </c>
      <c r="B40" s="14" t="str">
        <f ca="1"/>
        <v>GetLiveViewImage</v>
      </c>
      <c r="D40" s="8" t="str">
        <f ca="1"/>
        <v>GetLiveViewImage</v>
      </c>
      <c r="E40" s="8" t="str">
        <f ca="1"/>
        <v>GetLiveViewImage</v>
      </c>
      <c r="F40" s="8" t="str">
        <f ca="1"/>
        <v>GetLiveViewImage</v>
      </c>
      <c r="G40" s="8" t="str">
        <f ca="1"/>
        <v>GetLiveViewImage</v>
      </c>
      <c r="H40" s="7" t="str">
        <f ca="1"/>
        <v>GetLiveViewImage</v>
      </c>
      <c r="I40" s="7" t="str">
        <f ca="1"/>
        <v>GetLiveViewImage</v>
      </c>
      <c r="J40" s="7" t="str">
        <f ca="1"/>
        <v>GetLiveViewImage</v>
      </c>
      <c r="K40" s="7" t="str">
        <f ca="1"/>
        <v>GetLiveViewImage</v>
      </c>
      <c r="L40" s="7" t="str">
        <f ca="1"/>
        <v>GetLiveViewImage</v>
      </c>
      <c r="M40" s="7" t="str">
        <f ca="1"/>
        <v>GetLiveViewImage</v>
      </c>
      <c r="N40" s="7" t="str">
        <f ca="1"/>
        <v>GetLiveViewImage</v>
      </c>
      <c r="O40" s="7" t="str">
        <f ca="1"/>
        <v>GetLiveViewImage</v>
      </c>
      <c r="P40" s="7" t="str">
        <f ca="1"/>
        <v>GetLiveViewImage</v>
      </c>
      <c r="Q40" s="7" t="str">
        <f ca="1"/>
        <v>GetLiveViewImage</v>
      </c>
      <c r="T40" s="7" t="str">
        <f ca="1"/>
        <v>Z8</v>
      </c>
      <c r="U40" s="7" t="str">
        <f ca="1"/>
        <v>0x9206</v>
      </c>
      <c r="V40" s="7" t="str">
        <f ca="1"/>
        <v>AfDriveCancel</v>
      </c>
      <c r="X40" s="8" t="s">
        <v>42</v>
      </c>
      <c r="Y40" s="8" t="s">
        <v>40</v>
      </c>
      <c r="Z40" s="8" t="s">
        <v>42</v>
      </c>
      <c r="AA40" s="8" t="s">
        <v>42</v>
      </c>
      <c r="AB40" s="7" t="s">
        <v>42</v>
      </c>
      <c r="AC40" s="7" t="s">
        <v>42</v>
      </c>
      <c r="AD40" s="7" t="s">
        <v>42</v>
      </c>
      <c r="AE40" s="7" t="s">
        <v>42</v>
      </c>
      <c r="AF40" s="7" t="s">
        <v>42</v>
      </c>
      <c r="AG40" s="7" t="s">
        <v>42</v>
      </c>
      <c r="AH40" s="7" t="s">
        <v>42</v>
      </c>
      <c r="AI40" s="7" t="s">
        <v>42</v>
      </c>
      <c r="AJ40" s="7" t="s">
        <v>42</v>
      </c>
      <c r="AK40" s="7" t="s">
        <v>42</v>
      </c>
    </row>
    <row r="41" spans="1:37" x14ac:dyDescent="0.25">
      <c r="A41" s="13" t="str">
        <f ca="1"/>
        <v>0x9204</v>
      </c>
      <c r="B41" s="14" t="str">
        <f ca="1"/>
        <v>MfDrive</v>
      </c>
      <c r="D41" s="8" t="str">
        <f ca="1"/>
        <v>MfDrive</v>
      </c>
      <c r="E41" s="8" t="str">
        <f ca="1"/>
        <v>MfDrive</v>
      </c>
      <c r="F41" s="8" t="str">
        <f ca="1"/>
        <v>MfDrive</v>
      </c>
      <c r="G41" s="8" t="str">
        <f ca="1"/>
        <v>MfDrive</v>
      </c>
      <c r="H41" s="7" t="str">
        <f ca="1"/>
        <v>MfDrive</v>
      </c>
      <c r="I41" s="7" t="str">
        <f ca="1"/>
        <v>MfDrive</v>
      </c>
      <c r="J41" s="7" t="str">
        <f ca="1"/>
        <v>MfDrive</v>
      </c>
      <c r="K41" s="7" t="str">
        <f ca="1"/>
        <v>MfDrive</v>
      </c>
      <c r="L41" s="7" t="str">
        <f ca="1"/>
        <v>MfDrive</v>
      </c>
      <c r="M41" s="7" t="str">
        <f ca="1"/>
        <v>MfDrive</v>
      </c>
      <c r="N41" s="7" t="str">
        <f ca="1"/>
        <v>MfDrive</v>
      </c>
      <c r="O41" s="7" t="str">
        <f ca="1"/>
        <v>MfDrive</v>
      </c>
      <c r="P41" s="7" t="str">
        <f ca="1"/>
        <v>MfDrive</v>
      </c>
      <c r="Q41" s="7" t="str">
        <f ca="1"/>
        <v>MfDrive</v>
      </c>
      <c r="T41" s="7" t="str">
        <f ca="1"/>
        <v>Z8</v>
      </c>
      <c r="U41" s="7" t="str">
        <f ca="1"/>
        <v>0x9207</v>
      </c>
      <c r="V41" s="7" t="str">
        <f ca="1"/>
        <v>InitiateCaptureRecInMedia</v>
      </c>
      <c r="X41" s="8" t="s">
        <v>43</v>
      </c>
      <c r="Y41" s="8" t="s">
        <v>41</v>
      </c>
      <c r="Z41" s="8" t="s">
        <v>43</v>
      </c>
      <c r="AA41" s="8" t="s">
        <v>43</v>
      </c>
      <c r="AB41" s="7" t="s">
        <v>43</v>
      </c>
      <c r="AC41" s="7" t="s">
        <v>43</v>
      </c>
      <c r="AD41" s="7" t="s">
        <v>43</v>
      </c>
      <c r="AE41" s="7" t="s">
        <v>43</v>
      </c>
      <c r="AF41" s="7" t="s">
        <v>43</v>
      </c>
      <c r="AG41" s="7" t="s">
        <v>43</v>
      </c>
      <c r="AH41" s="7" t="s">
        <v>43</v>
      </c>
      <c r="AI41" s="7" t="s">
        <v>43</v>
      </c>
      <c r="AJ41" s="7" t="s">
        <v>43</v>
      </c>
      <c r="AK41" s="7" t="s">
        <v>43</v>
      </c>
    </row>
    <row r="42" spans="1:37" x14ac:dyDescent="0.25">
      <c r="A42" s="13" t="str">
        <f ca="1"/>
        <v>0x9205</v>
      </c>
      <c r="B42" s="14" t="str">
        <f ca="1"/>
        <v>ChangeAfArea</v>
      </c>
      <c r="D42" s="8" t="str">
        <f ca="1"/>
        <v>ChangeAfArea</v>
      </c>
      <c r="E42" s="8" t="str">
        <f ca="1"/>
        <v>ChangeAfArea</v>
      </c>
      <c r="F42" s="8" t="str">
        <f ca="1"/>
        <v>ChangeAfArea</v>
      </c>
      <c r="G42" s="8" t="str">
        <f ca="1"/>
        <v>ChangeAfArea</v>
      </c>
      <c r="H42" s="7" t="str">
        <f ca="1"/>
        <v>ChangeAfArea</v>
      </c>
      <c r="I42" s="7" t="str">
        <f ca="1"/>
        <v>ChangeAfArea</v>
      </c>
      <c r="J42" s="7" t="str">
        <f ca="1"/>
        <v>ChangeAfArea</v>
      </c>
      <c r="K42" s="7" t="str">
        <f ca="1"/>
        <v>ChangeAfArea</v>
      </c>
      <c r="L42" s="7" t="str">
        <f ca="1"/>
        <v>ChangeAfArea</v>
      </c>
      <c r="M42" s="7" t="str">
        <f ca="1"/>
        <v>ChangeAfArea</v>
      </c>
      <c r="N42" s="7" t="str">
        <f ca="1"/>
        <v>ChangeAfArea</v>
      </c>
      <c r="O42" s="7" t="str">
        <f ca="1"/>
        <v>ChangeAfArea</v>
      </c>
      <c r="P42" s="7" t="str">
        <f ca="1"/>
        <v>ChangeAfArea</v>
      </c>
      <c r="Q42" s="7" t="str">
        <f ca="1"/>
        <v>ChangeAfArea</v>
      </c>
      <c r="T42" s="7" t="str">
        <f ca="1"/>
        <v>Z8</v>
      </c>
      <c r="U42" s="7" t="str">
        <f ca="1"/>
        <v>0x9209</v>
      </c>
      <c r="V42" s="7" t="str">
        <f ca="1"/>
        <v>GetVendorStorageIDs</v>
      </c>
      <c r="X42" s="8" t="s">
        <v>44</v>
      </c>
      <c r="Y42" s="8" t="s">
        <v>42</v>
      </c>
      <c r="Z42" s="8" t="s">
        <v>44</v>
      </c>
      <c r="AA42" s="8" t="s">
        <v>44</v>
      </c>
      <c r="AB42" s="7" t="s">
        <v>44</v>
      </c>
      <c r="AC42" s="7" t="s">
        <v>44</v>
      </c>
      <c r="AD42" s="7" t="s">
        <v>44</v>
      </c>
      <c r="AE42" s="7" t="s">
        <v>44</v>
      </c>
      <c r="AF42" s="7" t="s">
        <v>44</v>
      </c>
      <c r="AG42" s="7" t="s">
        <v>44</v>
      </c>
      <c r="AH42" s="7" t="s">
        <v>44</v>
      </c>
      <c r="AI42" s="7" t="s">
        <v>44</v>
      </c>
      <c r="AJ42" s="7" t="s">
        <v>44</v>
      </c>
      <c r="AK42" s="7" t="s">
        <v>44</v>
      </c>
    </row>
    <row r="43" spans="1:37" x14ac:dyDescent="0.25">
      <c r="A43" s="13" t="str">
        <f ca="1"/>
        <v>0x9206</v>
      </c>
      <c r="B43" s="14" t="str">
        <f ca="1"/>
        <v>AfDriveCancel</v>
      </c>
      <c r="D43" s="8" t="str">
        <f ca="1"/>
        <v>AfDriveCancel</v>
      </c>
      <c r="E43" s="8" t="str">
        <f ca="1"/>
        <v>AfDriveCancel</v>
      </c>
      <c r="F43" s="8" t="str">
        <f ca="1"/>
        <v>AfDriveCancel</v>
      </c>
      <c r="G43" s="8" t="str">
        <f ca="1"/>
        <v>AfDriveCancel</v>
      </c>
      <c r="H43" s="7" t="str">
        <f ca="1"/>
        <v>AfDriveCancel</v>
      </c>
      <c r="I43" s="7" t="str">
        <f ca="1"/>
        <v>AfDriveCancel</v>
      </c>
      <c r="J43" s="7" t="str">
        <f ca="1"/>
        <v>AfDriveCancel</v>
      </c>
      <c r="K43" s="7" t="str">
        <f ca="1"/>
        <v>AfDriveCancel</v>
      </c>
      <c r="L43" s="7" t="str">
        <f ca="1"/>
        <v>AfDriveCancel</v>
      </c>
      <c r="M43" s="7" t="str">
        <f ca="1"/>
        <v>AfDriveCancel</v>
      </c>
      <c r="N43" s="7" t="str">
        <f ca="1"/>
        <v>AfDriveCancel</v>
      </c>
      <c r="O43" s="7" t="str">
        <f ca="1"/>
        <v>AfDriveCancel</v>
      </c>
      <c r="P43" s="7" t="str">
        <f ca="1"/>
        <v>AfDriveCancel</v>
      </c>
      <c r="Q43" s="7" t="str">
        <f ca="1"/>
        <v>AfDriveCancel</v>
      </c>
      <c r="T43" s="7" t="str">
        <f ca="1"/>
        <v>Z8</v>
      </c>
      <c r="U43" s="7" t="str">
        <f ca="1"/>
        <v>0x920A</v>
      </c>
      <c r="V43" s="7" t="str">
        <f ca="1"/>
        <v>StartMovieRecord</v>
      </c>
      <c r="X43" s="8" t="s">
        <v>45</v>
      </c>
      <c r="Y43" s="8" t="s">
        <v>43</v>
      </c>
      <c r="Z43" s="8" t="s">
        <v>45</v>
      </c>
      <c r="AA43" s="8" t="s">
        <v>45</v>
      </c>
      <c r="AB43" s="7" t="s">
        <v>45</v>
      </c>
      <c r="AC43" s="7" t="s">
        <v>45</v>
      </c>
      <c r="AD43" s="7" t="s">
        <v>45</v>
      </c>
      <c r="AE43" s="7" t="s">
        <v>45</v>
      </c>
      <c r="AF43" s="7" t="s">
        <v>45</v>
      </c>
      <c r="AG43" s="7" t="s">
        <v>45</v>
      </c>
      <c r="AH43" s="7" t="s">
        <v>45</v>
      </c>
      <c r="AI43" s="7" t="s">
        <v>45</v>
      </c>
      <c r="AJ43" s="7" t="s">
        <v>45</v>
      </c>
      <c r="AK43" s="7" t="s">
        <v>45</v>
      </c>
    </row>
    <row r="44" spans="1:37" x14ac:dyDescent="0.25">
      <c r="A44" s="13" t="str">
        <f ca="1"/>
        <v>0x9207</v>
      </c>
      <c r="B44" s="14" t="str">
        <f ca="1"/>
        <v>InitiateCaptureRecInMedia</v>
      </c>
      <c r="D44" s="8" t="str">
        <f ca="1"/>
        <v>InitiateCaptureRecInMedia</v>
      </c>
      <c r="E44" s="8" t="str">
        <f ca="1"/>
        <v>InitiateCaptureRecInMedia</v>
      </c>
      <c r="F44" s="8" t="str">
        <f ca="1"/>
        <v>InitiateCaptureRecInMedia</v>
      </c>
      <c r="G44" s="8" t="str">
        <f ca="1"/>
        <v>InitiateCaptureRecInMedia</v>
      </c>
      <c r="H44" s="7" t="str">
        <f ca="1"/>
        <v>InitiateCaptureRecInMedia</v>
      </c>
      <c r="I44" s="7" t="str">
        <f ca="1"/>
        <v>InitiateCaptureRecInMedia</v>
      </c>
      <c r="J44" s="7" t="str">
        <f ca="1"/>
        <v>InitiateCaptureRecInMedia</v>
      </c>
      <c r="K44" s="7" t="str">
        <f ca="1"/>
        <v>InitiateCaptureRecInMedia</v>
      </c>
      <c r="L44" s="7" t="str">
        <f ca="1"/>
        <v>InitiateCaptureRecInMedia</v>
      </c>
      <c r="M44" s="7" t="str">
        <f ca="1"/>
        <v>InitiateCaptureRecInMedia</v>
      </c>
      <c r="N44" s="7" t="str">
        <f ca="1"/>
        <v>InitiateCaptureRecInMedia</v>
      </c>
      <c r="O44" s="7" t="str">
        <f ca="1"/>
        <v>InitiateCaptureRecInMedia</v>
      </c>
      <c r="P44" s="7" t="str">
        <f ca="1"/>
        <v>InitiateCaptureRecInStorage</v>
      </c>
      <c r="Q44" s="7" t="str">
        <f ca="1"/>
        <v/>
      </c>
      <c r="T44" s="7" t="str">
        <f ca="1"/>
        <v>Z8</v>
      </c>
      <c r="U44" s="7" t="str">
        <f ca="1"/>
        <v>0x920B</v>
      </c>
      <c r="V44" s="7" t="str">
        <f ca="1"/>
        <v>EndMovieRecord</v>
      </c>
      <c r="X44" s="8" t="s">
        <v>46</v>
      </c>
      <c r="Y44" s="8" t="s">
        <v>44</v>
      </c>
      <c r="Z44" s="8" t="s">
        <v>46</v>
      </c>
      <c r="AA44" s="8" t="s">
        <v>46</v>
      </c>
      <c r="AB44" s="7" t="s">
        <v>46</v>
      </c>
      <c r="AC44" s="7" t="s">
        <v>46</v>
      </c>
      <c r="AD44" s="7" t="s">
        <v>46</v>
      </c>
      <c r="AE44" s="7" t="s">
        <v>46</v>
      </c>
      <c r="AF44" s="7" t="s">
        <v>46</v>
      </c>
      <c r="AG44" s="7" t="s">
        <v>46</v>
      </c>
      <c r="AH44" s="7" t="s">
        <v>46</v>
      </c>
      <c r="AI44" s="7" t="s">
        <v>46</v>
      </c>
      <c r="AJ44" s="7" t="s">
        <v>46</v>
      </c>
      <c r="AK44" s="7" t="s">
        <v>46</v>
      </c>
    </row>
    <row r="45" spans="1:37" x14ac:dyDescent="0.25">
      <c r="A45" s="13" t="str">
        <f ca="1"/>
        <v>0x9208</v>
      </c>
      <c r="B45" s="14" t="str">
        <f ca="1"/>
        <v>AfAndCaptureRecInStorage</v>
      </c>
      <c r="D45" s="8" t="str">
        <f ca="1"/>
        <v/>
      </c>
      <c r="E45" s="8" t="str">
        <f ca="1"/>
        <v/>
      </c>
      <c r="F45" s="8" t="str">
        <f ca="1"/>
        <v/>
      </c>
      <c r="G45" s="8" t="str">
        <f ca="1"/>
        <v/>
      </c>
      <c r="H45" s="7" t="str">
        <f ca="1"/>
        <v/>
      </c>
      <c r="I45" s="7" t="str">
        <f ca="1"/>
        <v/>
      </c>
      <c r="J45" s="7" t="str">
        <f ca="1"/>
        <v/>
      </c>
      <c r="K45" s="7" t="str">
        <f ca="1"/>
        <v/>
      </c>
      <c r="L45" s="7" t="str">
        <f ca="1"/>
        <v/>
      </c>
      <c r="M45" s="7" t="str">
        <f ca="1"/>
        <v/>
      </c>
      <c r="N45" s="7" t="str">
        <f ca="1"/>
        <v/>
      </c>
      <c r="O45" s="7" t="str">
        <f ca="1"/>
        <v/>
      </c>
      <c r="P45" s="7" t="str">
        <f ca="1"/>
        <v>AfAndCaptureRecInStorage</v>
      </c>
      <c r="Q45" s="7" t="str">
        <f ca="1"/>
        <v/>
      </c>
      <c r="T45" s="7" t="str">
        <f ca="1"/>
        <v>Z8</v>
      </c>
      <c r="U45" s="7" t="str">
        <f ca="1"/>
        <v>0x920C</v>
      </c>
      <c r="V45" s="7" t="str">
        <f ca="1"/>
        <v>TerminateCapture</v>
      </c>
      <c r="X45" s="8" t="s">
        <v>47</v>
      </c>
      <c r="Y45" s="8" t="s">
        <v>45</v>
      </c>
      <c r="Z45" s="8" t="s">
        <v>47</v>
      </c>
      <c r="AA45" s="8" t="s">
        <v>47</v>
      </c>
      <c r="AB45" s="7" t="s">
        <v>47</v>
      </c>
      <c r="AC45" s="7" t="s">
        <v>47</v>
      </c>
      <c r="AD45" s="7" t="s">
        <v>47</v>
      </c>
      <c r="AE45" s="7" t="s">
        <v>47</v>
      </c>
      <c r="AF45" s="7" t="s">
        <v>47</v>
      </c>
      <c r="AG45" s="7" t="s">
        <v>47</v>
      </c>
      <c r="AH45" s="7" t="s">
        <v>47</v>
      </c>
      <c r="AI45" s="7" t="s">
        <v>47</v>
      </c>
      <c r="AJ45" s="7" t="s">
        <v>47</v>
      </c>
      <c r="AK45" s="7" t="s">
        <v>47</v>
      </c>
    </row>
    <row r="46" spans="1:37" x14ac:dyDescent="0.25">
      <c r="A46" s="13" t="str">
        <f ca="1"/>
        <v>0x9209</v>
      </c>
      <c r="B46" s="14" t="str">
        <f ca="1"/>
        <v>GetVendorStorageIDs</v>
      </c>
      <c r="D46" s="8" t="str">
        <f ca="1"/>
        <v>GetVendorStorageIDs</v>
      </c>
      <c r="E46" s="8" t="str">
        <f ca="1"/>
        <v>GetVendorStorageIDs</v>
      </c>
      <c r="F46" s="8" t="str">
        <f ca="1"/>
        <v>GetVendorStorageIDs</v>
      </c>
      <c r="G46" s="8" t="str">
        <f ca="1"/>
        <v>GetVendorStorageIDs</v>
      </c>
      <c r="H46" s="7" t="str">
        <f ca="1"/>
        <v>GetVendorStorageIDs</v>
      </c>
      <c r="I46" s="7" t="str">
        <f ca="1"/>
        <v>GetVendorStorageIDs</v>
      </c>
      <c r="J46" s="7" t="str">
        <f ca="1"/>
        <v>GetVendorStorageIDs</v>
      </c>
      <c r="K46" s="7" t="str">
        <f ca="1"/>
        <v>GetVendorStorageIDs</v>
      </c>
      <c r="L46" s="7" t="str">
        <f ca="1"/>
        <v>GetVendorStorageIDs</v>
      </c>
      <c r="M46" s="7" t="str">
        <f ca="1"/>
        <v>GetVendorStorageIDs</v>
      </c>
      <c r="N46" s="7" t="str">
        <f ca="1"/>
        <v>GetVendorStorageIDs</v>
      </c>
      <c r="O46" s="7" t="str">
        <f ca="1"/>
        <v>GetVendorStorageIDs</v>
      </c>
      <c r="P46" s="7" t="str">
        <f ca="1"/>
        <v/>
      </c>
      <c r="Q46" s="7" t="str">
        <f ca="1"/>
        <v/>
      </c>
      <c r="T46" s="7" t="str">
        <f ca="1"/>
        <v>Z8</v>
      </c>
      <c r="U46" s="7" t="str">
        <f ca="1"/>
        <v>0x920F</v>
      </c>
      <c r="V46" s="7" t="str">
        <f ca="1"/>
        <v>GetFhdPicture</v>
      </c>
      <c r="X46" s="8" t="s">
        <v>48</v>
      </c>
      <c r="Y46" s="8" t="s">
        <v>46</v>
      </c>
      <c r="Z46" s="8" t="s">
        <v>48</v>
      </c>
      <c r="AA46" s="8" t="s">
        <v>48</v>
      </c>
      <c r="AB46" s="7" t="s">
        <v>48</v>
      </c>
      <c r="AC46" s="7" t="s">
        <v>48</v>
      </c>
      <c r="AD46" s="7" t="s">
        <v>48</v>
      </c>
      <c r="AE46" s="7" t="s">
        <v>48</v>
      </c>
      <c r="AF46" s="7" t="s">
        <v>48</v>
      </c>
      <c r="AG46" s="7" t="s">
        <v>48</v>
      </c>
      <c r="AH46" s="7" t="s">
        <v>48</v>
      </c>
      <c r="AI46" s="7" t="s">
        <v>48</v>
      </c>
      <c r="AJ46" s="7" t="s">
        <v>48</v>
      </c>
      <c r="AK46" s="7" t="s">
        <v>48</v>
      </c>
    </row>
    <row r="47" spans="1:37" x14ac:dyDescent="0.25">
      <c r="A47" s="13" t="str">
        <f ca="1"/>
        <v>0x920A</v>
      </c>
      <c r="B47" s="14" t="str">
        <f ca="1"/>
        <v>StartMovieRecord</v>
      </c>
      <c r="D47" s="8" t="str">
        <f ca="1"/>
        <v>StartMovieRecord</v>
      </c>
      <c r="E47" s="8" t="str">
        <f ca="1"/>
        <v>StartMovieRecord</v>
      </c>
      <c r="F47" s="8" t="str">
        <f ca="1"/>
        <v>StartMovieRecord</v>
      </c>
      <c r="G47" s="8" t="str">
        <f ca="1"/>
        <v>StartMovieRecord</v>
      </c>
      <c r="H47" s="7" t="str">
        <f ca="1"/>
        <v>StartMovieRecord</v>
      </c>
      <c r="I47" s="7" t="str">
        <f ca="1"/>
        <v>StartMovieRecord</v>
      </c>
      <c r="J47" s="7" t="str">
        <f ca="1"/>
        <v>StartMovieRecord</v>
      </c>
      <c r="K47" s="7" t="str">
        <f ca="1"/>
        <v>StartMovieRecord</v>
      </c>
      <c r="L47" s="7" t="str">
        <f ca="1"/>
        <v>StartMovieRecord</v>
      </c>
      <c r="M47" s="7" t="str">
        <f ca="1"/>
        <v>StartMovieRecInCard</v>
      </c>
      <c r="N47" s="7" t="str">
        <f ca="1"/>
        <v>StartMovieRecInCard</v>
      </c>
      <c r="O47" s="7" t="str">
        <f ca="1"/>
        <v>StartMovieRecInCard</v>
      </c>
      <c r="P47" s="7" t="str">
        <f ca="1"/>
        <v/>
      </c>
      <c r="Q47" s="7" t="str">
        <f ca="1"/>
        <v/>
      </c>
      <c r="T47" s="7" t="str">
        <f ca="1"/>
        <v>Z8</v>
      </c>
      <c r="U47" s="7" t="str">
        <f ca="1"/>
        <v>0x9400</v>
      </c>
      <c r="V47" s="7" t="str">
        <f ca="1"/>
        <v>GetPartialObjectHighSpeed</v>
      </c>
      <c r="X47" s="8" t="s">
        <v>49</v>
      </c>
      <c r="Y47" s="8" t="s">
        <v>47</v>
      </c>
      <c r="Z47" s="8" t="s">
        <v>49</v>
      </c>
      <c r="AA47" s="8" t="s">
        <v>49</v>
      </c>
      <c r="AB47" s="7" t="s">
        <v>49</v>
      </c>
      <c r="AC47" s="7" t="s">
        <v>49</v>
      </c>
      <c r="AD47" s="7" t="s">
        <v>49</v>
      </c>
      <c r="AE47" s="7" t="s">
        <v>49</v>
      </c>
      <c r="AF47" s="7" t="s">
        <v>49</v>
      </c>
      <c r="AG47" s="7" t="s">
        <v>49</v>
      </c>
      <c r="AH47" s="7" t="s">
        <v>49</v>
      </c>
      <c r="AI47" s="7" t="s">
        <v>49</v>
      </c>
      <c r="AJ47" s="7" t="s">
        <v>49</v>
      </c>
      <c r="AK47" s="7" t="s">
        <v>49</v>
      </c>
    </row>
    <row r="48" spans="1:37" x14ac:dyDescent="0.25">
      <c r="A48" s="13" t="str">
        <f ca="1"/>
        <v>0x920B</v>
      </c>
      <c r="B48" s="14" t="str">
        <f ca="1"/>
        <v>EndMovieRecord</v>
      </c>
      <c r="D48" s="8" t="str">
        <f ca="1"/>
        <v>EndMovieRecord</v>
      </c>
      <c r="E48" s="8" t="str">
        <f ca="1"/>
        <v>EndMovieRecord</v>
      </c>
      <c r="F48" s="8" t="str">
        <f ca="1"/>
        <v>EndMovieRecord</v>
      </c>
      <c r="G48" s="8" t="str">
        <f ca="1"/>
        <v>EndMovieRecord</v>
      </c>
      <c r="H48" s="7" t="str">
        <f ca="1"/>
        <v>EndMovieRecord</v>
      </c>
      <c r="I48" s="7" t="str">
        <f ca="1"/>
        <v>EndMovieRecord</v>
      </c>
      <c r="J48" s="7" t="str">
        <f ca="1"/>
        <v>EndMovieRecord</v>
      </c>
      <c r="K48" s="7" t="str">
        <f ca="1"/>
        <v>EndMovieRecord</v>
      </c>
      <c r="L48" s="7" t="str">
        <f ca="1"/>
        <v>EndMovieRecord</v>
      </c>
      <c r="M48" s="7" t="str">
        <f ca="1"/>
        <v>EndMovieRec</v>
      </c>
      <c r="N48" s="7" t="str">
        <f ca="1"/>
        <v>EndMovieRec</v>
      </c>
      <c r="O48" s="7" t="str">
        <f ca="1"/>
        <v>EndMovieRec</v>
      </c>
      <c r="P48" s="7" t="str">
        <f ca="1"/>
        <v/>
      </c>
      <c r="Q48" s="7" t="str">
        <f ca="1"/>
        <v/>
      </c>
      <c r="T48" s="7" t="str">
        <f ca="1"/>
        <v>Z8</v>
      </c>
      <c r="U48" s="7" t="str">
        <f ca="1"/>
        <v>0x9401</v>
      </c>
      <c r="V48" s="7" t="str">
        <f ca="1"/>
        <v>GetIPTCInfo</v>
      </c>
      <c r="X48" s="8" t="s">
        <v>50</v>
      </c>
      <c r="Y48" s="8" t="s">
        <v>48</v>
      </c>
      <c r="Z48" s="8" t="s">
        <v>50</v>
      </c>
      <c r="AA48" s="8" t="s">
        <v>50</v>
      </c>
      <c r="AB48" s="7" t="s">
        <v>50</v>
      </c>
      <c r="AC48" s="7" t="s">
        <v>50</v>
      </c>
      <c r="AD48" s="7" t="s">
        <v>50</v>
      </c>
      <c r="AE48" s="7" t="s">
        <v>50</v>
      </c>
      <c r="AF48" s="7" t="s">
        <v>50</v>
      </c>
      <c r="AG48" s="7" t="s">
        <v>50</v>
      </c>
      <c r="AH48" s="7" t="s">
        <v>50</v>
      </c>
      <c r="AI48" s="7" t="s">
        <v>50</v>
      </c>
      <c r="AJ48" s="7" t="s">
        <v>50</v>
      </c>
      <c r="AK48" s="7" t="s">
        <v>50</v>
      </c>
    </row>
    <row r="49" spans="1:37" x14ac:dyDescent="0.25">
      <c r="A49" s="13" t="str">
        <f ca="1"/>
        <v>0x920C</v>
      </c>
      <c r="B49" s="14" t="str">
        <f ca="1"/>
        <v>TerminateCapture</v>
      </c>
      <c r="D49" s="8" t="str">
        <f ca="1"/>
        <v>TerminateCapture</v>
      </c>
      <c r="E49" s="8" t="str">
        <f ca="1"/>
        <v>TerminateCapture</v>
      </c>
      <c r="F49" s="8" t="str">
        <f ca="1"/>
        <v>TerminateCapture</v>
      </c>
      <c r="G49" s="8" t="str">
        <f ca="1"/>
        <v>TerminateCapture</v>
      </c>
      <c r="H49" s="7" t="str">
        <f ca="1"/>
        <v>TerminateCapture</v>
      </c>
      <c r="I49" s="7" t="str">
        <f ca="1"/>
        <v>TerminateCapture</v>
      </c>
      <c r="J49" s="7" t="str">
        <f ca="1"/>
        <v>TerminateCapture</v>
      </c>
      <c r="K49" s="7" t="str">
        <f ca="1"/>
        <v>TerminateCapture</v>
      </c>
      <c r="L49" s="7" t="str">
        <f ca="1"/>
        <v>TerminateCapture</v>
      </c>
      <c r="M49" s="7" t="str">
        <f ca="1"/>
        <v>TerminateCapture</v>
      </c>
      <c r="N49" s="7" t="str">
        <f ca="1"/>
        <v>TerminateCapture</v>
      </c>
      <c r="O49" s="7" t="str">
        <f ca="1"/>
        <v>TerminateCapture</v>
      </c>
      <c r="P49" s="7" t="str">
        <f ca="1"/>
        <v/>
      </c>
      <c r="Q49" s="7" t="str">
        <f ca="1"/>
        <v/>
      </c>
      <c r="T49" s="7" t="str">
        <f ca="1"/>
        <v>Z8</v>
      </c>
      <c r="U49" s="7" t="str">
        <f ca="1"/>
        <v>0x9402</v>
      </c>
      <c r="V49" s="7" t="str">
        <f ca="1"/>
        <v>StartSpotWb</v>
      </c>
      <c r="X49" s="8" t="s">
        <v>51</v>
      </c>
      <c r="Y49" s="8" t="s">
        <v>49</v>
      </c>
      <c r="Z49" s="8" t="s">
        <v>51</v>
      </c>
      <c r="AA49" s="8" t="s">
        <v>51</v>
      </c>
      <c r="AB49" s="7" t="s">
        <v>51</v>
      </c>
      <c r="AC49" s="7" t="s">
        <v>51</v>
      </c>
      <c r="AD49" s="7" t="s">
        <v>51</v>
      </c>
      <c r="AE49" s="7" t="s">
        <v>51</v>
      </c>
      <c r="AF49" s="7" t="s">
        <v>51</v>
      </c>
      <c r="AG49" s="7" t="s">
        <v>51</v>
      </c>
      <c r="AH49" s="7" t="s">
        <v>51</v>
      </c>
      <c r="AI49" s="7" t="s">
        <v>51</v>
      </c>
      <c r="AJ49" s="7" t="s">
        <v>51</v>
      </c>
      <c r="AK49" s="7" t="s">
        <v>51</v>
      </c>
    </row>
    <row r="50" spans="1:37" x14ac:dyDescent="0.25">
      <c r="A50" s="13" t="str">
        <f ca="1"/>
        <v>0x920F</v>
      </c>
      <c r="B50" s="14" t="str">
        <f ca="1"/>
        <v>GetFhdPicture</v>
      </c>
      <c r="D50" s="8" t="str">
        <f ca="1"/>
        <v>GetFhdPicture</v>
      </c>
      <c r="E50" s="8" t="str">
        <f ca="1"/>
        <v>GetFhdPicture</v>
      </c>
      <c r="F50" s="8" t="str">
        <f ca="1"/>
        <v>GetFhdPicture</v>
      </c>
      <c r="G50" s="8" t="str">
        <f ca="1"/>
        <v>GetFhdPicture</v>
      </c>
      <c r="H50" s="7" t="str">
        <f ca="1"/>
        <v>GetFhdPicture</v>
      </c>
      <c r="I50" s="7" t="str">
        <f ca="1"/>
        <v>GetFhdPicture</v>
      </c>
      <c r="J50" s="7" t="str">
        <f ca="1"/>
        <v>GetFhdPicture</v>
      </c>
      <c r="K50" s="7" t="str">
        <f ca="1"/>
        <v>GetFhdPicture</v>
      </c>
      <c r="L50" s="7" t="str">
        <f ca="1"/>
        <v>GetFhdPicture</v>
      </c>
      <c r="M50" s="7" t="str">
        <f ca="1"/>
        <v>GetFhdPicture</v>
      </c>
      <c r="N50" s="7" t="str">
        <f ca="1"/>
        <v>GetFhdPicture</v>
      </c>
      <c r="O50" s="7" t="str">
        <f ca="1"/>
        <v>GetFhdPicture</v>
      </c>
      <c r="P50" s="7" t="str">
        <f ca="1"/>
        <v/>
      </c>
      <c r="Q50" s="7" t="str">
        <f ca="1"/>
        <v/>
      </c>
      <c r="T50" s="7" t="str">
        <f ca="1"/>
        <v>Z8</v>
      </c>
      <c r="U50" s="7" t="str">
        <f ca="1"/>
        <v>0x9403</v>
      </c>
      <c r="V50" s="7" t="str">
        <f ca="1"/>
        <v>EndSpotWb</v>
      </c>
      <c r="X50" s="8" t="s">
        <v>52</v>
      </c>
      <c r="Y50" s="8" t="s">
        <v>50</v>
      </c>
      <c r="Z50" s="8" t="s">
        <v>52</v>
      </c>
      <c r="AA50" s="8" t="s">
        <v>52</v>
      </c>
      <c r="AB50" s="7" t="s">
        <v>52</v>
      </c>
      <c r="AC50" s="7" t="s">
        <v>52</v>
      </c>
      <c r="AD50" s="7" t="s">
        <v>52</v>
      </c>
      <c r="AE50" s="7" t="s">
        <v>52</v>
      </c>
      <c r="AF50" s="7" t="s">
        <v>52</v>
      </c>
      <c r="AG50" s="7" t="s">
        <v>52</v>
      </c>
      <c r="AH50" s="7" t="s">
        <v>52</v>
      </c>
      <c r="AI50" s="7" t="s">
        <v>52</v>
      </c>
      <c r="AJ50" s="7" t="s">
        <v>52</v>
      </c>
      <c r="AK50" s="7" t="s">
        <v>52</v>
      </c>
    </row>
    <row r="51" spans="1:37" x14ac:dyDescent="0.25">
      <c r="A51" s="13" t="str">
        <f ca="1"/>
        <v>0x9400</v>
      </c>
      <c r="B51" s="14" t="str">
        <f ca="1"/>
        <v>GetPartialObjectHighSpeed</v>
      </c>
      <c r="D51" s="8" t="str">
        <f ca="1"/>
        <v>GetPartialObjectHighSpeed</v>
      </c>
      <c r="E51" s="8" t="str">
        <f ca="1"/>
        <v>GetPartialObjectHighSpeed</v>
      </c>
      <c r="F51" s="8" t="str">
        <f ca="1"/>
        <v>GetPartialObjectHighSpeed</v>
      </c>
      <c r="G51" s="8" t="str">
        <f ca="1"/>
        <v>GetPartialObjectHighSpeed</v>
      </c>
      <c r="H51" s="7" t="str">
        <f ca="1"/>
        <v>GetPartialObjectHighSpeed</v>
      </c>
      <c r="I51" s="7" t="str">
        <f ca="1"/>
        <v>GetPartialObjectHighSpeed</v>
      </c>
      <c r="J51" s="7" t="str">
        <f ca="1"/>
        <v>GetPartialObjectHighSpeed</v>
      </c>
      <c r="K51" s="7" t="str">
        <f ca="1"/>
        <v>GetPartialObjectHighSpeed</v>
      </c>
      <c r="L51" s="7" t="str">
        <f ca="1"/>
        <v>GetPartialObjectHighSpeed</v>
      </c>
      <c r="M51" s="7" t="str">
        <f ca="1"/>
        <v>GetPartialObjectHighSpeed</v>
      </c>
      <c r="N51" s="7" t="str">
        <f ca="1"/>
        <v>GetPartialObjectHighSpeed</v>
      </c>
      <c r="O51" s="7" t="str">
        <f ca="1"/>
        <v/>
      </c>
      <c r="P51" s="7" t="str">
        <f ca="1"/>
        <v/>
      </c>
      <c r="Q51" s="7" t="str">
        <f ca="1"/>
        <v/>
      </c>
      <c r="T51" s="7" t="str">
        <f ca="1"/>
        <v>Z8</v>
      </c>
      <c r="U51" s="7" t="str">
        <f ca="1"/>
        <v>0x9404</v>
      </c>
      <c r="V51" s="7" t="str">
        <f ca="1"/>
        <v>ChangeSpotWbArea</v>
      </c>
      <c r="X51" s="8" t="s">
        <v>53</v>
      </c>
      <c r="Y51" s="8" t="s">
        <v>51</v>
      </c>
      <c r="Z51" s="8" t="s">
        <v>53</v>
      </c>
      <c r="AA51" s="8" t="s">
        <v>53</v>
      </c>
      <c r="AB51" s="7" t="s">
        <v>53</v>
      </c>
      <c r="AC51" s="7" t="s">
        <v>53</v>
      </c>
      <c r="AD51" s="7" t="s">
        <v>53</v>
      </c>
      <c r="AE51" s="7" t="s">
        <v>53</v>
      </c>
      <c r="AF51" s="7" t="s">
        <v>53</v>
      </c>
      <c r="AG51" s="7" t="s">
        <v>53</v>
      </c>
      <c r="AH51" s="7" t="s">
        <v>53</v>
      </c>
      <c r="AI51" s="7" t="s">
        <v>53</v>
      </c>
      <c r="AJ51" s="7" t="s">
        <v>53</v>
      </c>
      <c r="AK51" s="7" t="s">
        <v>53</v>
      </c>
    </row>
    <row r="52" spans="1:37" x14ac:dyDescent="0.25">
      <c r="A52" s="13" t="str">
        <f ca="1"/>
        <v>0x9401</v>
      </c>
      <c r="B52" s="14" t="str">
        <f ca="1"/>
        <v>GetIPTCInfo</v>
      </c>
      <c r="D52" s="8" t="str">
        <f ca="1"/>
        <v>GetIPTCInfo</v>
      </c>
      <c r="E52" s="8" t="str">
        <f ca="1"/>
        <v>GetIPTCInfo</v>
      </c>
      <c r="F52" s="8" t="str">
        <f ca="1"/>
        <v/>
      </c>
      <c r="G52" s="8" t="str">
        <f ca="1"/>
        <v/>
      </c>
      <c r="H52" s="7" t="str">
        <f ca="1"/>
        <v/>
      </c>
      <c r="I52" s="7" t="str">
        <f ca="1"/>
        <v/>
      </c>
      <c r="J52" s="7" t="str">
        <f ca="1"/>
        <v/>
      </c>
      <c r="K52" s="7" t="str">
        <f ca="1"/>
        <v/>
      </c>
      <c r="L52" s="7" t="str">
        <f ca="1"/>
        <v>GetIPTCInfo</v>
      </c>
      <c r="M52" s="7" t="str">
        <f ca="1"/>
        <v>GetIPTCInfo</v>
      </c>
      <c r="N52" s="7" t="str">
        <f ca="1"/>
        <v>GetIPTCInfo</v>
      </c>
      <c r="O52" s="7" t="str">
        <f ca="1"/>
        <v>GetIPTCInfo</v>
      </c>
      <c r="P52" s="7" t="str">
        <f ca="1"/>
        <v/>
      </c>
      <c r="Q52" s="7" t="str">
        <f ca="1"/>
        <v/>
      </c>
      <c r="T52" s="7" t="str">
        <f ca="1"/>
        <v>Z8</v>
      </c>
      <c r="U52" s="7" t="str">
        <f ca="1"/>
        <v>0x9405</v>
      </c>
      <c r="V52" s="7" t="str">
        <f ca="1"/>
        <v>MeasureSpotWb</v>
      </c>
      <c r="X52" s="8" t="s">
        <v>54</v>
      </c>
      <c r="Y52" s="8" t="s">
        <v>52</v>
      </c>
      <c r="Z52" s="8" t="s">
        <v>54</v>
      </c>
      <c r="AA52" s="8" t="s">
        <v>54</v>
      </c>
      <c r="AB52" s="7" t="s">
        <v>54</v>
      </c>
      <c r="AC52" s="7" t="s">
        <v>54</v>
      </c>
      <c r="AD52" s="7" t="s">
        <v>54</v>
      </c>
      <c r="AE52" s="7" t="s">
        <v>54</v>
      </c>
      <c r="AF52" s="7" t="s">
        <v>54</v>
      </c>
      <c r="AG52" s="7" t="s">
        <v>54</v>
      </c>
      <c r="AH52" s="7" t="s">
        <v>54</v>
      </c>
      <c r="AI52" s="7" t="s">
        <v>54</v>
      </c>
      <c r="AJ52" s="7" t="s">
        <v>54</v>
      </c>
      <c r="AK52" s="7" t="s">
        <v>54</v>
      </c>
    </row>
    <row r="53" spans="1:37" x14ac:dyDescent="0.25">
      <c r="A53" s="13" t="str">
        <f ca="1"/>
        <v>0x9402</v>
      </c>
      <c r="B53" s="14" t="str">
        <f ca="1"/>
        <v>StartSpotWb</v>
      </c>
      <c r="D53" s="8" t="str">
        <f ca="1"/>
        <v>StartSpotWb</v>
      </c>
      <c r="E53" s="8" t="str">
        <f ca="1"/>
        <v>StartSpotWb</v>
      </c>
      <c r="F53" s="8" t="str">
        <f ca="1"/>
        <v>StartSpotWb</v>
      </c>
      <c r="G53" s="8" t="str">
        <f ca="1"/>
        <v>StartSpotWb</v>
      </c>
      <c r="H53" s="7" t="str">
        <f ca="1"/>
        <v>StartSpotWb</v>
      </c>
      <c r="I53" s="7" t="str">
        <f ca="1"/>
        <v>StartSpotWb</v>
      </c>
      <c r="J53" s="7" t="str">
        <f ca="1"/>
        <v>StartSpotWb</v>
      </c>
      <c r="K53" s="7" t="str">
        <f ca="1"/>
        <v>StartSpotWb</v>
      </c>
      <c r="L53" s="7" t="str">
        <f ca="1"/>
        <v>StartSpotWb</v>
      </c>
      <c r="M53" s="7" t="str">
        <f ca="1"/>
        <v>StartSpotWb</v>
      </c>
      <c r="N53" s="7" t="str">
        <f ca="1"/>
        <v>StartSpotWb</v>
      </c>
      <c r="O53" s="7" t="str">
        <f ca="1"/>
        <v/>
      </c>
      <c r="P53" s="7" t="str">
        <f ca="1"/>
        <v/>
      </c>
      <c r="Q53" s="7" t="str">
        <f ca="1"/>
        <v/>
      </c>
      <c r="T53" s="7" t="str">
        <f ca="1"/>
        <v>Z8</v>
      </c>
      <c r="U53" s="7" t="str">
        <f ca="1"/>
        <v>0x9406</v>
      </c>
      <c r="V53" s="7" t="str">
        <f ca="1"/>
        <v>EndSpotWbResultDisp</v>
      </c>
      <c r="X53" s="8" t="s">
        <v>55</v>
      </c>
      <c r="Y53" s="8" t="s">
        <v>53</v>
      </c>
      <c r="Z53" s="8" t="s">
        <v>55</v>
      </c>
      <c r="AA53" s="8" t="s">
        <v>55</v>
      </c>
      <c r="AB53" s="7" t="s">
        <v>55</v>
      </c>
      <c r="AC53" s="7" t="s">
        <v>55</v>
      </c>
      <c r="AD53" s="7" t="s">
        <v>55</v>
      </c>
      <c r="AE53" s="7" t="s">
        <v>55</v>
      </c>
      <c r="AF53" s="7" t="s">
        <v>55</v>
      </c>
      <c r="AG53" s="7" t="s">
        <v>55</v>
      </c>
      <c r="AH53" s="7" t="s">
        <v>55</v>
      </c>
      <c r="AI53" s="7" t="s">
        <v>55</v>
      </c>
      <c r="AJ53" s="7" t="s">
        <v>55</v>
      </c>
      <c r="AK53" s="7" t="s">
        <v>55</v>
      </c>
    </row>
    <row r="54" spans="1:37" x14ac:dyDescent="0.25">
      <c r="A54" s="13" t="str">
        <f ca="1"/>
        <v>0x9403</v>
      </c>
      <c r="B54" s="14" t="str">
        <f ca="1"/>
        <v>EndSpotWb</v>
      </c>
      <c r="D54" s="8" t="str">
        <f ca="1"/>
        <v>EndSpotWb</v>
      </c>
      <c r="E54" s="8" t="str">
        <f ca="1"/>
        <v>EndSpotWb</v>
      </c>
      <c r="F54" s="8" t="str">
        <f ca="1"/>
        <v>EndSpotWb</v>
      </c>
      <c r="G54" s="8" t="str">
        <f ca="1"/>
        <v>EndSpotWb</v>
      </c>
      <c r="H54" s="7" t="str">
        <f ca="1"/>
        <v>EndSpotWb</v>
      </c>
      <c r="I54" s="7" t="str">
        <f ca="1"/>
        <v>EndSpotWb</v>
      </c>
      <c r="J54" s="7" t="str">
        <f ca="1"/>
        <v>EndSpotWb</v>
      </c>
      <c r="K54" s="7" t="str">
        <f ca="1"/>
        <v>EndSpotWb</v>
      </c>
      <c r="L54" s="7" t="str">
        <f ca="1"/>
        <v>EndSpotWb</v>
      </c>
      <c r="M54" s="7" t="str">
        <f ca="1"/>
        <v>EndSpotWb</v>
      </c>
      <c r="N54" s="7" t="str">
        <f ca="1"/>
        <v>EndSpotWb</v>
      </c>
      <c r="O54" s="7" t="str">
        <f ca="1"/>
        <v/>
      </c>
      <c r="P54" s="7" t="str">
        <f ca="1"/>
        <v/>
      </c>
      <c r="Q54" s="7" t="str">
        <f ca="1"/>
        <v/>
      </c>
      <c r="T54" s="7" t="str">
        <f ca="1"/>
        <v>Z8</v>
      </c>
      <c r="U54" s="7" t="str">
        <f ca="1"/>
        <v>0x940C</v>
      </c>
      <c r="V54" s="7" t="str">
        <f ca="1"/>
        <v>CancelImagesInSdram</v>
      </c>
      <c r="X54" s="8" t="s">
        <v>56</v>
      </c>
      <c r="Y54" s="8" t="s">
        <v>54</v>
      </c>
      <c r="Z54" s="8" t="s">
        <v>56</v>
      </c>
      <c r="AA54" s="8" t="s">
        <v>56</v>
      </c>
      <c r="AB54" s="7" t="s">
        <v>56</v>
      </c>
      <c r="AC54" s="7" t="s">
        <v>56</v>
      </c>
      <c r="AD54" s="7" t="s">
        <v>56</v>
      </c>
      <c r="AE54" s="7" t="s">
        <v>56</v>
      </c>
      <c r="AF54" s="7" t="s">
        <v>56</v>
      </c>
      <c r="AG54" s="7" t="s">
        <v>56</v>
      </c>
      <c r="AH54" s="7" t="s">
        <v>56</v>
      </c>
      <c r="AI54" s="7" t="s">
        <v>56</v>
      </c>
      <c r="AJ54" s="7" t="s">
        <v>56</v>
      </c>
      <c r="AK54" s="7" t="s">
        <v>56</v>
      </c>
    </row>
    <row r="55" spans="1:37" x14ac:dyDescent="0.25">
      <c r="A55" s="13" t="str">
        <f ca="1"/>
        <v>0x9404</v>
      </c>
      <c r="B55" s="14" t="str">
        <f ca="1"/>
        <v>ChangeSpotWbArea</v>
      </c>
      <c r="D55" s="8" t="str">
        <f ca="1"/>
        <v>ChangeSpotWbArea</v>
      </c>
      <c r="E55" s="8" t="str">
        <f ca="1"/>
        <v>ChangeSpotWbArea</v>
      </c>
      <c r="F55" s="8" t="str">
        <f ca="1"/>
        <v>ChangeSpotWbArea</v>
      </c>
      <c r="G55" s="8" t="str">
        <f ca="1"/>
        <v>ChangeSpotWbArea</v>
      </c>
      <c r="H55" s="7" t="str">
        <f ca="1"/>
        <v>ChangeSpotWbArea</v>
      </c>
      <c r="I55" s="7" t="str">
        <f ca="1"/>
        <v>ChangeSpotWbArea</v>
      </c>
      <c r="J55" s="7" t="str">
        <f ca="1"/>
        <v>ChangeSpotWbArea</v>
      </c>
      <c r="K55" s="7" t="str">
        <f ca="1"/>
        <v>ChangeSpotWbArea</v>
      </c>
      <c r="L55" s="7" t="str">
        <f ca="1"/>
        <v>ChangeSpotWbArea</v>
      </c>
      <c r="M55" s="7" t="str">
        <f ca="1"/>
        <v>ChangeSpotWbArea</v>
      </c>
      <c r="N55" s="7" t="str">
        <f ca="1"/>
        <v>ChangeSpotWbArea</v>
      </c>
      <c r="O55" s="7" t="str">
        <f ca="1"/>
        <v/>
      </c>
      <c r="P55" s="7" t="str">
        <f ca="1"/>
        <v/>
      </c>
      <c r="Q55" s="7" t="str">
        <f ca="1"/>
        <v/>
      </c>
      <c r="T55" s="7" t="str">
        <f ca="1"/>
        <v>Z8</v>
      </c>
      <c r="U55" s="7" t="str">
        <f ca="1"/>
        <v>0x9412</v>
      </c>
      <c r="V55" s="7" t="str">
        <f ca="1"/>
        <v>GetIPTCPresetInfo</v>
      </c>
      <c r="X55" s="8" t="s">
        <v>57</v>
      </c>
      <c r="Y55" s="8" t="s">
        <v>55</v>
      </c>
      <c r="Z55" s="8" t="s">
        <v>57</v>
      </c>
      <c r="AA55" s="8" t="s">
        <v>57</v>
      </c>
      <c r="AB55" s="7" t="s">
        <v>57</v>
      </c>
      <c r="AC55" s="7" t="s">
        <v>57</v>
      </c>
      <c r="AD55" s="7" t="s">
        <v>57</v>
      </c>
      <c r="AE55" s="7" t="s">
        <v>57</v>
      </c>
      <c r="AF55" s="7" t="s">
        <v>57</v>
      </c>
      <c r="AG55" s="7" t="s">
        <v>57</v>
      </c>
      <c r="AH55" s="7" t="s">
        <v>57</v>
      </c>
      <c r="AI55" s="7" t="s">
        <v>57</v>
      </c>
      <c r="AJ55" s="7" t="s">
        <v>57</v>
      </c>
      <c r="AK55" s="7" t="s">
        <v>57</v>
      </c>
    </row>
    <row r="56" spans="1:37" x14ac:dyDescent="0.25">
      <c r="A56" s="13" t="str">
        <f ca="1"/>
        <v>0x9405</v>
      </c>
      <c r="B56" s="14" t="str">
        <f ca="1"/>
        <v>MeasureSpotWb</v>
      </c>
      <c r="D56" s="8" t="str">
        <f ca="1"/>
        <v>MeasureSpotWb</v>
      </c>
      <c r="E56" s="8" t="str">
        <f ca="1"/>
        <v>MeasureSpotWb</v>
      </c>
      <c r="F56" s="8" t="str">
        <f ca="1"/>
        <v>MeasureSpotWb</v>
      </c>
      <c r="G56" s="8" t="str">
        <f ca="1"/>
        <v>MeasureSpotWb</v>
      </c>
      <c r="H56" s="7" t="str">
        <f ca="1"/>
        <v>MeasureSpotWb</v>
      </c>
      <c r="I56" s="7" t="str">
        <f ca="1"/>
        <v>MeasureSpotWb</v>
      </c>
      <c r="J56" s="7" t="str">
        <f ca="1"/>
        <v>MeasureSpotWb</v>
      </c>
      <c r="K56" s="7" t="str">
        <f ca="1"/>
        <v>MeasureSpotWb</v>
      </c>
      <c r="L56" s="7" t="str">
        <f ca="1"/>
        <v>MeasureSpotWb</v>
      </c>
      <c r="M56" s="7" t="str">
        <f ca="1"/>
        <v>MeasureSpotWb</v>
      </c>
      <c r="N56" s="7" t="str">
        <f ca="1"/>
        <v>MeasureSpotWb</v>
      </c>
      <c r="O56" s="7" t="str">
        <f ca="1"/>
        <v/>
      </c>
      <c r="P56" s="7" t="str">
        <f ca="1"/>
        <v/>
      </c>
      <c r="Q56" s="7" t="str">
        <f ca="1"/>
        <v/>
      </c>
      <c r="T56" s="7" t="str">
        <f ca="1"/>
        <v>Z8</v>
      </c>
      <c r="U56" s="7" t="str">
        <f ca="1"/>
        <v>0x9413</v>
      </c>
      <c r="V56" s="7" t="str">
        <f ca="1"/>
        <v>SetIPTCPresetInfo</v>
      </c>
      <c r="X56" s="8" t="s">
        <v>58</v>
      </c>
      <c r="Y56" s="8" t="s">
        <v>56</v>
      </c>
      <c r="Z56" s="8" t="s">
        <v>58</v>
      </c>
      <c r="AA56" s="8" t="s">
        <v>58</v>
      </c>
      <c r="AB56" s="7" t="s">
        <v>58</v>
      </c>
      <c r="AC56" s="7" t="s">
        <v>58</v>
      </c>
      <c r="AD56" s="7" t="s">
        <v>58</v>
      </c>
      <c r="AE56" s="7" t="s">
        <v>58</v>
      </c>
      <c r="AF56" s="7" t="s">
        <v>58</v>
      </c>
      <c r="AG56" s="7" t="s">
        <v>58</v>
      </c>
      <c r="AH56" s="7" t="s">
        <v>58</v>
      </c>
      <c r="AI56" s="7" t="s">
        <v>58</v>
      </c>
      <c r="AJ56" s="7" t="s">
        <v>58</v>
      </c>
      <c r="AK56" s="7" t="s">
        <v>58</v>
      </c>
    </row>
    <row r="57" spans="1:37" x14ac:dyDescent="0.25">
      <c r="A57" s="13" t="str">
        <f ca="1"/>
        <v>0x9406</v>
      </c>
      <c r="B57" s="14" t="str">
        <f ca="1"/>
        <v>EndSpotWbResultDisp</v>
      </c>
      <c r="D57" s="8" t="str">
        <f ca="1"/>
        <v>EndSpotWbResultDisp</v>
      </c>
      <c r="E57" s="8" t="str">
        <f ca="1"/>
        <v>EndSpotWbResultDisp</v>
      </c>
      <c r="F57" s="8" t="str">
        <f ca="1"/>
        <v>EndSpotWbResultDisp</v>
      </c>
      <c r="G57" s="8" t="str">
        <f ca="1"/>
        <v>EndSpotWbResultDisp</v>
      </c>
      <c r="H57" s="7" t="str">
        <f ca="1"/>
        <v>EndSpotWbResultDisp</v>
      </c>
      <c r="I57" s="7" t="str">
        <f ca="1"/>
        <v>EndSpotWbResultDisp</v>
      </c>
      <c r="J57" s="7" t="str">
        <f ca="1"/>
        <v>EndSpotWbResultDisp</v>
      </c>
      <c r="K57" s="7" t="str">
        <f ca="1"/>
        <v>EndSpotWbResultDisp</v>
      </c>
      <c r="L57" s="7" t="str">
        <f ca="1"/>
        <v>EndSpotWbResultDisp</v>
      </c>
      <c r="M57" s="7" t="str">
        <f ca="1"/>
        <v>EndSpotWbResultDisp</v>
      </c>
      <c r="N57" s="7" t="str">
        <f ca="1"/>
        <v>EndSpotWbResultDisp</v>
      </c>
      <c r="O57" s="7" t="str">
        <f ca="1"/>
        <v/>
      </c>
      <c r="P57" s="7" t="str">
        <f ca="1"/>
        <v/>
      </c>
      <c r="Q57" s="7" t="str">
        <f ca="1"/>
        <v/>
      </c>
      <c r="T57" s="7" t="str">
        <f ca="1"/>
        <v>Z8</v>
      </c>
      <c r="U57" s="7" t="str">
        <f ca="1"/>
        <v>0x9414</v>
      </c>
      <c r="V57" s="7" t="str">
        <f ca="1"/>
        <v>GetSBHandles</v>
      </c>
      <c r="X57" s="8" t="s">
        <v>59</v>
      </c>
      <c r="Y57" s="8" t="s">
        <v>57</v>
      </c>
      <c r="Z57" s="8" t="s">
        <v>1189</v>
      </c>
      <c r="AA57" s="8" t="s">
        <v>1189</v>
      </c>
      <c r="AB57" s="7" t="s">
        <v>1189</v>
      </c>
      <c r="AC57" s="7" t="s">
        <v>1189</v>
      </c>
      <c r="AD57" s="7" t="s">
        <v>1189</v>
      </c>
      <c r="AE57" s="7" t="s">
        <v>1189</v>
      </c>
      <c r="AF57" s="7" t="s">
        <v>1189</v>
      </c>
      <c r="AG57" s="7" t="s">
        <v>1189</v>
      </c>
      <c r="AH57" s="7" t="s">
        <v>1189</v>
      </c>
      <c r="AI57" s="7" t="s">
        <v>1189</v>
      </c>
      <c r="AJ57" s="7" t="s">
        <v>1189</v>
      </c>
      <c r="AK57" s="7" t="s">
        <v>1189</v>
      </c>
    </row>
    <row r="58" spans="1:37" x14ac:dyDescent="0.25">
      <c r="A58" s="13" t="str">
        <f ca="1"/>
        <v>0x940C</v>
      </c>
      <c r="B58" s="14" t="str">
        <f ca="1"/>
        <v>CancelImagesInSdram</v>
      </c>
      <c r="D58" s="8" t="str">
        <f ca="1"/>
        <v>CancelImagesInSdram</v>
      </c>
      <c r="E58" s="8" t="str">
        <f ca="1"/>
        <v>CancelImagesInSdram</v>
      </c>
      <c r="F58" s="8" t="str">
        <f ca="1"/>
        <v>CancelImagesInSdram</v>
      </c>
      <c r="G58" s="8" t="str">
        <f ca="1"/>
        <v>CancelImagesInSdram</v>
      </c>
      <c r="H58" s="7" t="str">
        <f ca="1"/>
        <v>CancelImagesInSdram</v>
      </c>
      <c r="I58" s="7" t="str">
        <f ca="1"/>
        <v>CancelImagesInSdram</v>
      </c>
      <c r="J58" s="7" t="str">
        <f ca="1"/>
        <v>CancelImagesInSdram</v>
      </c>
      <c r="K58" s="7" t="str">
        <f ca="1"/>
        <v>CancelImagesInSdram</v>
      </c>
      <c r="L58" s="7" t="str">
        <f ca="1"/>
        <v>CancelImagesInSdram</v>
      </c>
      <c r="M58" s="7" t="str">
        <f ca="1"/>
        <v>CancelImagesInSdram</v>
      </c>
      <c r="N58" s="7" t="str">
        <f ca="1"/>
        <v>CancelImagesInSdram</v>
      </c>
      <c r="O58" s="7" t="str">
        <f ca="1"/>
        <v/>
      </c>
      <c r="P58" s="7" t="str">
        <f ca="1"/>
        <v/>
      </c>
      <c r="Q58" s="7" t="str">
        <f ca="1"/>
        <v/>
      </c>
      <c r="T58" s="7" t="str">
        <f ca="1"/>
        <v>Z8</v>
      </c>
      <c r="U58" s="7" t="str">
        <f ca="1"/>
        <v>0x9415</v>
      </c>
      <c r="V58" s="7" t="str">
        <f ca="1"/>
        <v>GetSBAttrDesc</v>
      </c>
      <c r="X58" s="8" t="s">
        <v>60</v>
      </c>
      <c r="Y58" s="8" t="s">
        <v>58</v>
      </c>
      <c r="Z58" s="8" t="s">
        <v>1190</v>
      </c>
      <c r="AA58" s="8" t="s">
        <v>1190</v>
      </c>
      <c r="AB58" s="7" t="s">
        <v>1190</v>
      </c>
      <c r="AC58" s="7" t="s">
        <v>1190</v>
      </c>
      <c r="AD58" s="7" t="s">
        <v>1190</v>
      </c>
      <c r="AE58" s="7" t="s">
        <v>1190</v>
      </c>
      <c r="AF58" s="7" t="s">
        <v>1190</v>
      </c>
      <c r="AG58" s="7" t="s">
        <v>1190</v>
      </c>
      <c r="AH58" s="7" t="s">
        <v>1190</v>
      </c>
      <c r="AI58" s="7" t="s">
        <v>1190</v>
      </c>
      <c r="AJ58" s="7" t="s">
        <v>1190</v>
      </c>
      <c r="AK58" s="7" t="s">
        <v>1190</v>
      </c>
    </row>
    <row r="59" spans="1:37" x14ac:dyDescent="0.25">
      <c r="A59" s="13" t="str">
        <f ca="1"/>
        <v>0x940D</v>
      </c>
      <c r="B59" s="14" t="str">
        <f ca="1"/>
        <v>GetPicCtrlDataEx</v>
      </c>
      <c r="D59" s="8" t="str">
        <f ca="1"/>
        <v/>
      </c>
      <c r="E59" s="8" t="str">
        <f ca="1"/>
        <v/>
      </c>
      <c r="F59" s="8" t="str">
        <f ca="1"/>
        <v/>
      </c>
      <c r="G59" s="8" t="str">
        <f ca="1"/>
        <v/>
      </c>
      <c r="H59" s="7" t="str">
        <f ca="1"/>
        <v/>
      </c>
      <c r="I59" s="7" t="str">
        <f ca="1"/>
        <v/>
      </c>
      <c r="J59" s="7" t="str">
        <f ca="1"/>
        <v/>
      </c>
      <c r="K59" s="7" t="str">
        <f ca="1"/>
        <v/>
      </c>
      <c r="L59" s="7" t="str">
        <f ca="1"/>
        <v/>
      </c>
      <c r="M59" s="7" t="str">
        <f ca="1"/>
        <v>GetPicCtrlDataEx</v>
      </c>
      <c r="N59" s="7" t="str">
        <f ca="1"/>
        <v/>
      </c>
      <c r="O59" s="7" t="str">
        <f ca="1"/>
        <v/>
      </c>
      <c r="P59" s="7" t="str">
        <f ca="1"/>
        <v/>
      </c>
      <c r="Q59" s="7" t="str">
        <f ca="1"/>
        <v/>
      </c>
      <c r="T59" s="7" t="str">
        <f ca="1"/>
        <v>Z8</v>
      </c>
      <c r="U59" s="7" t="str">
        <f ca="1"/>
        <v>0x9416</v>
      </c>
      <c r="V59" s="7" t="str">
        <f ca="1"/>
        <v>GetSBAttrValue</v>
      </c>
      <c r="X59" s="8" t="s">
        <v>61</v>
      </c>
      <c r="Y59" s="8" t="s">
        <v>59</v>
      </c>
      <c r="Z59" s="8" t="s">
        <v>59</v>
      </c>
      <c r="AA59" s="8" t="s">
        <v>59</v>
      </c>
      <c r="AB59" s="7" t="s">
        <v>59</v>
      </c>
      <c r="AC59" s="7" t="s">
        <v>59</v>
      </c>
      <c r="AD59" s="7" t="s">
        <v>59</v>
      </c>
      <c r="AE59" s="7" t="s">
        <v>59</v>
      </c>
      <c r="AF59" s="7" t="s">
        <v>59</v>
      </c>
      <c r="AG59" s="7" t="s">
        <v>59</v>
      </c>
      <c r="AH59" s="7" t="s">
        <v>59</v>
      </c>
      <c r="AI59" s="7" t="s">
        <v>59</v>
      </c>
      <c r="AJ59" s="7" t="s">
        <v>59</v>
      </c>
      <c r="AK59" s="7" t="s">
        <v>59</v>
      </c>
    </row>
    <row r="60" spans="1:37" x14ac:dyDescent="0.25">
      <c r="A60" s="13" t="str">
        <f ca="1"/>
        <v>0x940E</v>
      </c>
      <c r="B60" s="14" t="str">
        <f ca="1"/>
        <v>SetPicCtrlDataEx</v>
      </c>
      <c r="D60" s="8" t="str">
        <f ca="1"/>
        <v/>
      </c>
      <c r="E60" s="8" t="str">
        <f ca="1"/>
        <v/>
      </c>
      <c r="F60" s="8" t="str">
        <f ca="1"/>
        <v/>
      </c>
      <c r="G60" s="8" t="str">
        <f ca="1"/>
        <v/>
      </c>
      <c r="H60" s="7" t="str">
        <f ca="1"/>
        <v/>
      </c>
      <c r="I60" s="7" t="str">
        <f ca="1"/>
        <v/>
      </c>
      <c r="J60" s="7" t="str">
        <f ca="1"/>
        <v/>
      </c>
      <c r="K60" s="7" t="str">
        <f ca="1"/>
        <v/>
      </c>
      <c r="L60" s="7" t="str">
        <f ca="1"/>
        <v/>
      </c>
      <c r="M60" s="7" t="str">
        <f ca="1"/>
        <v>SetPicCtrlDataEx</v>
      </c>
      <c r="N60" s="7" t="str">
        <f ca="1"/>
        <v/>
      </c>
      <c r="O60" s="7" t="str">
        <f ca="1"/>
        <v/>
      </c>
      <c r="P60" s="7" t="str">
        <f ca="1"/>
        <v/>
      </c>
      <c r="Q60" s="7" t="str">
        <f ca="1"/>
        <v/>
      </c>
      <c r="T60" s="7" t="str">
        <f ca="1"/>
        <v>Z8</v>
      </c>
      <c r="U60" s="7" t="str">
        <f ca="1"/>
        <v>0x9417</v>
      </c>
      <c r="V60" s="7" t="str">
        <f ca="1"/>
        <v>SetSBAttrValue</v>
      </c>
      <c r="X60" s="8" t="s">
        <v>62</v>
      </c>
      <c r="Y60" s="8" t="s">
        <v>60</v>
      </c>
      <c r="Z60" s="8" t="s">
        <v>60</v>
      </c>
      <c r="AA60" s="8" t="s">
        <v>60</v>
      </c>
      <c r="AB60" s="7" t="s">
        <v>60</v>
      </c>
      <c r="AC60" s="7" t="s">
        <v>60</v>
      </c>
      <c r="AD60" s="7" t="s">
        <v>60</v>
      </c>
      <c r="AE60" s="7" t="s">
        <v>60</v>
      </c>
      <c r="AF60" s="7" t="s">
        <v>60</v>
      </c>
      <c r="AG60" s="7" t="s">
        <v>60</v>
      </c>
      <c r="AH60" s="7" t="s">
        <v>60</v>
      </c>
      <c r="AI60" s="7" t="s">
        <v>60</v>
      </c>
      <c r="AJ60" s="7" t="s">
        <v>60</v>
      </c>
      <c r="AK60" s="7" t="s">
        <v>60</v>
      </c>
    </row>
    <row r="61" spans="1:37" x14ac:dyDescent="0.25">
      <c r="A61" s="13" t="str">
        <f ca="1"/>
        <v>0x940F</v>
      </c>
      <c r="B61" s="14" t="str">
        <f ca="1"/>
        <v>DeleteMovieCustomPicCtrl</v>
      </c>
      <c r="D61" s="8" t="str">
        <f ca="1"/>
        <v/>
      </c>
      <c r="E61" s="8" t="str">
        <f ca="1"/>
        <v/>
      </c>
      <c r="F61" s="8" t="str">
        <f ca="1"/>
        <v/>
      </c>
      <c r="G61" s="8" t="str">
        <f ca="1"/>
        <v/>
      </c>
      <c r="H61" s="7" t="str">
        <f ca="1"/>
        <v/>
      </c>
      <c r="I61" s="7" t="str">
        <f ca="1"/>
        <v/>
      </c>
      <c r="J61" s="7" t="str">
        <f ca="1"/>
        <v/>
      </c>
      <c r="K61" s="7" t="str">
        <f ca="1"/>
        <v/>
      </c>
      <c r="L61" s="7" t="str">
        <f ca="1"/>
        <v/>
      </c>
      <c r="M61" s="7" t="str">
        <f ca="1"/>
        <v>DeleteMovieCustomPicCtrl</v>
      </c>
      <c r="N61" s="7" t="str">
        <f ca="1"/>
        <v/>
      </c>
      <c r="O61" s="7" t="str">
        <f ca="1"/>
        <v/>
      </c>
      <c r="P61" s="7" t="str">
        <f ca="1"/>
        <v/>
      </c>
      <c r="Q61" s="7" t="str">
        <f ca="1"/>
        <v/>
      </c>
      <c r="T61" s="7" t="str">
        <f ca="1"/>
        <v>Z8</v>
      </c>
      <c r="U61" s="7" t="str">
        <f ca="1"/>
        <v>0x9418</v>
      </c>
      <c r="V61" s="7" t="str">
        <f ca="1"/>
        <v>GetSBGroupAttrDesc</v>
      </c>
      <c r="X61" s="8" t="s">
        <v>63</v>
      </c>
      <c r="Y61" s="8" t="s">
        <v>61</v>
      </c>
      <c r="Z61" s="8" t="s">
        <v>61</v>
      </c>
      <c r="AA61" s="8" t="s">
        <v>61</v>
      </c>
      <c r="AB61" s="7" t="s">
        <v>61</v>
      </c>
      <c r="AC61" s="7" t="s">
        <v>61</v>
      </c>
      <c r="AD61" s="7" t="s">
        <v>61</v>
      </c>
      <c r="AE61" s="7" t="s">
        <v>61</v>
      </c>
      <c r="AF61" s="7" t="s">
        <v>61</v>
      </c>
      <c r="AG61" s="7" t="s">
        <v>61</v>
      </c>
      <c r="AH61" s="7" t="s">
        <v>61</v>
      </c>
      <c r="AI61" s="7" t="s">
        <v>61</v>
      </c>
      <c r="AJ61" s="7" t="s">
        <v>61</v>
      </c>
      <c r="AK61" s="7" t="s">
        <v>61</v>
      </c>
    </row>
    <row r="62" spans="1:37" x14ac:dyDescent="0.25">
      <c r="A62" s="13" t="str">
        <f ca="1"/>
        <v>0x9410</v>
      </c>
      <c r="B62" s="14" t="str">
        <f ca="1"/>
        <v>GetMoviePicCtrlCapability</v>
      </c>
      <c r="D62" s="8" t="str">
        <f ca="1"/>
        <v/>
      </c>
      <c r="E62" s="8" t="str">
        <f ca="1"/>
        <v/>
      </c>
      <c r="F62" s="8" t="str">
        <f ca="1"/>
        <v/>
      </c>
      <c r="G62" s="8" t="str">
        <f ca="1"/>
        <v/>
      </c>
      <c r="H62" s="7" t="str">
        <f ca="1"/>
        <v/>
      </c>
      <c r="I62" s="7" t="str">
        <f ca="1"/>
        <v/>
      </c>
      <c r="J62" s="7" t="str">
        <f ca="1"/>
        <v/>
      </c>
      <c r="K62" s="7" t="str">
        <f ca="1"/>
        <v/>
      </c>
      <c r="L62" s="7" t="str">
        <f ca="1"/>
        <v/>
      </c>
      <c r="M62" s="7" t="str">
        <f ca="1"/>
        <v>GetMoviePicCtrlCapability</v>
      </c>
      <c r="N62" s="7" t="str">
        <f ca="1"/>
        <v/>
      </c>
      <c r="O62" s="7" t="str">
        <f ca="1"/>
        <v/>
      </c>
      <c r="P62" s="7" t="str">
        <f ca="1"/>
        <v/>
      </c>
      <c r="Q62" s="7" t="str">
        <f ca="1"/>
        <v/>
      </c>
      <c r="T62" s="7" t="str">
        <f ca="1"/>
        <v>Z8</v>
      </c>
      <c r="U62" s="7" t="str">
        <f ca="1"/>
        <v>0x9419</v>
      </c>
      <c r="V62" s="7" t="str">
        <f ca="1"/>
        <v>GetSBGroupAttrValue</v>
      </c>
      <c r="X62" s="8" t="s">
        <v>64</v>
      </c>
      <c r="Y62" s="8" t="s">
        <v>62</v>
      </c>
      <c r="Z62" s="8" t="s">
        <v>62</v>
      </c>
      <c r="AA62" s="8" t="s">
        <v>62</v>
      </c>
      <c r="AB62" s="7" t="s">
        <v>62</v>
      </c>
      <c r="AC62" s="7" t="s">
        <v>62</v>
      </c>
      <c r="AD62" s="7" t="s">
        <v>62</v>
      </c>
      <c r="AE62" s="7" t="s">
        <v>62</v>
      </c>
      <c r="AF62" s="7" t="s">
        <v>62</v>
      </c>
      <c r="AG62" s="7" t="s">
        <v>62</v>
      </c>
      <c r="AH62" s="7" t="s">
        <v>62</v>
      </c>
      <c r="AI62" s="7" t="s">
        <v>62</v>
      </c>
      <c r="AJ62" s="7" t="s">
        <v>62</v>
      </c>
      <c r="AK62" s="7" t="s">
        <v>62</v>
      </c>
    </row>
    <row r="63" spans="1:37" x14ac:dyDescent="0.25">
      <c r="A63" s="13" t="str">
        <f ca="1"/>
        <v>0x9412</v>
      </c>
      <c r="B63" s="14" t="str">
        <f ca="1"/>
        <v>GetIPTCPresetInfo</v>
      </c>
      <c r="D63" s="8" t="str">
        <f ca="1"/>
        <v>GetIPTCPresetInfo</v>
      </c>
      <c r="E63" s="8" t="str">
        <f ca="1"/>
        <v>GetIPTCPresetInfo</v>
      </c>
      <c r="F63" s="8" t="str">
        <f ca="1"/>
        <v/>
      </c>
      <c r="G63" s="8" t="str">
        <f ca="1"/>
        <v/>
      </c>
      <c r="H63" s="7" t="str">
        <f ca="1"/>
        <v/>
      </c>
      <c r="I63" s="7" t="str">
        <f ca="1"/>
        <v/>
      </c>
      <c r="J63" s="7" t="str">
        <f ca="1"/>
        <v/>
      </c>
      <c r="K63" s="7" t="str">
        <f ca="1"/>
        <v/>
      </c>
      <c r="L63" s="7" t="str">
        <f ca="1"/>
        <v>GetIPTCPresetInfo</v>
      </c>
      <c r="M63" s="7" t="str">
        <f ca="1"/>
        <v>GetIPTCPresetInfo</v>
      </c>
      <c r="N63" s="7" t="str">
        <f ca="1"/>
        <v/>
      </c>
      <c r="O63" s="7" t="str">
        <f ca="1"/>
        <v/>
      </c>
      <c r="P63" s="7" t="str">
        <f ca="1"/>
        <v/>
      </c>
      <c r="Q63" s="7" t="str">
        <f ca="1"/>
        <v/>
      </c>
      <c r="T63" s="7" t="str">
        <f ca="1"/>
        <v>Z8</v>
      </c>
      <c r="U63" s="7" t="str">
        <f ca="1"/>
        <v>0x941A</v>
      </c>
      <c r="V63" s="7" t="str">
        <f ca="1"/>
        <v>SetSBGroupAttrValue</v>
      </c>
      <c r="X63" s="8" t="s">
        <v>65</v>
      </c>
      <c r="Y63" s="8" t="s">
        <v>63</v>
      </c>
      <c r="Z63" s="8" t="s">
        <v>63</v>
      </c>
      <c r="AA63" s="8" t="s">
        <v>63</v>
      </c>
      <c r="AB63" s="7" t="s">
        <v>63</v>
      </c>
      <c r="AC63" s="7" t="s">
        <v>63</v>
      </c>
      <c r="AD63" s="7" t="s">
        <v>63</v>
      </c>
      <c r="AE63" s="7" t="s">
        <v>63</v>
      </c>
      <c r="AF63" s="7" t="s">
        <v>63</v>
      </c>
      <c r="AG63" s="7" t="s">
        <v>63</v>
      </c>
      <c r="AH63" s="7" t="s">
        <v>63</v>
      </c>
      <c r="AI63" s="7" t="s">
        <v>63</v>
      </c>
      <c r="AJ63" s="7" t="s">
        <v>63</v>
      </c>
      <c r="AK63" s="7" t="s">
        <v>63</v>
      </c>
    </row>
    <row r="64" spans="1:37" x14ac:dyDescent="0.25">
      <c r="A64" s="13" t="str">
        <f ca="1"/>
        <v>0x9413</v>
      </c>
      <c r="B64" s="14" t="str">
        <f ca="1"/>
        <v>SetIPTCPresetInfo</v>
      </c>
      <c r="D64" s="8" t="str">
        <f ca="1"/>
        <v>SetIPTCPresetInfo</v>
      </c>
      <c r="E64" s="8" t="str">
        <f ca="1"/>
        <v>SetIPTCPresetInfo</v>
      </c>
      <c r="F64" s="8" t="str">
        <f ca="1"/>
        <v/>
      </c>
      <c r="G64" s="8" t="str">
        <f ca="1"/>
        <v/>
      </c>
      <c r="H64" s="7" t="str">
        <f ca="1"/>
        <v/>
      </c>
      <c r="I64" s="7" t="str">
        <f ca="1"/>
        <v/>
      </c>
      <c r="J64" s="7" t="str">
        <f ca="1"/>
        <v/>
      </c>
      <c r="K64" s="7" t="str">
        <f ca="1"/>
        <v/>
      </c>
      <c r="L64" s="7" t="str">
        <f ca="1"/>
        <v>SetIPTCPresetInfo</v>
      </c>
      <c r="M64" s="7" t="str">
        <f ca="1"/>
        <v>SetIPTCPresetInfo</v>
      </c>
      <c r="N64" s="7" t="str">
        <f ca="1"/>
        <v/>
      </c>
      <c r="O64" s="7" t="str">
        <f ca="1"/>
        <v/>
      </c>
      <c r="P64" s="7" t="str">
        <f ca="1"/>
        <v/>
      </c>
      <c r="Q64" s="7" t="str">
        <f ca="1"/>
        <v/>
      </c>
      <c r="T64" s="7" t="str">
        <f ca="1"/>
        <v>Z8</v>
      </c>
      <c r="U64" s="7" t="str">
        <f ca="1"/>
        <v>0x941B</v>
      </c>
      <c r="V64" s="7" t="str">
        <f ca="1"/>
        <v>TestFlash</v>
      </c>
      <c r="X64" s="8" t="s">
        <v>66</v>
      </c>
      <c r="Y64" s="8" t="s">
        <v>64</v>
      </c>
      <c r="Z64" s="8" t="s">
        <v>64</v>
      </c>
      <c r="AA64" s="8" t="s">
        <v>64</v>
      </c>
      <c r="AB64" s="7" t="s">
        <v>64</v>
      </c>
      <c r="AC64" s="7" t="s">
        <v>64</v>
      </c>
      <c r="AD64" s="7" t="s">
        <v>64</v>
      </c>
      <c r="AE64" s="7" t="s">
        <v>64</v>
      </c>
      <c r="AF64" s="7" t="s">
        <v>64</v>
      </c>
      <c r="AG64" s="7" t="s">
        <v>64</v>
      </c>
      <c r="AH64" s="7" t="s">
        <v>64</v>
      </c>
      <c r="AI64" s="7" t="s">
        <v>64</v>
      </c>
      <c r="AJ64" s="7" t="s">
        <v>64</v>
      </c>
      <c r="AK64" s="7" t="s">
        <v>64</v>
      </c>
    </row>
    <row r="65" spans="1:37" x14ac:dyDescent="0.25">
      <c r="A65" s="13" t="str">
        <f ca="1"/>
        <v>0x9414</v>
      </c>
      <c r="B65" s="14" t="str">
        <f ca="1"/>
        <v>GetSBHandles</v>
      </c>
      <c r="D65" s="8" t="str">
        <f ca="1"/>
        <v>GetSBHandles</v>
      </c>
      <c r="E65" s="8" t="str">
        <f ca="1"/>
        <v>GetSBHandles</v>
      </c>
      <c r="F65" s="8" t="str">
        <f ca="1"/>
        <v>GetSBHandles</v>
      </c>
      <c r="G65" s="8" t="str">
        <f ca="1"/>
        <v>GetSBHandles</v>
      </c>
      <c r="H65" s="7" t="str">
        <f ca="1"/>
        <v/>
      </c>
      <c r="I65" s="7" t="str">
        <f ca="1"/>
        <v>GetSBHandles</v>
      </c>
      <c r="J65" s="7" t="str">
        <f ca="1"/>
        <v>GetSBHandles</v>
      </c>
      <c r="K65" s="7" t="str">
        <f ca="1"/>
        <v>GetSBHandles</v>
      </c>
      <c r="L65" s="7" t="str">
        <f ca="1"/>
        <v>GetSBHandles</v>
      </c>
      <c r="M65" s="7" t="str">
        <f ca="1"/>
        <v>GetSBHandles</v>
      </c>
      <c r="N65" s="7" t="str">
        <f ca="1"/>
        <v/>
      </c>
      <c r="O65" s="7" t="str">
        <f ca="1"/>
        <v/>
      </c>
      <c r="P65" s="7" t="str">
        <f ca="1"/>
        <v/>
      </c>
      <c r="Q65" s="7" t="str">
        <f ca="1"/>
        <v/>
      </c>
      <c r="T65" s="7" t="str">
        <f ca="1"/>
        <v>Z8</v>
      </c>
      <c r="U65" s="7" t="str">
        <f ca="1"/>
        <v>0x941C</v>
      </c>
      <c r="V65" s="7" t="str">
        <f ca="1"/>
        <v>GetEventEx</v>
      </c>
      <c r="X65" s="8" t="s">
        <v>67</v>
      </c>
      <c r="Y65" s="8" t="s">
        <v>65</v>
      </c>
      <c r="Z65" s="8" t="s">
        <v>65</v>
      </c>
      <c r="AA65" s="8" t="s">
        <v>65</v>
      </c>
      <c r="AB65" s="7" t="s">
        <v>65</v>
      </c>
      <c r="AC65" s="7" t="s">
        <v>65</v>
      </c>
      <c r="AD65" s="7" t="s">
        <v>65</v>
      </c>
      <c r="AE65" s="7" t="s">
        <v>65</v>
      </c>
      <c r="AF65" s="7" t="s">
        <v>65</v>
      </c>
      <c r="AG65" s="7" t="s">
        <v>65</v>
      </c>
      <c r="AH65" s="7" t="s">
        <v>65</v>
      </c>
      <c r="AI65" s="7" t="s">
        <v>65</v>
      </c>
      <c r="AJ65" s="7" t="s">
        <v>65</v>
      </c>
      <c r="AK65" s="7" t="s">
        <v>65</v>
      </c>
    </row>
    <row r="66" spans="1:37" x14ac:dyDescent="0.25">
      <c r="A66" s="13" t="str">
        <f ca="1"/>
        <v>0x9415</v>
      </c>
      <c r="B66" s="14" t="str">
        <f ca="1"/>
        <v>GetSBAttrDesc</v>
      </c>
      <c r="D66" s="8" t="str">
        <f ca="1"/>
        <v>GetSBAttrDesc</v>
      </c>
      <c r="E66" s="8" t="str">
        <f ca="1"/>
        <v>GetSBAttrDesc</v>
      </c>
      <c r="F66" s="8" t="str">
        <f ca="1"/>
        <v>GetSBAttrDesc</v>
      </c>
      <c r="G66" s="8" t="str">
        <f ca="1"/>
        <v>GetSBAttrDesc</v>
      </c>
      <c r="H66" s="7" t="str">
        <f ca="1"/>
        <v/>
      </c>
      <c r="I66" s="7" t="str">
        <f ca="1"/>
        <v>GetSBAttrDesc</v>
      </c>
      <c r="J66" s="7" t="str">
        <f ca="1"/>
        <v>GetSBAttrDesc</v>
      </c>
      <c r="K66" s="7" t="str">
        <f ca="1"/>
        <v>GetSBAttrDesc</v>
      </c>
      <c r="L66" s="7" t="str">
        <f ca="1"/>
        <v>GetSBAttrDesc</v>
      </c>
      <c r="M66" s="7" t="str">
        <f ca="1"/>
        <v>GetSBAttrDesc</v>
      </c>
      <c r="N66" s="7" t="str">
        <f ca="1"/>
        <v/>
      </c>
      <c r="O66" s="7" t="str">
        <f ca="1"/>
        <v/>
      </c>
      <c r="P66" s="7" t="str">
        <f ca="1"/>
        <v/>
      </c>
      <c r="Q66" s="7" t="str">
        <f ca="1"/>
        <v/>
      </c>
      <c r="T66" s="7" t="str">
        <f ca="1"/>
        <v>Z8</v>
      </c>
      <c r="U66" s="7" t="str">
        <f ca="1"/>
        <v>0x9420</v>
      </c>
      <c r="V66" s="7" t="str">
        <f ca="1"/>
        <v>SaveCameraSetting</v>
      </c>
      <c r="X66" s="8" t="s">
        <v>68</v>
      </c>
      <c r="Y66" s="8" t="s">
        <v>66</v>
      </c>
      <c r="Z66" s="8" t="s">
        <v>66</v>
      </c>
      <c r="AA66" s="8" t="s">
        <v>66</v>
      </c>
      <c r="AB66" s="7" t="s">
        <v>66</v>
      </c>
      <c r="AC66" s="7" t="s">
        <v>66</v>
      </c>
      <c r="AD66" s="7" t="s">
        <v>66</v>
      </c>
      <c r="AE66" s="7" t="s">
        <v>66</v>
      </c>
      <c r="AF66" s="7" t="s">
        <v>66</v>
      </c>
      <c r="AG66" s="7" t="s">
        <v>66</v>
      </c>
      <c r="AH66" s="7" t="s">
        <v>66</v>
      </c>
      <c r="AI66" s="7" t="s">
        <v>66</v>
      </c>
      <c r="AJ66" s="7" t="s">
        <v>66</v>
      </c>
      <c r="AK66" s="7" t="s">
        <v>66</v>
      </c>
    </row>
    <row r="67" spans="1:37" x14ac:dyDescent="0.25">
      <c r="A67" s="13" t="str">
        <f ca="1"/>
        <v>0x9416</v>
      </c>
      <c r="B67" s="14" t="str">
        <f ca="1"/>
        <v>GetSBAttrValue</v>
      </c>
      <c r="D67" s="8" t="str">
        <f ca="1"/>
        <v>GetSBAttrValue</v>
      </c>
      <c r="E67" s="8" t="str">
        <f ca="1"/>
        <v>GetSBAttrValue</v>
      </c>
      <c r="F67" s="8" t="str">
        <f ca="1"/>
        <v>GetSBAttrValue</v>
      </c>
      <c r="G67" s="8" t="str">
        <f ca="1"/>
        <v>GetSBAttrValue</v>
      </c>
      <c r="H67" s="7" t="str">
        <f ca="1"/>
        <v/>
      </c>
      <c r="I67" s="7" t="str">
        <f ca="1"/>
        <v>GetSBAttrValue</v>
      </c>
      <c r="J67" s="7" t="str">
        <f ca="1"/>
        <v>GetSBAttrValue</v>
      </c>
      <c r="K67" s="7" t="str">
        <f ca="1"/>
        <v>GetSBAttrValue</v>
      </c>
      <c r="L67" s="7" t="str">
        <f ca="1"/>
        <v>GetSBAttrValue</v>
      </c>
      <c r="M67" s="7" t="str">
        <f ca="1"/>
        <v>GetSBAttrValue</v>
      </c>
      <c r="N67" s="7" t="str">
        <f ca="1"/>
        <v/>
      </c>
      <c r="O67" s="7" t="str">
        <f ca="1"/>
        <v/>
      </c>
      <c r="P67" s="7" t="str">
        <f ca="1"/>
        <v/>
      </c>
      <c r="Q67" s="7" t="str">
        <f ca="1"/>
        <v/>
      </c>
      <c r="T67" s="7" t="str">
        <f ca="1"/>
        <v>Z8</v>
      </c>
      <c r="U67" s="7" t="str">
        <f ca="1"/>
        <v>0x9421</v>
      </c>
      <c r="V67" s="7" t="str">
        <f ca="1"/>
        <v>GetObjectSize</v>
      </c>
      <c r="X67" s="8" t="s">
        <v>69</v>
      </c>
      <c r="Y67" s="8" t="s">
        <v>67</v>
      </c>
      <c r="Z67" s="8" t="s">
        <v>67</v>
      </c>
      <c r="AA67" s="8" t="s">
        <v>67</v>
      </c>
      <c r="AB67" s="7" t="s">
        <v>67</v>
      </c>
      <c r="AC67" s="7" t="s">
        <v>67</v>
      </c>
      <c r="AD67" s="7" t="s">
        <v>67</v>
      </c>
      <c r="AE67" s="7" t="s">
        <v>67</v>
      </c>
      <c r="AF67" s="7" t="s">
        <v>67</v>
      </c>
      <c r="AG67" s="7" t="s">
        <v>67</v>
      </c>
      <c r="AH67" s="7" t="s">
        <v>67</v>
      </c>
      <c r="AI67" s="7" t="s">
        <v>67</v>
      </c>
      <c r="AJ67" s="7" t="s">
        <v>67</v>
      </c>
      <c r="AK67" s="7" t="s">
        <v>67</v>
      </c>
    </row>
    <row r="68" spans="1:37" x14ac:dyDescent="0.25">
      <c r="A68" s="13" t="str">
        <f ca="1"/>
        <v>0x9417</v>
      </c>
      <c r="B68" s="14" t="str">
        <f ca="1"/>
        <v>SetSBAttrValue</v>
      </c>
      <c r="D68" s="8" t="str">
        <f ca="1"/>
        <v>SetSBAttrValue</v>
      </c>
      <c r="E68" s="8" t="str">
        <f ca="1"/>
        <v>SetSBAttrValue</v>
      </c>
      <c r="F68" s="8" t="str">
        <f ca="1"/>
        <v>SetSBAttrValue</v>
      </c>
      <c r="G68" s="8" t="str">
        <f ca="1"/>
        <v>SetSBAttrValue</v>
      </c>
      <c r="H68" s="7" t="str">
        <f ca="1"/>
        <v/>
      </c>
      <c r="I68" s="7" t="str">
        <f ca="1"/>
        <v>SetSBAttrValue</v>
      </c>
      <c r="J68" s="7" t="str">
        <f ca="1"/>
        <v>SetSBAttrValue</v>
      </c>
      <c r="K68" s="7" t="str">
        <f ca="1"/>
        <v>SetSBAttrValue</v>
      </c>
      <c r="L68" s="7" t="str">
        <f ca="1"/>
        <v>SetSBAttrValue</v>
      </c>
      <c r="M68" s="7" t="str">
        <f ca="1"/>
        <v>SetSBAttrValue</v>
      </c>
      <c r="N68" s="7" t="str">
        <f ca="1"/>
        <v/>
      </c>
      <c r="O68" s="7" t="str">
        <f ca="1"/>
        <v/>
      </c>
      <c r="P68" s="7" t="str">
        <f ca="1"/>
        <v/>
      </c>
      <c r="Q68" s="7" t="str">
        <f ca="1"/>
        <v/>
      </c>
      <c r="T68" s="7" t="str">
        <f ca="1"/>
        <v>Z8</v>
      </c>
      <c r="U68" s="7" t="str">
        <f ca="1"/>
        <v>0x9422</v>
      </c>
      <c r="V68" s="7" t="str">
        <f ca="1"/>
        <v>ChangeMonitorOff</v>
      </c>
      <c r="X68" s="8" t="s">
        <v>70</v>
      </c>
      <c r="Y68" s="8" t="s">
        <v>68</v>
      </c>
      <c r="Z68" s="8" t="s">
        <v>68</v>
      </c>
      <c r="AA68" s="8" t="s">
        <v>68</v>
      </c>
      <c r="AB68" s="7" t="s">
        <v>68</v>
      </c>
      <c r="AC68" s="7" t="s">
        <v>68</v>
      </c>
      <c r="AD68" s="7" t="s">
        <v>68</v>
      </c>
      <c r="AE68" s="7" t="s">
        <v>68</v>
      </c>
      <c r="AF68" s="7" t="s">
        <v>68</v>
      </c>
      <c r="AG68" s="7" t="s">
        <v>68</v>
      </c>
      <c r="AH68" s="7" t="s">
        <v>68</v>
      </c>
      <c r="AI68" s="7" t="s">
        <v>68</v>
      </c>
      <c r="AJ68" s="7" t="s">
        <v>68</v>
      </c>
      <c r="AK68" s="7" t="s">
        <v>68</v>
      </c>
    </row>
    <row r="69" spans="1:37" x14ac:dyDescent="0.25">
      <c r="A69" s="13" t="str">
        <f ca="1"/>
        <v>0x9418</v>
      </c>
      <c r="B69" s="14" t="str">
        <f ca="1"/>
        <v>GetSBGroupAttrDesc</v>
      </c>
      <c r="D69" s="8" t="str">
        <f ca="1"/>
        <v>GetSBGroupAttrDesc</v>
      </c>
      <c r="E69" s="8" t="str">
        <f ca="1"/>
        <v>GetSBGroupAttrDesc</v>
      </c>
      <c r="F69" s="8" t="str">
        <f ca="1"/>
        <v>GetSBGroupAttrDesc</v>
      </c>
      <c r="G69" s="8" t="str">
        <f ca="1"/>
        <v>GetSBGroupAttrDesc</v>
      </c>
      <c r="H69" s="7" t="str">
        <f ca="1"/>
        <v/>
      </c>
      <c r="I69" s="7" t="str">
        <f ca="1"/>
        <v>GetSBGroupAttrDesc</v>
      </c>
      <c r="J69" s="7" t="str">
        <f ca="1"/>
        <v>GetSBGroupAttrDesc</v>
      </c>
      <c r="K69" s="7" t="str">
        <f ca="1"/>
        <v>GetSBGroupAttrDesc</v>
      </c>
      <c r="L69" s="7" t="str">
        <f ca="1"/>
        <v>GetSBGroupAttrDesc</v>
      </c>
      <c r="M69" s="7" t="str">
        <f ca="1"/>
        <v>GetSBGroupAttrDesc</v>
      </c>
      <c r="N69" s="7" t="str">
        <f ca="1"/>
        <v/>
      </c>
      <c r="O69" s="7" t="str">
        <f ca="1"/>
        <v/>
      </c>
      <c r="P69" s="7" t="str">
        <f ca="1"/>
        <v/>
      </c>
      <c r="Q69" s="7" t="str">
        <f ca="1"/>
        <v/>
      </c>
      <c r="T69" s="7" t="str">
        <f ca="1"/>
        <v>Z8</v>
      </c>
      <c r="U69" s="7" t="str">
        <f ca="1"/>
        <v>0x9423</v>
      </c>
      <c r="V69" s="7" t="str">
        <f ca="1"/>
        <v>GetLiveViewCompressedSize</v>
      </c>
      <c r="X69" s="8" t="s">
        <v>71</v>
      </c>
      <c r="Y69" s="8" t="s">
        <v>69</v>
      </c>
      <c r="Z69" s="8" t="s">
        <v>69</v>
      </c>
      <c r="AA69" s="8" t="s">
        <v>69</v>
      </c>
      <c r="AB69" s="7" t="s">
        <v>69</v>
      </c>
      <c r="AC69" s="7" t="s">
        <v>69</v>
      </c>
      <c r="AD69" s="7" t="s">
        <v>69</v>
      </c>
      <c r="AE69" s="7" t="s">
        <v>69</v>
      </c>
      <c r="AF69" s="7" t="s">
        <v>69</v>
      </c>
      <c r="AG69" s="7" t="s">
        <v>69</v>
      </c>
      <c r="AH69" s="7" t="s">
        <v>69</v>
      </c>
      <c r="AI69" s="7" t="s">
        <v>69</v>
      </c>
      <c r="AJ69" s="7" t="s">
        <v>1646</v>
      </c>
      <c r="AK69" s="7" t="s">
        <v>1646</v>
      </c>
    </row>
    <row r="70" spans="1:37" x14ac:dyDescent="0.25">
      <c r="A70" s="13" t="str">
        <f ca="1"/>
        <v>0x9419</v>
      </c>
      <c r="B70" s="14" t="str">
        <f ca="1"/>
        <v>GetSBGroupAttrValue</v>
      </c>
      <c r="D70" s="8" t="str">
        <f ca="1"/>
        <v>GetSBGroupAttrValue</v>
      </c>
      <c r="E70" s="8" t="str">
        <f ca="1"/>
        <v>GetSBGroupAttrValue</v>
      </c>
      <c r="F70" s="8" t="str">
        <f ca="1"/>
        <v>GetSBGroupAttrValue</v>
      </c>
      <c r="G70" s="8" t="str">
        <f ca="1"/>
        <v>GetSBGroupAttrValue</v>
      </c>
      <c r="H70" s="7" t="str">
        <f ca="1"/>
        <v/>
      </c>
      <c r="I70" s="7" t="str">
        <f ca="1"/>
        <v>GetSBGroupAttrValue</v>
      </c>
      <c r="J70" s="7" t="str">
        <f ca="1"/>
        <v>GetSBGroupAttrValue</v>
      </c>
      <c r="K70" s="7" t="str">
        <f ca="1"/>
        <v>GetSBGroupAttrValue</v>
      </c>
      <c r="L70" s="7" t="str">
        <f ca="1"/>
        <v>GetSBGroupAttrValue</v>
      </c>
      <c r="M70" s="7" t="str">
        <f ca="1"/>
        <v>GetSBGroupAttrValue</v>
      </c>
      <c r="N70" s="7" t="str">
        <f ca="1"/>
        <v/>
      </c>
      <c r="O70" s="7" t="str">
        <f ca="1"/>
        <v/>
      </c>
      <c r="P70" s="7" t="str">
        <f ca="1"/>
        <v/>
      </c>
      <c r="Q70" s="7" t="str">
        <f ca="1"/>
        <v/>
      </c>
      <c r="T70" s="7" t="str">
        <f ca="1"/>
        <v>Z8</v>
      </c>
      <c r="U70" s="7" t="str">
        <f ca="1"/>
        <v>0x9424</v>
      </c>
      <c r="V70" s="7" t="str">
        <f ca="1"/>
        <v>StartTracking</v>
      </c>
      <c r="X70" s="8" t="s">
        <v>72</v>
      </c>
      <c r="Y70" s="8" t="s">
        <v>70</v>
      </c>
      <c r="Z70" s="8" t="s">
        <v>70</v>
      </c>
      <c r="AA70" s="8" t="s">
        <v>70</v>
      </c>
      <c r="AB70" s="7" t="s">
        <v>70</v>
      </c>
      <c r="AC70" s="7" t="s">
        <v>70</v>
      </c>
      <c r="AD70" s="7" t="s">
        <v>70</v>
      </c>
      <c r="AE70" s="7" t="s">
        <v>70</v>
      </c>
      <c r="AF70" s="7" t="s">
        <v>70</v>
      </c>
      <c r="AG70" s="7" t="s">
        <v>70</v>
      </c>
      <c r="AH70" s="7" t="s">
        <v>70</v>
      </c>
      <c r="AI70" s="7" t="s">
        <v>70</v>
      </c>
      <c r="AJ70" s="7" t="s">
        <v>1647</v>
      </c>
      <c r="AK70" s="7" t="s">
        <v>1647</v>
      </c>
    </row>
    <row r="71" spans="1:37" x14ac:dyDescent="0.25">
      <c r="A71" s="13" t="str">
        <f ca="1"/>
        <v>0x941A</v>
      </c>
      <c r="B71" s="14" t="str">
        <f ca="1"/>
        <v>SetSBGroupAttrValue</v>
      </c>
      <c r="D71" s="8" t="str">
        <f ca="1"/>
        <v>SetSBGroupAttrValue</v>
      </c>
      <c r="E71" s="8" t="str">
        <f ca="1"/>
        <v>SetSBGroupAttrValue</v>
      </c>
      <c r="F71" s="8" t="str">
        <f ca="1"/>
        <v>SetSBGroupAttrValue</v>
      </c>
      <c r="G71" s="8" t="str">
        <f ca="1"/>
        <v>SetSBGroupAttrValue</v>
      </c>
      <c r="H71" s="7" t="str">
        <f ca="1"/>
        <v/>
      </c>
      <c r="I71" s="7" t="str">
        <f ca="1"/>
        <v>SetSBGroupAttrValue</v>
      </c>
      <c r="J71" s="7" t="str">
        <f ca="1"/>
        <v>SetSBGroupAttrValue</v>
      </c>
      <c r="K71" s="7" t="str">
        <f ca="1"/>
        <v>SetSBGroupAttrValue</v>
      </c>
      <c r="L71" s="7" t="str">
        <f ca="1"/>
        <v>SetSBGroupAttrValue</v>
      </c>
      <c r="M71" s="7" t="str">
        <f ca="1"/>
        <v>SetSBGroupAttrValue</v>
      </c>
      <c r="N71" s="7" t="str">
        <f ca="1"/>
        <v/>
      </c>
      <c r="O71" s="7" t="str">
        <f ca="1"/>
        <v/>
      </c>
      <c r="P71" s="7" t="str">
        <f ca="1"/>
        <v/>
      </c>
      <c r="Q71" s="7" t="str">
        <f ca="1"/>
        <v/>
      </c>
      <c r="T71" s="7" t="str">
        <f ca="1"/>
        <v>Z8</v>
      </c>
      <c r="U71" s="7" t="str">
        <f ca="1"/>
        <v>0x9425</v>
      </c>
      <c r="V71" s="7" t="str">
        <f ca="1"/>
        <v>EndTracking</v>
      </c>
      <c r="X71" s="8" t="s">
        <v>73</v>
      </c>
      <c r="Y71" s="8" t="s">
        <v>71</v>
      </c>
      <c r="Z71" s="8" t="s">
        <v>71</v>
      </c>
      <c r="AA71" s="8" t="s">
        <v>71</v>
      </c>
      <c r="AB71" s="7" t="s">
        <v>71</v>
      </c>
      <c r="AC71" s="7" t="s">
        <v>71</v>
      </c>
      <c r="AD71" s="7" t="s">
        <v>71</v>
      </c>
      <c r="AE71" s="7" t="s">
        <v>71</v>
      </c>
      <c r="AF71" s="7" t="s">
        <v>71</v>
      </c>
      <c r="AG71" s="7" t="s">
        <v>71</v>
      </c>
      <c r="AH71" s="7" t="s">
        <v>71</v>
      </c>
      <c r="AI71" s="7" t="s">
        <v>71</v>
      </c>
      <c r="AJ71" s="7" t="s">
        <v>69</v>
      </c>
      <c r="AK71" s="7" t="s">
        <v>69</v>
      </c>
    </row>
    <row r="72" spans="1:37" x14ac:dyDescent="0.25">
      <c r="A72" s="13" t="str">
        <f ca="1"/>
        <v>0x941B</v>
      </c>
      <c r="B72" s="14" t="str">
        <f ca="1"/>
        <v>TestFlash</v>
      </c>
      <c r="D72" s="8" t="str">
        <f ca="1"/>
        <v>TestFlash</v>
      </c>
      <c r="E72" s="8" t="str">
        <f ca="1"/>
        <v>TestFlash</v>
      </c>
      <c r="F72" s="8" t="str">
        <f ca="1"/>
        <v>TestFlash</v>
      </c>
      <c r="G72" s="8" t="str">
        <f ca="1"/>
        <v>TestFlash</v>
      </c>
      <c r="H72" s="7" t="str">
        <f ca="1"/>
        <v/>
      </c>
      <c r="I72" s="7" t="str">
        <f ca="1"/>
        <v>TestFlash</v>
      </c>
      <c r="J72" s="7" t="str">
        <f ca="1"/>
        <v>TestFlash</v>
      </c>
      <c r="K72" s="7" t="str">
        <f ca="1"/>
        <v>TestFlash</v>
      </c>
      <c r="L72" s="7" t="str">
        <f ca="1"/>
        <v>TestFlash</v>
      </c>
      <c r="M72" s="7" t="str">
        <f ca="1"/>
        <v>TestFlash</v>
      </c>
      <c r="N72" s="7" t="str">
        <f ca="1"/>
        <v/>
      </c>
      <c r="O72" s="7" t="str">
        <f ca="1"/>
        <v/>
      </c>
      <c r="P72" s="7" t="str">
        <f ca="1"/>
        <v/>
      </c>
      <c r="Q72" s="7" t="str">
        <f ca="1"/>
        <v/>
      </c>
      <c r="T72" s="7" t="str">
        <f ca="1"/>
        <v>Z8</v>
      </c>
      <c r="U72" s="7" t="str">
        <f ca="1"/>
        <v>0x9426</v>
      </c>
      <c r="V72" s="7" t="str">
        <f ca="1"/>
        <v>ChangeAELock</v>
      </c>
      <c r="X72" s="8" t="s">
        <v>74</v>
      </c>
      <c r="Y72" s="8" t="s">
        <v>72</v>
      </c>
      <c r="Z72" s="8" t="s">
        <v>72</v>
      </c>
      <c r="AA72" s="8" t="s">
        <v>72</v>
      </c>
      <c r="AB72" s="7" t="s">
        <v>72</v>
      </c>
      <c r="AC72" s="7" t="s">
        <v>72</v>
      </c>
      <c r="AD72" s="7" t="s">
        <v>72</v>
      </c>
      <c r="AE72" s="7" t="s">
        <v>72</v>
      </c>
      <c r="AF72" s="7" t="s">
        <v>72</v>
      </c>
      <c r="AG72" s="7" t="s">
        <v>72</v>
      </c>
      <c r="AH72" s="7" t="s">
        <v>72</v>
      </c>
      <c r="AI72" s="7" t="s">
        <v>72</v>
      </c>
      <c r="AJ72" s="7" t="s">
        <v>70</v>
      </c>
      <c r="AK72" s="7" t="s">
        <v>70</v>
      </c>
    </row>
    <row r="73" spans="1:37" x14ac:dyDescent="0.25">
      <c r="A73" s="13" t="str">
        <f ca="1"/>
        <v>0x941C</v>
      </c>
      <c r="B73" s="14" t="str">
        <f ca="1"/>
        <v>GetEventEx</v>
      </c>
      <c r="D73" s="8" t="str">
        <f ca="1"/>
        <v>GetEventEx</v>
      </c>
      <c r="E73" s="8" t="str">
        <f ca="1"/>
        <v>GetEventEx</v>
      </c>
      <c r="F73" s="8" t="str">
        <f ca="1"/>
        <v>GetEventEx</v>
      </c>
      <c r="G73" s="8" t="str">
        <f ca="1"/>
        <v>GetEventEx</v>
      </c>
      <c r="H73" s="7" t="str">
        <f ca="1"/>
        <v>GetEventEx</v>
      </c>
      <c r="I73" s="7" t="str">
        <f ca="1"/>
        <v>GetEventEx</v>
      </c>
      <c r="J73" s="7" t="str">
        <f ca="1"/>
        <v>GetEventEx</v>
      </c>
      <c r="K73" s="7" t="str">
        <f ca="1"/>
        <v>GetEventEx</v>
      </c>
      <c r="L73" s="7" t="str">
        <f ca="1"/>
        <v>GetEventEx</v>
      </c>
      <c r="M73" s="7" t="str">
        <f ca="1"/>
        <v>GetEventEx</v>
      </c>
      <c r="N73" s="7" t="str">
        <f ca="1"/>
        <v/>
      </c>
      <c r="O73" s="7" t="str">
        <f ca="1"/>
        <v/>
      </c>
      <c r="P73" s="7" t="str">
        <f ca="1"/>
        <v/>
      </c>
      <c r="Q73" s="7" t="str">
        <f ca="1"/>
        <v/>
      </c>
      <c r="T73" s="7" t="str">
        <f ca="1"/>
        <v>Z8</v>
      </c>
      <c r="U73" s="7" t="str">
        <f ca="1"/>
        <v>0x9428</v>
      </c>
      <c r="V73" s="7" t="str">
        <f ca="1"/>
        <v>GetLiveViewImageEx</v>
      </c>
      <c r="X73" s="8" t="s">
        <v>75</v>
      </c>
      <c r="Y73" s="8" t="s">
        <v>73</v>
      </c>
      <c r="Z73" s="8" t="s">
        <v>73</v>
      </c>
      <c r="AA73" s="8" t="s">
        <v>73</v>
      </c>
      <c r="AB73" s="7" t="s">
        <v>73</v>
      </c>
      <c r="AC73" s="7" t="s">
        <v>73</v>
      </c>
      <c r="AD73" s="7" t="s">
        <v>73</v>
      </c>
      <c r="AE73" s="7" t="s">
        <v>73</v>
      </c>
      <c r="AF73" s="7" t="s">
        <v>73</v>
      </c>
      <c r="AG73" s="7" t="s">
        <v>73</v>
      </c>
      <c r="AH73" s="7" t="s">
        <v>73</v>
      </c>
      <c r="AI73" s="7" t="s">
        <v>73</v>
      </c>
      <c r="AJ73" s="7" t="s">
        <v>71</v>
      </c>
      <c r="AK73" s="7" t="s">
        <v>71</v>
      </c>
    </row>
    <row r="74" spans="1:37" x14ac:dyDescent="0.25">
      <c r="A74" s="13" t="str">
        <f ca="1"/>
        <v>0x941D</v>
      </c>
      <c r="B74" s="14" t="str">
        <f ca="1"/>
        <v>MirrorUpCancel</v>
      </c>
      <c r="D74" s="8" t="str">
        <f ca="1"/>
        <v/>
      </c>
      <c r="E74" s="8" t="str">
        <f ca="1"/>
        <v/>
      </c>
      <c r="F74" s="8" t="str">
        <f ca="1"/>
        <v/>
      </c>
      <c r="G74" s="8" t="str">
        <f ca="1"/>
        <v/>
      </c>
      <c r="H74" s="7" t="str">
        <f ca="1"/>
        <v/>
      </c>
      <c r="I74" s="7" t="str">
        <f ca="1"/>
        <v/>
      </c>
      <c r="J74" s="7" t="str">
        <f ca="1"/>
        <v/>
      </c>
      <c r="K74" s="7" t="str">
        <f ca="1"/>
        <v/>
      </c>
      <c r="L74" s="7" t="str">
        <f ca="1"/>
        <v>MirrorUpCancel</v>
      </c>
      <c r="M74" s="7" t="str">
        <f ca="1"/>
        <v>MirrorUpCancel</v>
      </c>
      <c r="N74" s="7" t="str">
        <f ca="1"/>
        <v/>
      </c>
      <c r="O74" s="7" t="str">
        <f ca="1"/>
        <v/>
      </c>
      <c r="P74" s="7" t="str">
        <f ca="1"/>
        <v/>
      </c>
      <c r="Q74" s="7" t="str">
        <f ca="1"/>
        <v/>
      </c>
      <c r="T74" s="7" t="str">
        <f ca="1"/>
        <v>Z8</v>
      </c>
      <c r="U74" s="7" t="str">
        <f ca="1"/>
        <v>0x942E</v>
      </c>
      <c r="V74" s="7" t="str">
        <f ca="1"/>
        <v>GetHLGQualityData</v>
      </c>
      <c r="X74" s="8" t="s">
        <v>76</v>
      </c>
      <c r="Y74" s="8" t="s">
        <v>74</v>
      </c>
      <c r="Z74" s="8" t="s">
        <v>74</v>
      </c>
      <c r="AA74" s="8" t="s">
        <v>74</v>
      </c>
      <c r="AB74" s="7" t="s">
        <v>74</v>
      </c>
      <c r="AC74" s="7" t="s">
        <v>74</v>
      </c>
      <c r="AD74" s="7" t="s">
        <v>74</v>
      </c>
      <c r="AE74" s="7" t="s">
        <v>74</v>
      </c>
      <c r="AF74" s="7" t="s">
        <v>74</v>
      </c>
      <c r="AG74" s="7" t="s">
        <v>74</v>
      </c>
      <c r="AH74" s="7" t="s">
        <v>74</v>
      </c>
      <c r="AI74" s="7" t="s">
        <v>74</v>
      </c>
      <c r="AJ74" s="7" t="s">
        <v>72</v>
      </c>
      <c r="AK74" s="7" t="s">
        <v>72</v>
      </c>
    </row>
    <row r="75" spans="1:37" x14ac:dyDescent="0.25">
      <c r="A75" s="13" t="str">
        <f ca="1"/>
        <v>0x9420</v>
      </c>
      <c r="B75" s="14" t="str">
        <f ca="1"/>
        <v>SaveCameraSetting</v>
      </c>
      <c r="D75" s="8" t="str">
        <f ca="1"/>
        <v>SaveCameraSetting</v>
      </c>
      <c r="E75" s="8" t="str">
        <f ca="1"/>
        <v>SaveCameraSetting</v>
      </c>
      <c r="F75" s="8" t="str">
        <f ca="1"/>
        <v>SaveCameraSetting</v>
      </c>
      <c r="G75" s="8" t="str">
        <f ca="1"/>
        <v>SaveCameraSetting</v>
      </c>
      <c r="H75" s="7" t="str">
        <f ca="1"/>
        <v>SaveCameraSetting</v>
      </c>
      <c r="I75" s="7" t="str">
        <f ca="1"/>
        <v>SaveCameraSetting</v>
      </c>
      <c r="J75" s="7" t="str">
        <f ca="1"/>
        <v>SaveCameraSetting</v>
      </c>
      <c r="K75" s="7" t="str">
        <f ca="1"/>
        <v>SaveCameraSetting</v>
      </c>
      <c r="L75" s="7" t="str">
        <f ca="1"/>
        <v>SaveCameraSetting</v>
      </c>
      <c r="M75" s="7" t="str">
        <f ca="1"/>
        <v/>
      </c>
      <c r="N75" s="7" t="str">
        <f ca="1"/>
        <v/>
      </c>
      <c r="O75" s="7" t="str">
        <f ca="1"/>
        <v/>
      </c>
      <c r="P75" s="7" t="str">
        <f ca="1"/>
        <v/>
      </c>
      <c r="Q75" s="7" t="str">
        <f ca="1"/>
        <v/>
      </c>
      <c r="T75" s="7" t="str">
        <f ca="1"/>
        <v>Z8</v>
      </c>
      <c r="U75" s="7" t="str">
        <f ca="1"/>
        <v>0x942F</v>
      </c>
      <c r="V75" s="7" t="str">
        <f ca="1"/>
        <v>SetHLGQualityData</v>
      </c>
      <c r="X75" s="8" t="s">
        <v>77</v>
      </c>
      <c r="Y75" s="8" t="s">
        <v>75</v>
      </c>
      <c r="Z75" s="8" t="s">
        <v>75</v>
      </c>
      <c r="AA75" s="8" t="s">
        <v>75</v>
      </c>
      <c r="AB75" s="7" t="s">
        <v>75</v>
      </c>
      <c r="AC75" s="7" t="s">
        <v>75</v>
      </c>
      <c r="AD75" s="7" t="s">
        <v>75</v>
      </c>
      <c r="AE75" s="7" t="s">
        <v>75</v>
      </c>
      <c r="AF75" s="7" t="s">
        <v>75</v>
      </c>
      <c r="AG75" s="7" t="s">
        <v>75</v>
      </c>
      <c r="AH75" s="7" t="s">
        <v>75</v>
      </c>
      <c r="AI75" s="7" t="s">
        <v>75</v>
      </c>
      <c r="AJ75" s="7" t="s">
        <v>73</v>
      </c>
      <c r="AK75" s="7" t="s">
        <v>73</v>
      </c>
    </row>
    <row r="76" spans="1:37" x14ac:dyDescent="0.25">
      <c r="A76" s="13" t="str">
        <f ca="1"/>
        <v>0x9421</v>
      </c>
      <c r="B76" s="14" t="str">
        <f ca="1"/>
        <v>GetObjectSize</v>
      </c>
      <c r="D76" s="8" t="str">
        <f ca="1"/>
        <v>GetObjectSize</v>
      </c>
      <c r="E76" s="8" t="str">
        <f ca="1"/>
        <v>GetObjectSize</v>
      </c>
      <c r="F76" s="8" t="str">
        <f ca="1"/>
        <v>GetObjectSize</v>
      </c>
      <c r="G76" s="8" t="str">
        <f ca="1"/>
        <v>GetObjectSize</v>
      </c>
      <c r="H76" s="7" t="str">
        <f ca="1"/>
        <v>GetObjectSize</v>
      </c>
      <c r="I76" s="7" t="str">
        <f ca="1"/>
        <v>GetObjectSize</v>
      </c>
      <c r="J76" s="7" t="str">
        <f ca="1"/>
        <v>GetObjectSize</v>
      </c>
      <c r="K76" s="7" t="str">
        <f ca="1"/>
        <v>GetObjectSize</v>
      </c>
      <c r="L76" s="7" t="str">
        <f ca="1"/>
        <v>GetObjectSize</v>
      </c>
      <c r="M76" s="7" t="str">
        <f ca="1"/>
        <v/>
      </c>
      <c r="N76" s="7" t="str">
        <f ca="1"/>
        <v/>
      </c>
      <c r="O76" s="7" t="str">
        <f ca="1"/>
        <v/>
      </c>
      <c r="P76" s="7" t="str">
        <f ca="1"/>
        <v/>
      </c>
      <c r="Q76" s="7" t="str">
        <f ca="1"/>
        <v/>
      </c>
      <c r="T76" s="7" t="str">
        <f ca="1"/>
        <v>Z8</v>
      </c>
      <c r="U76" s="7" t="str">
        <f ca="1"/>
        <v>0x9431</v>
      </c>
      <c r="V76" s="7" t="str">
        <f ca="1"/>
        <v>GetPartialObjectEx</v>
      </c>
      <c r="X76" s="8" t="s">
        <v>78</v>
      </c>
      <c r="Y76" s="8" t="s">
        <v>76</v>
      </c>
      <c r="Z76" s="8" t="s">
        <v>76</v>
      </c>
      <c r="AA76" s="8" t="s">
        <v>76</v>
      </c>
      <c r="AB76" s="7" t="s">
        <v>76</v>
      </c>
      <c r="AC76" s="7" t="s">
        <v>76</v>
      </c>
      <c r="AD76" s="7" t="s">
        <v>76</v>
      </c>
      <c r="AE76" s="7" t="s">
        <v>76</v>
      </c>
      <c r="AF76" s="7" t="s">
        <v>76</v>
      </c>
      <c r="AG76" s="7" t="s">
        <v>76</v>
      </c>
      <c r="AH76" s="7" t="s">
        <v>76</v>
      </c>
      <c r="AI76" s="7" t="s">
        <v>76</v>
      </c>
      <c r="AJ76" s="7" t="s">
        <v>74</v>
      </c>
      <c r="AK76" s="7" t="s">
        <v>74</v>
      </c>
    </row>
    <row r="77" spans="1:37" x14ac:dyDescent="0.25">
      <c r="A77" s="13" t="str">
        <f ca="1"/>
        <v>0x9422</v>
      </c>
      <c r="B77" s="14" t="str">
        <f ca="1"/>
        <v>ChangeMonitorOff</v>
      </c>
      <c r="D77" s="8" t="str">
        <f ca="1"/>
        <v>ChangeMonitorOff</v>
      </c>
      <c r="E77" s="8" t="str">
        <f ca="1"/>
        <v>ChangeMonitorOff</v>
      </c>
      <c r="F77" s="8" t="str">
        <f ca="1"/>
        <v>ChangeMonitorOff</v>
      </c>
      <c r="G77" s="8" t="str">
        <f ca="1"/>
        <v>ChangeMonitorOff</v>
      </c>
      <c r="H77" s="7" t="str">
        <f ca="1"/>
        <v/>
      </c>
      <c r="I77" s="7" t="str">
        <f ca="1"/>
        <v/>
      </c>
      <c r="J77" s="7" t="str">
        <f ca="1"/>
        <v/>
      </c>
      <c r="K77" s="7" t="str">
        <f ca="1"/>
        <v>ChangeMonitorOff</v>
      </c>
      <c r="L77" s="7" t="str">
        <f ca="1"/>
        <v>ChangeMonitorOff</v>
      </c>
      <c r="M77" s="7" t="str">
        <f ca="1"/>
        <v/>
      </c>
      <c r="N77" s="7" t="str">
        <f ca="1"/>
        <v/>
      </c>
      <c r="O77" s="7" t="str">
        <f ca="1"/>
        <v/>
      </c>
      <c r="P77" s="7" t="str">
        <f ca="1"/>
        <v/>
      </c>
      <c r="Q77" s="7" t="str">
        <f ca="1"/>
        <v/>
      </c>
      <c r="T77" s="7" t="str">
        <f ca="1"/>
        <v>Z8</v>
      </c>
      <c r="U77" s="7" t="str">
        <f ca="1"/>
        <v>0x9433</v>
      </c>
      <c r="V77" s="7" t="str">
        <f ca="1"/>
        <v>InitiatePixelMapping</v>
      </c>
      <c r="X77" s="8" t="s">
        <v>79</v>
      </c>
      <c r="Y77" s="8" t="s">
        <v>77</v>
      </c>
      <c r="Z77" s="8" t="s">
        <v>77</v>
      </c>
      <c r="AA77" s="8" t="s">
        <v>77</v>
      </c>
      <c r="AB77" s="7" t="s">
        <v>77</v>
      </c>
      <c r="AC77" s="7" t="s">
        <v>77</v>
      </c>
      <c r="AD77" s="7" t="s">
        <v>77</v>
      </c>
      <c r="AE77" s="7" t="s">
        <v>77</v>
      </c>
      <c r="AF77" s="7" t="s">
        <v>77</v>
      </c>
      <c r="AG77" s="7" t="s">
        <v>77</v>
      </c>
      <c r="AH77" s="7" t="s">
        <v>77</v>
      </c>
      <c r="AI77" s="7" t="s">
        <v>77</v>
      </c>
      <c r="AJ77" s="7" t="s">
        <v>75</v>
      </c>
      <c r="AK77" s="7" t="s">
        <v>75</v>
      </c>
    </row>
    <row r="78" spans="1:37" x14ac:dyDescent="0.25">
      <c r="A78" s="13" t="str">
        <f ca="1"/>
        <v>0x9423</v>
      </c>
      <c r="B78" s="14" t="str">
        <f ca="1"/>
        <v>GetLiveViewCompressedSize</v>
      </c>
      <c r="D78" s="8" t="str">
        <f ca="1"/>
        <v>GetLiveViewCompressedSize</v>
      </c>
      <c r="E78" s="8" t="str">
        <f ca="1"/>
        <v>GetLiveViewCompressedSize</v>
      </c>
      <c r="F78" s="8" t="str">
        <f ca="1"/>
        <v>GetLiveViewCompressedSize</v>
      </c>
      <c r="G78" s="8" t="str">
        <f ca="1"/>
        <v>GetLiveViewCompressedSize</v>
      </c>
      <c r="H78" s="7" t="str">
        <f ca="1"/>
        <v>GetLiveViewCompressedSize</v>
      </c>
      <c r="I78" s="7" t="str">
        <f ca="1"/>
        <v>GetLiveViewCompressedSize</v>
      </c>
      <c r="J78" s="7" t="str">
        <f ca="1"/>
        <v>GetLiveViewCompressedSize</v>
      </c>
      <c r="K78" s="7" t="str">
        <f ca="1"/>
        <v>GetLiveViewCompressedSize</v>
      </c>
      <c r="L78" s="7" t="str">
        <f ca="1"/>
        <v>GetLiveViewCompressedSize</v>
      </c>
      <c r="M78" s="7" t="str">
        <f ca="1"/>
        <v/>
      </c>
      <c r="N78" s="7" t="str">
        <f ca="1"/>
        <v/>
      </c>
      <c r="O78" s="7" t="str">
        <f ca="1"/>
        <v/>
      </c>
      <c r="P78" s="7" t="str">
        <f ca="1"/>
        <v/>
      </c>
      <c r="Q78" s="7" t="str">
        <f ca="1"/>
        <v/>
      </c>
      <c r="T78" s="7" t="str">
        <f ca="1"/>
        <v>Z8</v>
      </c>
      <c r="U78" s="7" t="str">
        <f ca="1"/>
        <v>0x9434</v>
      </c>
      <c r="V78" s="7" t="str">
        <f ca="1"/>
        <v>GetObjectsMetaData</v>
      </c>
      <c r="X78" s="8" t="s">
        <v>80</v>
      </c>
      <c r="Y78" s="8" t="s">
        <v>78</v>
      </c>
      <c r="Z78" s="8" t="s">
        <v>78</v>
      </c>
      <c r="AA78" s="8" t="s">
        <v>78</v>
      </c>
      <c r="AB78" s="7" t="s">
        <v>78</v>
      </c>
      <c r="AC78" s="7" t="s">
        <v>78</v>
      </c>
      <c r="AD78" s="7" t="s">
        <v>78</v>
      </c>
      <c r="AE78" s="7" t="s">
        <v>78</v>
      </c>
      <c r="AF78" s="7" t="s">
        <v>78</v>
      </c>
      <c r="AG78" s="7" t="s">
        <v>78</v>
      </c>
      <c r="AH78" s="7" t="s">
        <v>78</v>
      </c>
      <c r="AI78" s="7" t="s">
        <v>78</v>
      </c>
      <c r="AJ78" s="7" t="s">
        <v>76</v>
      </c>
      <c r="AK78" s="7" t="s">
        <v>76</v>
      </c>
    </row>
    <row r="79" spans="1:37" x14ac:dyDescent="0.25">
      <c r="A79" s="13" t="str">
        <f ca="1"/>
        <v>0x9424</v>
      </c>
      <c r="B79" s="14" t="str">
        <f ca="1"/>
        <v>StartTracking</v>
      </c>
      <c r="D79" s="8" t="str">
        <f ca="1"/>
        <v>StartTracking</v>
      </c>
      <c r="E79" s="8" t="str">
        <f ca="1"/>
        <v>StartTracking</v>
      </c>
      <c r="F79" s="8" t="str">
        <f ca="1"/>
        <v>StartTracking</v>
      </c>
      <c r="G79" s="8" t="str">
        <f ca="1"/>
        <v>StartTracking</v>
      </c>
      <c r="H79" s="7" t="str">
        <f ca="1"/>
        <v>StartTracking</v>
      </c>
      <c r="I79" s="7" t="str">
        <f ca="1"/>
        <v>StartTracking</v>
      </c>
      <c r="J79" s="7" t="str">
        <f ca="1"/>
        <v>StartTracking</v>
      </c>
      <c r="K79" s="7" t="str">
        <f ca="1"/>
        <v>StartTracking</v>
      </c>
      <c r="L79" s="7" t="str">
        <f ca="1"/>
        <v>StartTracking</v>
      </c>
      <c r="M79" s="7" t="str">
        <f ca="1"/>
        <v/>
      </c>
      <c r="N79" s="7" t="str">
        <f ca="1"/>
        <v/>
      </c>
      <c r="O79" s="7" t="str">
        <f ca="1"/>
        <v/>
      </c>
      <c r="P79" s="7" t="str">
        <f ca="1"/>
        <v/>
      </c>
      <c r="Q79" s="7" t="str">
        <f ca="1"/>
        <v/>
      </c>
      <c r="T79" s="7" t="str">
        <f ca="1"/>
        <v>Z8</v>
      </c>
      <c r="U79" s="7" t="str">
        <f ca="1"/>
        <v>0x9435</v>
      </c>
      <c r="V79" s="7" t="str">
        <f ca="1"/>
        <v>ChangeApplicationMode</v>
      </c>
      <c r="X79" s="8" t="s">
        <v>81</v>
      </c>
      <c r="Y79" s="8" t="s">
        <v>79</v>
      </c>
      <c r="Z79" s="8" t="s">
        <v>79</v>
      </c>
      <c r="AA79" s="8" t="s">
        <v>79</v>
      </c>
      <c r="AB79" s="7" t="s">
        <v>79</v>
      </c>
      <c r="AC79" s="7" t="s">
        <v>79</v>
      </c>
      <c r="AD79" s="7" t="s">
        <v>79</v>
      </c>
      <c r="AE79" s="7" t="s">
        <v>79</v>
      </c>
      <c r="AF79" s="7" t="s">
        <v>79</v>
      </c>
      <c r="AG79" s="7" t="s">
        <v>79</v>
      </c>
      <c r="AH79" s="7" t="s">
        <v>79</v>
      </c>
      <c r="AI79" s="7" t="s">
        <v>79</v>
      </c>
      <c r="AJ79" s="7" t="s">
        <v>77</v>
      </c>
      <c r="AK79" s="7" t="s">
        <v>77</v>
      </c>
    </row>
    <row r="80" spans="1:37" x14ac:dyDescent="0.25">
      <c r="A80" s="13" t="str">
        <f ca="1"/>
        <v>0x9425</v>
      </c>
      <c r="B80" s="14" t="str">
        <f ca="1"/>
        <v>EndTracking</v>
      </c>
      <c r="D80" s="8" t="str">
        <f ca="1"/>
        <v>EndTracking</v>
      </c>
      <c r="E80" s="8" t="str">
        <f ca="1"/>
        <v>EndTracking</v>
      </c>
      <c r="F80" s="8" t="str">
        <f ca="1"/>
        <v>EndTracking</v>
      </c>
      <c r="G80" s="8" t="str">
        <f ca="1"/>
        <v>EndTracking</v>
      </c>
      <c r="H80" s="7" t="str">
        <f ca="1"/>
        <v>EndTracking</v>
      </c>
      <c r="I80" s="7" t="str">
        <f ca="1"/>
        <v>EndTracking</v>
      </c>
      <c r="J80" s="7" t="str">
        <f ca="1"/>
        <v>EndTracking</v>
      </c>
      <c r="K80" s="7" t="str">
        <f ca="1"/>
        <v>EndTracking</v>
      </c>
      <c r="L80" s="7" t="str">
        <f ca="1"/>
        <v>EndTracking</v>
      </c>
      <c r="M80" s="7" t="str">
        <f ca="1"/>
        <v/>
      </c>
      <c r="N80" s="7" t="str">
        <f ca="1"/>
        <v/>
      </c>
      <c r="O80" s="7" t="str">
        <f ca="1"/>
        <v/>
      </c>
      <c r="P80" s="7" t="str">
        <f ca="1"/>
        <v/>
      </c>
      <c r="Q80" s="7" t="str">
        <f ca="1"/>
        <v/>
      </c>
      <c r="T80" s="7" t="str">
        <f ca="1"/>
        <v>Z8</v>
      </c>
      <c r="U80" s="7" t="str">
        <f ca="1"/>
        <v>0x9436</v>
      </c>
      <c r="V80" s="7" t="str">
        <f ca="1"/>
        <v>ResetMenu</v>
      </c>
      <c r="X80" s="8" t="s">
        <v>82</v>
      </c>
      <c r="Y80" s="8" t="s">
        <v>80</v>
      </c>
      <c r="Z80" s="8" t="s">
        <v>80</v>
      </c>
      <c r="AA80" s="8" t="s">
        <v>80</v>
      </c>
      <c r="AB80" s="7" t="s">
        <v>80</v>
      </c>
      <c r="AC80" s="7" t="s">
        <v>80</v>
      </c>
      <c r="AD80" s="7" t="s">
        <v>80</v>
      </c>
      <c r="AE80" s="7" t="s">
        <v>80</v>
      </c>
      <c r="AF80" s="7" t="s">
        <v>80</v>
      </c>
      <c r="AG80" s="7" t="s">
        <v>80</v>
      </c>
      <c r="AH80" s="7" t="s">
        <v>80</v>
      </c>
      <c r="AI80" s="7" t="s">
        <v>80</v>
      </c>
      <c r="AJ80" s="7" t="s">
        <v>78</v>
      </c>
      <c r="AK80" s="7" t="s">
        <v>78</v>
      </c>
    </row>
    <row r="81" spans="1:37" x14ac:dyDescent="0.25">
      <c r="A81" s="13" t="str">
        <f ca="1"/>
        <v>0x9426</v>
      </c>
      <c r="B81" s="14" t="str">
        <f ca="1"/>
        <v>ChangeAELock</v>
      </c>
      <c r="D81" s="8" t="str">
        <f ca="1"/>
        <v>ChangeAELock</v>
      </c>
      <c r="E81" s="8" t="str">
        <f ca="1"/>
        <v>ChangeAELock</v>
      </c>
      <c r="F81" s="8" t="str">
        <f ca="1"/>
        <v>ChangeAELock</v>
      </c>
      <c r="G81" s="8" t="str">
        <f ca="1"/>
        <v>ChangeAELock</v>
      </c>
      <c r="H81" s="7" t="str">
        <f ca="1"/>
        <v>ChangeAELock</v>
      </c>
      <c r="I81" s="7" t="str">
        <f ca="1"/>
        <v>ChangeAELock</v>
      </c>
      <c r="J81" s="7" t="str">
        <f ca="1"/>
        <v>ChangeAELock</v>
      </c>
      <c r="K81" s="7" t="str">
        <f ca="1"/>
        <v>ChangeAELock</v>
      </c>
      <c r="L81" s="7" t="str">
        <f ca="1"/>
        <v>ChangeAELock</v>
      </c>
      <c r="M81" s="7" t="str">
        <f ca="1"/>
        <v/>
      </c>
      <c r="N81" s="7" t="str">
        <f ca="1"/>
        <v/>
      </c>
      <c r="O81" s="7" t="str">
        <f ca="1"/>
        <v/>
      </c>
      <c r="P81" s="7" t="str">
        <f ca="1"/>
        <v/>
      </c>
      <c r="Q81" s="7" t="str">
        <f ca="1"/>
        <v/>
      </c>
      <c r="T81" s="7" t="str">
        <f ca="1"/>
        <v>Z8</v>
      </c>
      <c r="U81" s="7" t="str">
        <f ca="1"/>
        <v>0x9439</v>
      </c>
      <c r="V81" s="7" t="str">
        <f ca="1"/>
        <v>GetVendorCodes</v>
      </c>
      <c r="X81" s="8" t="s">
        <v>83</v>
      </c>
      <c r="Y81" s="8" t="s">
        <v>81</v>
      </c>
      <c r="Z81" s="8" t="s">
        <v>81</v>
      </c>
      <c r="AA81" s="8" t="s">
        <v>81</v>
      </c>
      <c r="AB81" s="7" t="s">
        <v>81</v>
      </c>
      <c r="AC81" s="7" t="s">
        <v>81</v>
      </c>
      <c r="AD81" s="7" t="s">
        <v>81</v>
      </c>
      <c r="AE81" s="7" t="s">
        <v>81</v>
      </c>
      <c r="AF81" s="7" t="s">
        <v>81</v>
      </c>
      <c r="AG81" s="7" t="s">
        <v>81</v>
      </c>
      <c r="AH81" s="7" t="s">
        <v>81</v>
      </c>
      <c r="AI81" s="7" t="s">
        <v>81</v>
      </c>
      <c r="AJ81" s="7" t="s">
        <v>79</v>
      </c>
      <c r="AK81" s="7" t="s">
        <v>79</v>
      </c>
    </row>
    <row r="82" spans="1:37" x14ac:dyDescent="0.25">
      <c r="A82" s="13" t="str">
        <f ca="1"/>
        <v>0x9428</v>
      </c>
      <c r="B82" s="14" t="str">
        <f ca="1"/>
        <v>GetLiveViewImageEx</v>
      </c>
      <c r="D82" s="8" t="str">
        <f ca="1"/>
        <v>GetLiveViewImageEx</v>
      </c>
      <c r="E82" s="8" t="str">
        <f ca="1"/>
        <v>GetLiveViewImageEx</v>
      </c>
      <c r="F82" s="8" t="str">
        <f ca="1"/>
        <v>GetLiveViewImageEx</v>
      </c>
      <c r="G82" s="8" t="str">
        <f ca="1"/>
        <v>GetLiveViewImageEx</v>
      </c>
      <c r="H82" s="7" t="str">
        <f ca="1"/>
        <v>GetLiveViewImageEx</v>
      </c>
      <c r="I82" s="7" t="str">
        <f ca="1"/>
        <v>GetLiveViewImageEx</v>
      </c>
      <c r="J82" s="7" t="str">
        <f ca="1"/>
        <v>GetLiveViewImageEx</v>
      </c>
      <c r="K82" s="7" t="str">
        <f ca="1"/>
        <v>GetLiveViewImageEx</v>
      </c>
      <c r="L82" s="7" t="str">
        <f ca="1"/>
        <v>GetLiveViewImageEx</v>
      </c>
      <c r="M82" s="7" t="str">
        <f ca="1"/>
        <v/>
      </c>
      <c r="N82" s="7" t="str">
        <f ca="1"/>
        <v/>
      </c>
      <c r="O82" s="7" t="str">
        <f ca="1"/>
        <v/>
      </c>
      <c r="P82" s="7" t="str">
        <f ca="1"/>
        <v/>
      </c>
      <c r="Q82" s="7" t="str">
        <f ca="1"/>
        <v/>
      </c>
      <c r="T82" s="7" t="str">
        <f ca="1"/>
        <v>Z8</v>
      </c>
      <c r="U82" s="7" t="str">
        <f ca="1"/>
        <v>0x943A</v>
      </c>
      <c r="V82" s="7" t="str">
        <f ca="1"/>
        <v>GetDevicePropDescEx</v>
      </c>
      <c r="X82" s="8" t="s">
        <v>84</v>
      </c>
      <c r="Y82" s="8" t="s">
        <v>82</v>
      </c>
      <c r="Z82" s="8" t="s">
        <v>82</v>
      </c>
      <c r="AA82" s="8" t="s">
        <v>82</v>
      </c>
      <c r="AB82" s="7" t="s">
        <v>82</v>
      </c>
      <c r="AC82" s="7" t="s">
        <v>82</v>
      </c>
      <c r="AD82" s="7" t="s">
        <v>82</v>
      </c>
      <c r="AE82" s="7" t="s">
        <v>82</v>
      </c>
      <c r="AF82" s="7" t="s">
        <v>82</v>
      </c>
      <c r="AG82" s="7" t="s">
        <v>82</v>
      </c>
      <c r="AH82" s="7" t="s">
        <v>82</v>
      </c>
      <c r="AI82" s="7" t="s">
        <v>82</v>
      </c>
      <c r="AJ82" s="7" t="s">
        <v>80</v>
      </c>
      <c r="AK82" s="7" t="s">
        <v>80</v>
      </c>
    </row>
    <row r="83" spans="1:37" x14ac:dyDescent="0.25">
      <c r="A83" s="13" t="str">
        <f ca="1"/>
        <v>0x942E</v>
      </c>
      <c r="B83" s="14" t="str">
        <f ca="1"/>
        <v>GetHLGQualityData</v>
      </c>
      <c r="D83" s="8" t="str">
        <f ca="1"/>
        <v>GetHLGQualityData</v>
      </c>
      <c r="E83" s="8" t="str">
        <f ca="1"/>
        <v>GetHLGQualityData</v>
      </c>
      <c r="F83" s="8" t="str">
        <f ca="1"/>
        <v/>
      </c>
      <c r="G83" s="8" t="str">
        <f ca="1"/>
        <v/>
      </c>
      <c r="H83" s="7" t="str">
        <f ca="1"/>
        <v/>
      </c>
      <c r="I83" s="7" t="str">
        <f ca="1"/>
        <v/>
      </c>
      <c r="J83" s="7" t="str">
        <f ca="1"/>
        <v/>
      </c>
      <c r="K83" s="7" t="str">
        <f ca="1"/>
        <v/>
      </c>
      <c r="L83" s="7" t="str">
        <f ca="1"/>
        <v/>
      </c>
      <c r="M83" s="7" t="str">
        <f ca="1"/>
        <v/>
      </c>
      <c r="N83" s="7" t="str">
        <f ca="1"/>
        <v/>
      </c>
      <c r="O83" s="7" t="str">
        <f ca="1"/>
        <v/>
      </c>
      <c r="P83" s="7" t="str">
        <f ca="1"/>
        <v/>
      </c>
      <c r="Q83" s="7" t="str">
        <f ca="1"/>
        <v/>
      </c>
      <c r="T83" s="7" t="str">
        <f ca="1"/>
        <v>Z8</v>
      </c>
      <c r="U83" s="7" t="str">
        <f ca="1"/>
        <v>0x943B</v>
      </c>
      <c r="V83" s="7" t="str">
        <f ca="1"/>
        <v>GetDevicePropValueEx</v>
      </c>
      <c r="X83" s="8" t="s">
        <v>85</v>
      </c>
      <c r="Y83" s="8" t="s">
        <v>83</v>
      </c>
      <c r="Z83" s="8" t="s">
        <v>83</v>
      </c>
      <c r="AA83" s="8" t="s">
        <v>83</v>
      </c>
      <c r="AB83" s="7" t="s">
        <v>83</v>
      </c>
      <c r="AC83" s="7" t="s">
        <v>83</v>
      </c>
      <c r="AD83" s="7" t="s">
        <v>83</v>
      </c>
      <c r="AE83" s="7" t="s">
        <v>83</v>
      </c>
      <c r="AF83" s="7" t="s">
        <v>83</v>
      </c>
      <c r="AG83" s="7" t="s">
        <v>83</v>
      </c>
      <c r="AH83" s="7" t="s">
        <v>83</v>
      </c>
      <c r="AI83" s="7" t="s">
        <v>83</v>
      </c>
      <c r="AJ83" s="7" t="s">
        <v>81</v>
      </c>
      <c r="AK83" s="7" t="s">
        <v>215</v>
      </c>
    </row>
    <row r="84" spans="1:37" x14ac:dyDescent="0.25">
      <c r="A84" s="13" t="str">
        <f ca="1"/>
        <v>0x942F</v>
      </c>
      <c r="B84" s="14" t="str">
        <f ca="1"/>
        <v>SetHLGQualityData</v>
      </c>
      <c r="D84" s="8" t="str">
        <f ca="1"/>
        <v>SetHLGQualityData</v>
      </c>
      <c r="E84" s="8" t="str">
        <f ca="1"/>
        <v>SetHLGQualityData</v>
      </c>
      <c r="F84" s="8" t="str">
        <f ca="1"/>
        <v/>
      </c>
      <c r="G84" s="8" t="str">
        <f ca="1"/>
        <v/>
      </c>
      <c r="H84" s="7" t="str">
        <f ca="1"/>
        <v/>
      </c>
      <c r="I84" s="7" t="str">
        <f ca="1"/>
        <v/>
      </c>
      <c r="J84" s="7" t="str">
        <f ca="1"/>
        <v/>
      </c>
      <c r="K84" s="7" t="str">
        <f ca="1"/>
        <v/>
      </c>
      <c r="L84" s="7" t="str">
        <f ca="1"/>
        <v/>
      </c>
      <c r="M84" s="7" t="str">
        <f ca="1"/>
        <v/>
      </c>
      <c r="N84" s="7" t="str">
        <f ca="1"/>
        <v/>
      </c>
      <c r="O84" s="7" t="str">
        <f ca="1"/>
        <v/>
      </c>
      <c r="P84" s="7" t="str">
        <f ca="1"/>
        <v/>
      </c>
      <c r="Q84" s="7" t="str">
        <f ca="1"/>
        <v/>
      </c>
      <c r="T84" s="7" t="str">
        <f ca="1"/>
        <v>Z8</v>
      </c>
      <c r="U84" s="7" t="str">
        <f ca="1"/>
        <v>0x943C</v>
      </c>
      <c r="V84" s="7" t="str">
        <f ca="1"/>
        <v>SetDevicePropValueEx</v>
      </c>
      <c r="X84" s="8" t="s">
        <v>86</v>
      </c>
      <c r="Y84" s="8" t="s">
        <v>84</v>
      </c>
      <c r="Z84" s="8" t="s">
        <v>84</v>
      </c>
      <c r="AA84" s="8" t="s">
        <v>84</v>
      </c>
      <c r="AB84" s="7" t="s">
        <v>84</v>
      </c>
      <c r="AC84" s="7" t="s">
        <v>84</v>
      </c>
      <c r="AD84" s="7" t="s">
        <v>84</v>
      </c>
      <c r="AE84" s="7" t="s">
        <v>84</v>
      </c>
      <c r="AF84" s="7" t="s">
        <v>84</v>
      </c>
      <c r="AG84" s="7" t="s">
        <v>84</v>
      </c>
      <c r="AH84" s="7" t="s">
        <v>84</v>
      </c>
      <c r="AI84" s="7" t="s">
        <v>84</v>
      </c>
      <c r="AJ84" s="7" t="s">
        <v>1648</v>
      </c>
      <c r="AK84" s="7" t="s">
        <v>216</v>
      </c>
    </row>
    <row r="85" spans="1:37" x14ac:dyDescent="0.25">
      <c r="A85" s="13" t="str">
        <f ca="1"/>
        <v>0x9431</v>
      </c>
      <c r="B85" s="14" t="str">
        <f ca="1"/>
        <v>GetPartialObjectEx</v>
      </c>
      <c r="D85" s="8" t="str">
        <f ca="1"/>
        <v>GetPartialObjectEx</v>
      </c>
      <c r="E85" s="8" t="str">
        <f ca="1"/>
        <v>GetPartialObjectEx</v>
      </c>
      <c r="F85" s="8" t="str">
        <f ca="1"/>
        <v>GetPartialObjectEx</v>
      </c>
      <c r="G85" s="8" t="str">
        <f ca="1"/>
        <v>GetPartialObjectEx</v>
      </c>
      <c r="H85" s="7" t="str">
        <f ca="1"/>
        <v>GetPartialObjectEx</v>
      </c>
      <c r="I85" s="7" t="str">
        <f ca="1"/>
        <v>GetPartialObjectEx</v>
      </c>
      <c r="J85" s="7" t="str">
        <f ca="1"/>
        <v>GetPartialObjectEx</v>
      </c>
      <c r="K85" s="7" t="str">
        <f ca="1"/>
        <v>GetPartialObjectEx</v>
      </c>
      <c r="L85" s="7" t="str">
        <f ca="1"/>
        <v>GetPartialObjectEx</v>
      </c>
      <c r="M85" s="7" t="str">
        <f ca="1"/>
        <v/>
      </c>
      <c r="N85" s="7" t="str">
        <f ca="1"/>
        <v/>
      </c>
      <c r="O85" s="7" t="str">
        <f ca="1"/>
        <v/>
      </c>
      <c r="P85" s="7" t="str">
        <f ca="1"/>
        <v/>
      </c>
      <c r="Q85" s="7" t="str">
        <f ca="1"/>
        <v/>
      </c>
      <c r="T85" s="7" t="str">
        <f ca="1"/>
        <v>Z8</v>
      </c>
      <c r="U85" s="7" t="str">
        <f ca="1"/>
        <v>0x943D</v>
      </c>
      <c r="V85" s="7" t="str">
        <f ca="1"/>
        <v>RegisterDevicePropGroup</v>
      </c>
      <c r="X85" s="8" t="s">
        <v>87</v>
      </c>
      <c r="Y85" s="8" t="s">
        <v>85</v>
      </c>
      <c r="Z85" s="8" t="s">
        <v>85</v>
      </c>
      <c r="AA85" s="8" t="s">
        <v>85</v>
      </c>
      <c r="AB85" s="7" t="s">
        <v>85</v>
      </c>
      <c r="AC85" s="7" t="s">
        <v>85</v>
      </c>
      <c r="AD85" s="7" t="s">
        <v>85</v>
      </c>
      <c r="AE85" s="7" t="s">
        <v>85</v>
      </c>
      <c r="AF85" s="7" t="s">
        <v>85</v>
      </c>
      <c r="AG85" s="7" t="s">
        <v>85</v>
      </c>
      <c r="AH85" s="7" t="s">
        <v>85</v>
      </c>
      <c r="AI85" s="7" t="s">
        <v>85</v>
      </c>
      <c r="AJ85" s="7" t="s">
        <v>1649</v>
      </c>
      <c r="AK85" s="7" t="s">
        <v>217</v>
      </c>
    </row>
    <row r="86" spans="1:37" x14ac:dyDescent="0.25">
      <c r="A86" s="13" t="str">
        <f ca="1"/>
        <v>0x9432</v>
      </c>
      <c r="B86" s="14" t="str">
        <f ca="1"/>
        <v>GetManualSettingLensData</v>
      </c>
      <c r="D86" s="8" t="str">
        <f ca="1"/>
        <v/>
      </c>
      <c r="E86" s="8" t="str">
        <f ca="1"/>
        <v/>
      </c>
      <c r="F86" s="8" t="str">
        <f ca="1"/>
        <v>GetManualSettingLensData</v>
      </c>
      <c r="G86" s="8" t="str">
        <f ca="1"/>
        <v>GetManualSettingLensData</v>
      </c>
      <c r="H86" s="7" t="str">
        <f ca="1"/>
        <v/>
      </c>
      <c r="I86" s="7" t="str">
        <f ca="1"/>
        <v>GetManualSettingLensData</v>
      </c>
      <c r="J86" s="7" t="str">
        <f ca="1"/>
        <v>GetManualSettingLensData</v>
      </c>
      <c r="K86" s="7" t="str">
        <f ca="1"/>
        <v>GetManualSettingLensData</v>
      </c>
      <c r="L86" s="7" t="str">
        <f ca="1"/>
        <v>GetManualSettingLensData</v>
      </c>
      <c r="M86" s="7" t="str">
        <f ca="1"/>
        <v/>
      </c>
      <c r="N86" s="7" t="str">
        <f ca="1"/>
        <v/>
      </c>
      <c r="O86" s="7" t="str">
        <f ca="1"/>
        <v/>
      </c>
      <c r="P86" s="7" t="str">
        <f ca="1"/>
        <v/>
      </c>
      <c r="Q86" s="7" t="str">
        <f ca="1"/>
        <v/>
      </c>
      <c r="T86" s="7" t="str">
        <f ca="1"/>
        <v>Z8</v>
      </c>
      <c r="U86" s="7" t="str">
        <f ca="1"/>
        <v>0x943E</v>
      </c>
      <c r="V86" s="7" t="str">
        <f ca="1"/>
        <v>GetDevicePropDescList</v>
      </c>
      <c r="X86" s="8" t="s">
        <v>88</v>
      </c>
      <c r="Y86" s="8" t="s">
        <v>86</v>
      </c>
      <c r="Z86" s="8" t="s">
        <v>86</v>
      </c>
      <c r="AA86" s="8" t="s">
        <v>86</v>
      </c>
      <c r="AB86" s="7" t="s">
        <v>86</v>
      </c>
      <c r="AC86" s="7" t="s">
        <v>86</v>
      </c>
      <c r="AD86" s="7" t="s">
        <v>86</v>
      </c>
      <c r="AE86" s="7" t="s">
        <v>86</v>
      </c>
      <c r="AF86" s="7" t="s">
        <v>86</v>
      </c>
      <c r="AG86" s="7" t="s">
        <v>1636</v>
      </c>
      <c r="AH86" s="7" t="s">
        <v>1636</v>
      </c>
      <c r="AI86" s="7" t="s">
        <v>1636</v>
      </c>
      <c r="AJ86" s="7" t="s">
        <v>1650</v>
      </c>
      <c r="AK86" s="7" t="s">
        <v>218</v>
      </c>
    </row>
    <row r="87" spans="1:37" x14ac:dyDescent="0.25">
      <c r="A87" s="13" t="str">
        <f ca="1"/>
        <v>0x9433</v>
      </c>
      <c r="B87" s="14" t="str">
        <f ca="1"/>
        <v>InitiatePixelMapping</v>
      </c>
      <c r="D87" s="8" t="str">
        <f ca="1"/>
        <v>InitiatePixelMapping</v>
      </c>
      <c r="E87" s="8" t="str">
        <f ca="1"/>
        <v>InitiatePixelMapping</v>
      </c>
      <c r="F87" s="8" t="str">
        <f ca="1"/>
        <v>InitiatePixelMapping</v>
      </c>
      <c r="G87" s="8" t="str">
        <f ca="1"/>
        <v>InitiatePixelMapping</v>
      </c>
      <c r="H87" s="7" t="str">
        <f ca="1"/>
        <v/>
      </c>
      <c r="I87" s="7" t="str">
        <f ca="1"/>
        <v/>
      </c>
      <c r="J87" s="7" t="str">
        <f ca="1"/>
        <v/>
      </c>
      <c r="K87" s="7" t="str">
        <f ca="1"/>
        <v>InitiatePixelMapping</v>
      </c>
      <c r="L87" s="7" t="str">
        <f ca="1"/>
        <v>InitiatePixelMapping</v>
      </c>
      <c r="M87" s="7" t="str">
        <f ca="1"/>
        <v/>
      </c>
      <c r="N87" s="7" t="str">
        <f ca="1"/>
        <v/>
      </c>
      <c r="O87" s="7" t="str">
        <f ca="1"/>
        <v/>
      </c>
      <c r="P87" s="7" t="str">
        <f ca="1"/>
        <v/>
      </c>
      <c r="Q87" s="7" t="str">
        <f ca="1"/>
        <v/>
      </c>
      <c r="T87" s="7" t="str">
        <f ca="1"/>
        <v>Z8</v>
      </c>
      <c r="U87" s="7" t="str">
        <f ca="1"/>
        <v>0x943F</v>
      </c>
      <c r="V87" s="7" t="str">
        <f ca="1"/>
        <v>GetDevicePropValueList</v>
      </c>
      <c r="X87" s="8" t="s">
        <v>89</v>
      </c>
      <c r="Y87" s="8" t="s">
        <v>87</v>
      </c>
      <c r="Z87" s="8" t="s">
        <v>87</v>
      </c>
      <c r="AA87" s="8" t="s">
        <v>87</v>
      </c>
      <c r="AB87" s="7" t="s">
        <v>87</v>
      </c>
      <c r="AC87" s="7" t="s">
        <v>87</v>
      </c>
      <c r="AD87" s="7" t="s">
        <v>87</v>
      </c>
      <c r="AE87" s="7" t="s">
        <v>87</v>
      </c>
      <c r="AF87" s="7" t="s">
        <v>87</v>
      </c>
      <c r="AG87" s="7" t="s">
        <v>87</v>
      </c>
      <c r="AH87" s="7" t="s">
        <v>87</v>
      </c>
      <c r="AI87" s="7" t="s">
        <v>87</v>
      </c>
      <c r="AJ87" s="7" t="s">
        <v>215</v>
      </c>
      <c r="AK87" s="7" t="s">
        <v>219</v>
      </c>
    </row>
    <row r="88" spans="1:37" x14ac:dyDescent="0.25">
      <c r="A88" s="13" t="str">
        <f ca="1"/>
        <v>0x9434</v>
      </c>
      <c r="B88" s="14" t="str">
        <f ca="1"/>
        <v>GetObjectsMetaData</v>
      </c>
      <c r="D88" s="8" t="str">
        <f ca="1"/>
        <v>GetObjectsMetaData</v>
      </c>
      <c r="E88" s="8" t="str">
        <f ca="1"/>
        <v>GetObjectsMetaData</v>
      </c>
      <c r="F88" s="8" t="str">
        <f ca="1"/>
        <v>GetObjectsMetaData</v>
      </c>
      <c r="G88" s="8" t="str">
        <f ca="1"/>
        <v>GetObjectsMetaData</v>
      </c>
      <c r="H88" s="7" t="str">
        <f ca="1"/>
        <v/>
      </c>
      <c r="I88" s="7" t="str">
        <f ca="1"/>
        <v/>
      </c>
      <c r="J88" s="7" t="str">
        <f ca="1"/>
        <v/>
      </c>
      <c r="K88" s="7" t="str">
        <f ca="1"/>
        <v>GetObjectsMetaData</v>
      </c>
      <c r="L88" s="7" t="str">
        <f ca="1"/>
        <v>GetObjectsMetaData</v>
      </c>
      <c r="M88" s="7" t="str">
        <f ca="1"/>
        <v/>
      </c>
      <c r="N88" s="7" t="str">
        <f ca="1"/>
        <v/>
      </c>
      <c r="O88" s="7" t="str">
        <f ca="1"/>
        <v/>
      </c>
      <c r="P88" s="7" t="str">
        <f ca="1"/>
        <v/>
      </c>
      <c r="Q88" s="7" t="str">
        <f ca="1"/>
        <v/>
      </c>
      <c r="T88" s="7" t="str">
        <f ca="1"/>
        <v>Z8</v>
      </c>
      <c r="U88" s="7" t="str">
        <f ca="1"/>
        <v>0x9440</v>
      </c>
      <c r="V88" s="7" t="str">
        <f ca="1"/>
        <v>OperationDataNone</v>
      </c>
      <c r="X88" s="8" t="s">
        <v>90</v>
      </c>
      <c r="Y88" s="8" t="s">
        <v>88</v>
      </c>
      <c r="Z88" s="8" t="s">
        <v>88</v>
      </c>
      <c r="AA88" s="8" t="s">
        <v>88</v>
      </c>
      <c r="AB88" s="7" t="s">
        <v>88</v>
      </c>
      <c r="AC88" s="7" t="s">
        <v>88</v>
      </c>
      <c r="AD88" s="7" t="s">
        <v>88</v>
      </c>
      <c r="AE88" s="7" t="s">
        <v>88</v>
      </c>
      <c r="AF88" s="7" t="s">
        <v>88</v>
      </c>
      <c r="AG88" s="7" t="s">
        <v>1637</v>
      </c>
      <c r="AH88" s="7" t="s">
        <v>1637</v>
      </c>
      <c r="AI88" s="7" t="s">
        <v>1637</v>
      </c>
      <c r="AJ88" s="7" t="s">
        <v>216</v>
      </c>
      <c r="AK88" s="7" t="s">
        <v>220</v>
      </c>
    </row>
    <row r="89" spans="1:37" x14ac:dyDescent="0.25">
      <c r="A89" s="13" t="str">
        <f ca="1"/>
        <v>0x9435</v>
      </c>
      <c r="B89" s="14" t="str">
        <f ca="1"/>
        <v>ChangeApplicationMode</v>
      </c>
      <c r="D89" s="8" t="str">
        <f ca="1"/>
        <v>ChangeApplicationMode</v>
      </c>
      <c r="E89" s="8" t="str">
        <f ca="1"/>
        <v>ChangeApplicationMode</v>
      </c>
      <c r="F89" s="8" t="str">
        <f ca="1"/>
        <v>ChangeApplicationMode</v>
      </c>
      <c r="G89" s="8" t="str">
        <f ca="1"/>
        <v>ChangeApplicationMode</v>
      </c>
      <c r="H89" s="7" t="str">
        <f ca="1"/>
        <v/>
      </c>
      <c r="I89" s="7" t="str">
        <f ca="1"/>
        <v/>
      </c>
      <c r="J89" s="7" t="str">
        <f ca="1"/>
        <v/>
      </c>
      <c r="K89" s="7" t="str">
        <f ca="1"/>
        <v/>
      </c>
      <c r="L89" s="7" t="str">
        <f ca="1"/>
        <v>ChangeApplicationMode</v>
      </c>
      <c r="M89" s="7" t="str">
        <f ca="1"/>
        <v/>
      </c>
      <c r="N89" s="7" t="str">
        <f ca="1"/>
        <v/>
      </c>
      <c r="O89" s="7" t="str">
        <f ca="1"/>
        <v/>
      </c>
      <c r="P89" s="7" t="str">
        <f ca="1"/>
        <v/>
      </c>
      <c r="Q89" s="7" t="str">
        <f ca="1"/>
        <v/>
      </c>
      <c r="T89" s="7" t="str">
        <f ca="1"/>
        <v>Z8</v>
      </c>
      <c r="U89" s="7" t="str">
        <f ca="1"/>
        <v>0x9441</v>
      </c>
      <c r="V89" s="7" t="str">
        <f ca="1"/>
        <v>OperationReceiveData</v>
      </c>
      <c r="X89" s="8" t="s">
        <v>91</v>
      </c>
      <c r="Y89" s="8" t="s">
        <v>89</v>
      </c>
      <c r="Z89" s="8" t="s">
        <v>89</v>
      </c>
      <c r="AA89" s="8" t="s">
        <v>89</v>
      </c>
      <c r="AB89" s="7" t="s">
        <v>89</v>
      </c>
      <c r="AC89" s="7" t="s">
        <v>89</v>
      </c>
      <c r="AD89" s="7" t="s">
        <v>89</v>
      </c>
      <c r="AE89" s="7" t="s">
        <v>89</v>
      </c>
      <c r="AF89" s="7" t="s">
        <v>89</v>
      </c>
      <c r="AG89" s="7" t="s">
        <v>89</v>
      </c>
      <c r="AH89" s="7" t="s">
        <v>89</v>
      </c>
      <c r="AI89" s="7" t="s">
        <v>89</v>
      </c>
      <c r="AJ89" s="7" t="s">
        <v>217</v>
      </c>
      <c r="AK89" s="7" t="s">
        <v>221</v>
      </c>
    </row>
    <row r="90" spans="1:37" x14ac:dyDescent="0.25">
      <c r="A90" s="13" t="str">
        <f ca="1"/>
        <v>0x9436</v>
      </c>
      <c r="B90" s="14" t="str">
        <f ca="1"/>
        <v>ResetMenu</v>
      </c>
      <c r="D90" s="8" t="str">
        <f ca="1"/>
        <v>ResetMenu</v>
      </c>
      <c r="E90" s="8" t="str">
        <f ca="1"/>
        <v>ResetMenu</v>
      </c>
      <c r="F90" s="8" t="str">
        <f ca="1"/>
        <v>ResetMenu</v>
      </c>
      <c r="G90" s="8" t="str">
        <f ca="1"/>
        <v>ResetMenu</v>
      </c>
      <c r="H90" s="7" t="str">
        <f ca="1"/>
        <v/>
      </c>
      <c r="I90" s="7" t="str">
        <f ca="1"/>
        <v/>
      </c>
      <c r="J90" s="7" t="str">
        <f ca="1"/>
        <v/>
      </c>
      <c r="K90" s="7" t="str">
        <f ca="1"/>
        <v/>
      </c>
      <c r="L90" s="7" t="str">
        <f ca="1"/>
        <v>ResetMenu</v>
      </c>
      <c r="M90" s="7" t="str">
        <f ca="1"/>
        <v/>
      </c>
      <c r="N90" s="7" t="str">
        <f ca="1"/>
        <v/>
      </c>
      <c r="O90" s="7" t="str">
        <f ca="1"/>
        <v/>
      </c>
      <c r="P90" s="7" t="str">
        <f ca="1"/>
        <v/>
      </c>
      <c r="Q90" s="7" t="str">
        <f ca="1"/>
        <v/>
      </c>
      <c r="T90" s="7" t="str">
        <f ca="1"/>
        <v>Z8</v>
      </c>
      <c r="U90" s="7" t="str">
        <f ca="1"/>
        <v>0x9442</v>
      </c>
      <c r="V90" s="7" t="str">
        <f ca="1"/>
        <v>OperationSendData</v>
      </c>
      <c r="X90" s="8" t="s">
        <v>92</v>
      </c>
      <c r="Y90" s="8" t="s">
        <v>90</v>
      </c>
      <c r="Z90" s="8" t="s">
        <v>90</v>
      </c>
      <c r="AA90" s="8" t="s">
        <v>90</v>
      </c>
      <c r="AB90" s="7" t="s">
        <v>90</v>
      </c>
      <c r="AC90" s="7" t="s">
        <v>90</v>
      </c>
      <c r="AD90" s="7" t="s">
        <v>90</v>
      </c>
      <c r="AE90" s="7" t="s">
        <v>90</v>
      </c>
      <c r="AF90" s="7" t="s">
        <v>90</v>
      </c>
      <c r="AG90" s="7" t="s">
        <v>90</v>
      </c>
      <c r="AH90" s="7" t="s">
        <v>90</v>
      </c>
      <c r="AI90" s="7" t="s">
        <v>90</v>
      </c>
      <c r="AJ90" s="7" t="s">
        <v>218</v>
      </c>
      <c r="AK90" s="7" t="s">
        <v>222</v>
      </c>
    </row>
    <row r="91" spans="1:37" x14ac:dyDescent="0.25">
      <c r="A91" s="13" t="str">
        <f ca="1"/>
        <v>0x9439</v>
      </c>
      <c r="B91" s="14" t="str">
        <f ca="1"/>
        <v>GetVendorCodes</v>
      </c>
      <c r="D91" s="8" t="str">
        <f ca="1"/>
        <v>GetVendorCodes</v>
      </c>
      <c r="E91" s="8" t="str">
        <f ca="1"/>
        <v>GetVendorCodes</v>
      </c>
      <c r="F91" s="8" t="str">
        <f ca="1"/>
        <v/>
      </c>
      <c r="G91" s="8" t="str">
        <f ca="1"/>
        <v/>
      </c>
      <c r="H91" s="7" t="str">
        <f ca="1"/>
        <v/>
      </c>
      <c r="I91" s="7" t="str">
        <f ca="1"/>
        <v/>
      </c>
      <c r="J91" s="7" t="str">
        <f ca="1"/>
        <v/>
      </c>
      <c r="K91" s="7" t="str">
        <f ca="1"/>
        <v/>
      </c>
      <c r="L91" s="7" t="str">
        <f ca="1"/>
        <v/>
      </c>
      <c r="M91" s="7" t="str">
        <f ca="1"/>
        <v/>
      </c>
      <c r="N91" s="7" t="str">
        <f ca="1"/>
        <v/>
      </c>
      <c r="O91" s="7" t="str">
        <f ca="1"/>
        <v/>
      </c>
      <c r="P91" s="7" t="str">
        <f ca="1"/>
        <v/>
      </c>
      <c r="Q91" s="7" t="str">
        <f ca="1"/>
        <v/>
      </c>
      <c r="T91" s="7" t="str">
        <f ca="1"/>
        <v>Z8</v>
      </c>
      <c r="U91" s="7" t="str">
        <f ca="1"/>
        <v>0x9443</v>
      </c>
      <c r="V91" s="7" t="str">
        <f ca="1"/>
        <v>GetPicCtrlDataList</v>
      </c>
      <c r="X91" s="8" t="s">
        <v>93</v>
      </c>
      <c r="Y91" s="8" t="s">
        <v>91</v>
      </c>
      <c r="Z91" s="8" t="s">
        <v>91</v>
      </c>
      <c r="AA91" s="8" t="s">
        <v>91</v>
      </c>
      <c r="AB91" s="7" t="s">
        <v>91</v>
      </c>
      <c r="AC91" s="7" t="s">
        <v>91</v>
      </c>
      <c r="AD91" s="7" t="s">
        <v>91</v>
      </c>
      <c r="AE91" s="7" t="s">
        <v>91</v>
      </c>
      <c r="AF91" s="7" t="s">
        <v>91</v>
      </c>
      <c r="AG91" s="7" t="s">
        <v>91</v>
      </c>
      <c r="AH91" s="7" t="s">
        <v>91</v>
      </c>
      <c r="AI91" s="7" t="s">
        <v>91</v>
      </c>
      <c r="AJ91" s="7" t="s">
        <v>219</v>
      </c>
    </row>
    <row r="92" spans="1:37" x14ac:dyDescent="0.25">
      <c r="A92" s="13" t="str">
        <f ca="1"/>
        <v>0x943A</v>
      </c>
      <c r="B92" s="14" t="str">
        <f ca="1"/>
        <v>GetDevicePropDescEx</v>
      </c>
      <c r="D92" s="8" t="str">
        <f ca="1"/>
        <v>GetDevicePropDescEx</v>
      </c>
      <c r="E92" s="8" t="str">
        <f ca="1"/>
        <v>GetDevicePropDescEx</v>
      </c>
      <c r="F92" s="8" t="str">
        <f ca="1"/>
        <v/>
      </c>
      <c r="G92" s="8" t="str">
        <f ca="1"/>
        <v/>
      </c>
      <c r="H92" s="7" t="str">
        <f ca="1"/>
        <v/>
      </c>
      <c r="I92" s="7" t="str">
        <f ca="1"/>
        <v/>
      </c>
      <c r="J92" s="7" t="str">
        <f ca="1"/>
        <v/>
      </c>
      <c r="K92" s="7" t="str">
        <f ca="1"/>
        <v/>
      </c>
      <c r="L92" s="7" t="str">
        <f ca="1"/>
        <v/>
      </c>
      <c r="M92" s="7" t="str">
        <f ca="1"/>
        <v/>
      </c>
      <c r="N92" s="7" t="str">
        <f ca="1"/>
        <v/>
      </c>
      <c r="O92" s="7" t="str">
        <f ca="1"/>
        <v/>
      </c>
      <c r="P92" s="7" t="str">
        <f ca="1"/>
        <v/>
      </c>
      <c r="Q92" s="7" t="str">
        <f ca="1"/>
        <v/>
      </c>
      <c r="T92" s="7" t="str">
        <f ca="1"/>
        <v>Z8</v>
      </c>
      <c r="U92" s="7" t="str">
        <f ca="1"/>
        <v>0x9444</v>
      </c>
      <c r="V92" s="7" t="str">
        <f ca="1"/>
        <v>GetPicCtrlCapabilityList</v>
      </c>
      <c r="X92" s="8" t="s">
        <v>94</v>
      </c>
      <c r="Y92" s="8" t="s">
        <v>92</v>
      </c>
      <c r="Z92" s="8" t="s">
        <v>92</v>
      </c>
      <c r="AA92" s="8" t="s">
        <v>92</v>
      </c>
      <c r="AB92" s="7" t="s">
        <v>92</v>
      </c>
      <c r="AC92" s="7" t="s">
        <v>92</v>
      </c>
      <c r="AD92" s="7" t="s">
        <v>92</v>
      </c>
      <c r="AE92" s="7" t="s">
        <v>92</v>
      </c>
      <c r="AF92" s="7" t="s">
        <v>92</v>
      </c>
      <c r="AG92" s="7" t="s">
        <v>92</v>
      </c>
      <c r="AH92" s="7" t="s">
        <v>92</v>
      </c>
      <c r="AI92" s="7" t="s">
        <v>92</v>
      </c>
      <c r="AJ92" s="7" t="s">
        <v>220</v>
      </c>
    </row>
    <row r="93" spans="1:37" x14ac:dyDescent="0.25">
      <c r="A93" s="13" t="str">
        <f ca="1"/>
        <v>0x943B</v>
      </c>
      <c r="B93" s="14" t="str">
        <f ca="1"/>
        <v>GetDevicePropValueEx</v>
      </c>
      <c r="D93" s="8" t="str">
        <f ca="1"/>
        <v>GetDevicePropValueEx</v>
      </c>
      <c r="E93" s="8" t="str">
        <f ca="1"/>
        <v>GetDevicePropValueEx</v>
      </c>
      <c r="F93" s="8" t="str">
        <f ca="1"/>
        <v/>
      </c>
      <c r="G93" s="8" t="str">
        <f ca="1"/>
        <v/>
      </c>
      <c r="H93" s="7" t="str">
        <f ca="1"/>
        <v/>
      </c>
      <c r="I93" s="7" t="str">
        <f ca="1"/>
        <v/>
      </c>
      <c r="J93" s="7" t="str">
        <f ca="1"/>
        <v/>
      </c>
      <c r="K93" s="7" t="str">
        <f ca="1"/>
        <v/>
      </c>
      <c r="L93" s="7" t="str">
        <f ca="1"/>
        <v/>
      </c>
      <c r="M93" s="7" t="str">
        <f ca="1"/>
        <v/>
      </c>
      <c r="N93" s="7" t="str">
        <f ca="1"/>
        <v/>
      </c>
      <c r="O93" s="7" t="str">
        <f ca="1"/>
        <v/>
      </c>
      <c r="P93" s="7" t="str">
        <f ca="1"/>
        <v/>
      </c>
      <c r="Q93" s="7" t="str">
        <f ca="1"/>
        <v/>
      </c>
      <c r="T93" s="7" t="str">
        <f ca="1"/>
        <v>Z8</v>
      </c>
      <c r="U93" s="7" t="str">
        <f ca="1"/>
        <v>0x9445</v>
      </c>
      <c r="V93" s="7" t="str">
        <f ca="1"/>
        <v>InitiateOpenCaptureV</v>
      </c>
      <c r="X93" s="8" t="s">
        <v>95</v>
      </c>
      <c r="Y93" s="8" t="s">
        <v>93</v>
      </c>
      <c r="Z93" s="8" t="s">
        <v>93</v>
      </c>
      <c r="AA93" s="8" t="s">
        <v>93</v>
      </c>
      <c r="AB93" s="7" t="s">
        <v>93</v>
      </c>
      <c r="AC93" s="7" t="s">
        <v>93</v>
      </c>
      <c r="AD93" s="7" t="s">
        <v>93</v>
      </c>
      <c r="AE93" s="7" t="s">
        <v>93</v>
      </c>
      <c r="AF93" s="7" t="s">
        <v>93</v>
      </c>
      <c r="AG93" s="7" t="s">
        <v>93</v>
      </c>
      <c r="AH93" s="7" t="s">
        <v>93</v>
      </c>
      <c r="AI93" s="7" t="s">
        <v>95</v>
      </c>
      <c r="AJ93" s="7" t="s">
        <v>221</v>
      </c>
    </row>
    <row r="94" spans="1:37" x14ac:dyDescent="0.25">
      <c r="A94" s="13" t="str">
        <f ca="1"/>
        <v>0x943C</v>
      </c>
      <c r="B94" s="14" t="str">
        <f ca="1"/>
        <v>SetDevicePropValueEx</v>
      </c>
      <c r="D94" s="8" t="str">
        <f ca="1"/>
        <v>SetDevicePropValueEx</v>
      </c>
      <c r="E94" s="8" t="str">
        <f ca="1"/>
        <v>SetDevicePropValueEx</v>
      </c>
      <c r="F94" s="8" t="str">
        <f ca="1"/>
        <v/>
      </c>
      <c r="G94" s="8" t="str">
        <f ca="1"/>
        <v/>
      </c>
      <c r="H94" s="7" t="str">
        <f ca="1"/>
        <v/>
      </c>
      <c r="I94" s="7" t="str">
        <f ca="1"/>
        <v/>
      </c>
      <c r="J94" s="7" t="str">
        <f ca="1"/>
        <v/>
      </c>
      <c r="K94" s="7" t="str">
        <f ca="1"/>
        <v/>
      </c>
      <c r="L94" s="7" t="str">
        <f ca="1"/>
        <v/>
      </c>
      <c r="M94" s="7" t="str">
        <f ca="1"/>
        <v/>
      </c>
      <c r="N94" s="7" t="str">
        <f ca="1"/>
        <v/>
      </c>
      <c r="O94" s="7" t="str">
        <f ca="1"/>
        <v/>
      </c>
      <c r="P94" s="7" t="str">
        <f ca="1"/>
        <v/>
      </c>
      <c r="Q94" s="7" t="str">
        <f ca="1"/>
        <v/>
      </c>
      <c r="T94" s="7" t="str">
        <f ca="1"/>
        <v>Z8</v>
      </c>
      <c r="U94" s="7" t="str">
        <f ca="1"/>
        <v>0x9446</v>
      </c>
      <c r="V94" s="7" t="str">
        <f ca="1"/>
        <v>TerminateOpenCaptureV</v>
      </c>
      <c r="X94" s="8" t="s">
        <v>96</v>
      </c>
      <c r="Y94" s="8" t="s">
        <v>94</v>
      </c>
      <c r="Z94" s="8" t="s">
        <v>94</v>
      </c>
      <c r="AA94" s="8" t="s">
        <v>94</v>
      </c>
      <c r="AB94" s="7" t="s">
        <v>94</v>
      </c>
      <c r="AC94" s="7" t="s">
        <v>94</v>
      </c>
      <c r="AD94" s="7" t="s">
        <v>94</v>
      </c>
      <c r="AE94" s="7" t="s">
        <v>94</v>
      </c>
      <c r="AF94" s="7" t="s">
        <v>94</v>
      </c>
      <c r="AG94" s="7" t="s">
        <v>94</v>
      </c>
      <c r="AH94" s="7" t="s">
        <v>94</v>
      </c>
      <c r="AI94" s="7" t="s">
        <v>96</v>
      </c>
      <c r="AJ94" s="7" t="s">
        <v>222</v>
      </c>
    </row>
    <row r="95" spans="1:37" x14ac:dyDescent="0.25">
      <c r="A95" s="13" t="str">
        <f ca="1"/>
        <v>0x943D</v>
      </c>
      <c r="B95" s="14" t="str">
        <f ca="1"/>
        <v>RegisterDevicePropGroup</v>
      </c>
      <c r="D95" s="8" t="str">
        <f ca="1"/>
        <v>RegisterDevicePropGroup</v>
      </c>
      <c r="E95" s="8" t="str">
        <f ca="1"/>
        <v>RegisterDevicePropGroup</v>
      </c>
      <c r="F95" s="8" t="str">
        <f ca="1"/>
        <v/>
      </c>
      <c r="G95" s="8" t="str">
        <f ca="1"/>
        <v/>
      </c>
      <c r="H95" s="7" t="str">
        <f ca="1"/>
        <v/>
      </c>
      <c r="I95" s="7" t="str">
        <f ca="1"/>
        <v/>
      </c>
      <c r="J95" s="7" t="str">
        <f ca="1"/>
        <v/>
      </c>
      <c r="K95" s="7" t="str">
        <f ca="1"/>
        <v/>
      </c>
      <c r="L95" s="7" t="str">
        <f ca="1"/>
        <v/>
      </c>
      <c r="M95" s="7" t="str">
        <f ca="1"/>
        <v/>
      </c>
      <c r="N95" s="7" t="str">
        <f ca="1"/>
        <v/>
      </c>
      <c r="O95" s="7" t="str">
        <f ca="1"/>
        <v/>
      </c>
      <c r="P95" s="7" t="str">
        <f ca="1"/>
        <v/>
      </c>
      <c r="Q95" s="7" t="str">
        <f ca="1"/>
        <v/>
      </c>
      <c r="T95" s="7" t="str">
        <f ca="1"/>
        <v>Z8</v>
      </c>
      <c r="U95" s="7" t="str">
        <f ca="1"/>
        <v>0x9447</v>
      </c>
      <c r="V95" s="7" t="str">
        <f ca="1"/>
        <v>GetOpenCaptureInfo</v>
      </c>
      <c r="X95" s="8" t="s">
        <v>97</v>
      </c>
      <c r="Y95" s="8" t="s">
        <v>95</v>
      </c>
      <c r="Z95" s="8" t="s">
        <v>97</v>
      </c>
      <c r="AA95" s="8" t="s">
        <v>97</v>
      </c>
      <c r="AB95" s="7" t="s">
        <v>97</v>
      </c>
      <c r="AC95" s="7" t="s">
        <v>97</v>
      </c>
      <c r="AD95" s="7" t="s">
        <v>97</v>
      </c>
      <c r="AE95" s="7" t="s">
        <v>97</v>
      </c>
      <c r="AF95" s="7" t="s">
        <v>95</v>
      </c>
      <c r="AG95" s="7" t="s">
        <v>95</v>
      </c>
      <c r="AH95" s="7" t="s">
        <v>95</v>
      </c>
      <c r="AI95" s="7" t="s">
        <v>215</v>
      </c>
    </row>
    <row r="96" spans="1:37" x14ac:dyDescent="0.25">
      <c r="A96" s="13" t="str">
        <f ca="1"/>
        <v>0x943E</v>
      </c>
      <c r="B96" s="14" t="str">
        <f ca="1"/>
        <v>GetDevicePropDescList</v>
      </c>
      <c r="D96" s="8" t="str">
        <f ca="1"/>
        <v>GetDevicePropDescList</v>
      </c>
      <c r="E96" s="8" t="str">
        <f ca="1"/>
        <v>GetDevicePropDescList</v>
      </c>
      <c r="F96" s="8" t="str">
        <f ca="1"/>
        <v/>
      </c>
      <c r="G96" s="8" t="str">
        <f ca="1"/>
        <v/>
      </c>
      <c r="H96" s="7" t="str">
        <f ca="1"/>
        <v/>
      </c>
      <c r="I96" s="7" t="str">
        <f ca="1"/>
        <v/>
      </c>
      <c r="J96" s="7" t="str">
        <f ca="1"/>
        <v/>
      </c>
      <c r="K96" s="7" t="str">
        <f ca="1"/>
        <v/>
      </c>
      <c r="L96" s="7" t="str">
        <f ca="1"/>
        <v/>
      </c>
      <c r="M96" s="7" t="str">
        <f ca="1"/>
        <v/>
      </c>
      <c r="N96" s="7" t="str">
        <f ca="1"/>
        <v/>
      </c>
      <c r="O96" s="7" t="str">
        <f ca="1"/>
        <v/>
      </c>
      <c r="P96" s="7" t="str">
        <f ca="1"/>
        <v/>
      </c>
      <c r="Q96" s="7" t="str">
        <f ca="1"/>
        <v/>
      </c>
      <c r="T96" s="7" t="str">
        <f ca="1"/>
        <v>Z8</v>
      </c>
      <c r="U96" s="7" t="str">
        <f ca="1"/>
        <v>0x944C</v>
      </c>
      <c r="V96" s="7" t="str">
        <f ca="1"/>
        <v>GetCommandFeature</v>
      </c>
      <c r="X96" s="8" t="s">
        <v>98</v>
      </c>
      <c r="Y96" s="8" t="s">
        <v>96</v>
      </c>
      <c r="Z96" s="8" t="s">
        <v>98</v>
      </c>
      <c r="AA96" s="8" t="s">
        <v>98</v>
      </c>
      <c r="AB96" s="7" t="s">
        <v>98</v>
      </c>
      <c r="AC96" s="7" t="s">
        <v>98</v>
      </c>
      <c r="AD96" s="7" t="s">
        <v>98</v>
      </c>
      <c r="AE96" s="7" t="s">
        <v>98</v>
      </c>
      <c r="AF96" s="7" t="s">
        <v>96</v>
      </c>
      <c r="AG96" s="7" t="s">
        <v>96</v>
      </c>
      <c r="AH96" s="7" t="s">
        <v>96</v>
      </c>
      <c r="AI96" s="7" t="s">
        <v>216</v>
      </c>
    </row>
    <row r="97" spans="1:35" x14ac:dyDescent="0.25">
      <c r="A97" s="13" t="str">
        <f ca="1"/>
        <v>0x943F</v>
      </c>
      <c r="B97" s="14" t="str">
        <f ca="1"/>
        <v>GetDevicePropValueList</v>
      </c>
      <c r="D97" s="8" t="str">
        <f ca="1"/>
        <v>GetDevicePropValueList</v>
      </c>
      <c r="E97" s="8" t="str">
        <f ca="1"/>
        <v>GetDevicePropValueList</v>
      </c>
      <c r="F97" s="8" t="str">
        <f ca="1"/>
        <v/>
      </c>
      <c r="G97" s="8" t="str">
        <f ca="1"/>
        <v/>
      </c>
      <c r="H97" s="7" t="str">
        <f ca="1"/>
        <v/>
      </c>
      <c r="I97" s="7" t="str">
        <f ca="1"/>
        <v/>
      </c>
      <c r="J97" s="7" t="str">
        <f ca="1"/>
        <v/>
      </c>
      <c r="K97" s="7" t="str">
        <f ca="1"/>
        <v/>
      </c>
      <c r="L97" s="7" t="str">
        <f ca="1"/>
        <v/>
      </c>
      <c r="M97" s="7" t="str">
        <f ca="1"/>
        <v/>
      </c>
      <c r="N97" s="7" t="str">
        <f ca="1"/>
        <v/>
      </c>
      <c r="O97" s="7" t="str">
        <f ca="1"/>
        <v/>
      </c>
      <c r="P97" s="7" t="str">
        <f ca="1"/>
        <v/>
      </c>
      <c r="Q97" s="7" t="str">
        <f ca="1"/>
        <v/>
      </c>
      <c r="T97" s="7" t="str">
        <f ca="1"/>
        <v>Z8</v>
      </c>
      <c r="U97" s="7" t="str">
        <f ca="1"/>
        <v>0x944D</v>
      </c>
      <c r="V97" s="7" t="str">
        <f ca="1"/>
        <v>GetPicCtrlHlgDataList</v>
      </c>
      <c r="X97" s="8" t="s">
        <v>99</v>
      </c>
      <c r="Y97" s="8" t="s">
        <v>97</v>
      </c>
      <c r="Z97" s="8" t="s">
        <v>99</v>
      </c>
      <c r="AA97" s="8" t="s">
        <v>99</v>
      </c>
      <c r="AB97" s="7" t="s">
        <v>99</v>
      </c>
      <c r="AC97" s="7" t="s">
        <v>99</v>
      </c>
      <c r="AD97" s="7" t="s">
        <v>99</v>
      </c>
      <c r="AE97" s="7" t="s">
        <v>99</v>
      </c>
      <c r="AF97" s="7" t="s">
        <v>97</v>
      </c>
      <c r="AG97" s="7" t="s">
        <v>97</v>
      </c>
      <c r="AH97" s="7" t="s">
        <v>97</v>
      </c>
      <c r="AI97" s="7" t="s">
        <v>217</v>
      </c>
    </row>
    <row r="98" spans="1:35" x14ac:dyDescent="0.25">
      <c r="A98" s="13" t="str">
        <f ca="1"/>
        <v>0x9440</v>
      </c>
      <c r="B98" s="14" t="str">
        <f ca="1"/>
        <v>OperationDataNone</v>
      </c>
      <c r="D98" s="8" t="str">
        <f ca="1"/>
        <v>OperationDataNone</v>
      </c>
      <c r="E98" s="8" t="str">
        <f ca="1"/>
        <v>OperationDataNone</v>
      </c>
      <c r="F98" s="8" t="str">
        <f ca="1"/>
        <v/>
      </c>
      <c r="G98" s="8" t="str">
        <f ca="1"/>
        <v/>
      </c>
      <c r="H98" s="7" t="str">
        <f ca="1"/>
        <v/>
      </c>
      <c r="I98" s="7" t="str">
        <f ca="1"/>
        <v/>
      </c>
      <c r="J98" s="7" t="str">
        <f ca="1"/>
        <v/>
      </c>
      <c r="K98" s="7" t="str">
        <f ca="1"/>
        <v/>
      </c>
      <c r="L98" s="7" t="str">
        <f ca="1"/>
        <v/>
      </c>
      <c r="M98" s="7" t="str">
        <f ca="1"/>
        <v/>
      </c>
      <c r="N98" s="7" t="str">
        <f ca="1"/>
        <v/>
      </c>
      <c r="O98" s="7" t="str">
        <f ca="1"/>
        <v/>
      </c>
      <c r="P98" s="7" t="str">
        <f ca="1"/>
        <v/>
      </c>
      <c r="Q98" s="7" t="str">
        <f ca="1"/>
        <v/>
      </c>
      <c r="T98" s="7" t="str">
        <f ca="1"/>
        <v>Z8</v>
      </c>
      <c r="U98" s="7" t="str">
        <f ca="1"/>
        <v>0x944E</v>
      </c>
      <c r="V98" s="7" t="str">
        <f ca="1"/>
        <v>SetPicCtrlHlgData</v>
      </c>
      <c r="X98" s="8" t="s">
        <v>100</v>
      </c>
      <c r="Y98" s="8" t="s">
        <v>98</v>
      </c>
      <c r="Z98" s="8" t="s">
        <v>100</v>
      </c>
      <c r="AA98" s="8" t="s">
        <v>100</v>
      </c>
      <c r="AB98" s="7" t="s">
        <v>100</v>
      </c>
      <c r="AC98" s="7" t="s">
        <v>100</v>
      </c>
      <c r="AD98" s="7" t="s">
        <v>100</v>
      </c>
      <c r="AE98" s="7" t="s">
        <v>100</v>
      </c>
      <c r="AF98" s="7" t="s">
        <v>98</v>
      </c>
      <c r="AG98" s="7" t="s">
        <v>98</v>
      </c>
      <c r="AH98" s="7" t="s">
        <v>98</v>
      </c>
      <c r="AI98" s="7" t="s">
        <v>218</v>
      </c>
    </row>
    <row r="99" spans="1:35" x14ac:dyDescent="0.25">
      <c r="A99" s="13" t="str">
        <f ca="1"/>
        <v>0x9441</v>
      </c>
      <c r="B99" s="14" t="str">
        <f ca="1"/>
        <v>OperationReceiveData</v>
      </c>
      <c r="D99" s="8" t="str">
        <f ca="1"/>
        <v>OperationReceiveData</v>
      </c>
      <c r="E99" s="8" t="str">
        <f ca="1"/>
        <v>OperationReceiveData</v>
      </c>
      <c r="F99" s="8" t="str">
        <f ca="1"/>
        <v/>
      </c>
      <c r="G99" s="8" t="str">
        <f ca="1"/>
        <v/>
      </c>
      <c r="H99" s="7" t="str">
        <f ca="1"/>
        <v/>
      </c>
      <c r="I99" s="7" t="str">
        <f ca="1"/>
        <v/>
      </c>
      <c r="J99" s="7" t="str">
        <f ca="1"/>
        <v/>
      </c>
      <c r="K99" s="7" t="str">
        <f ca="1"/>
        <v/>
      </c>
      <c r="L99" s="7" t="str">
        <f ca="1"/>
        <v/>
      </c>
      <c r="M99" s="7" t="str">
        <f ca="1"/>
        <v/>
      </c>
      <c r="N99" s="7" t="str">
        <f ca="1"/>
        <v/>
      </c>
      <c r="O99" s="7" t="str">
        <f ca="1"/>
        <v/>
      </c>
      <c r="P99" s="7" t="str">
        <f ca="1"/>
        <v/>
      </c>
      <c r="Q99" s="7" t="str">
        <f ca="1"/>
        <v/>
      </c>
      <c r="T99" s="7" t="str">
        <f ca="1"/>
        <v>Z8</v>
      </c>
      <c r="U99" s="7" t="str">
        <f ca="1"/>
        <v>0x944F</v>
      </c>
      <c r="V99" s="7" t="str">
        <f ca="1"/>
        <v>GetPicCtrlHlgCapabilityList</v>
      </c>
      <c r="X99" s="8" t="s">
        <v>101</v>
      </c>
      <c r="Y99" s="8" t="s">
        <v>99</v>
      </c>
      <c r="Z99" s="8" t="s">
        <v>101</v>
      </c>
      <c r="AA99" s="8" t="s">
        <v>101</v>
      </c>
      <c r="AB99" s="7" t="s">
        <v>101</v>
      </c>
      <c r="AC99" s="7" t="s">
        <v>101</v>
      </c>
      <c r="AD99" s="7" t="s">
        <v>101</v>
      </c>
      <c r="AE99" s="7" t="s">
        <v>101</v>
      </c>
      <c r="AF99" s="7" t="s">
        <v>99</v>
      </c>
      <c r="AG99" s="7" t="s">
        <v>99</v>
      </c>
      <c r="AH99" s="7" t="s">
        <v>99</v>
      </c>
      <c r="AI99" s="7" t="s">
        <v>219</v>
      </c>
    </row>
    <row r="100" spans="1:35" x14ac:dyDescent="0.25">
      <c r="A100" s="13" t="str">
        <f ca="1"/>
        <v>0x9442</v>
      </c>
      <c r="B100" s="14" t="str">
        <f ca="1"/>
        <v>OperationSendData</v>
      </c>
      <c r="D100" s="8" t="str">
        <f ca="1"/>
        <v>OperationSendData</v>
      </c>
      <c r="E100" s="8" t="str">
        <f ca="1"/>
        <v>OperationSendData</v>
      </c>
      <c r="F100" s="8" t="str">
        <f ca="1"/>
        <v/>
      </c>
      <c r="G100" s="8" t="str">
        <f ca="1"/>
        <v/>
      </c>
      <c r="H100" s="7" t="str">
        <f ca="1"/>
        <v/>
      </c>
      <c r="I100" s="7" t="str">
        <f ca="1"/>
        <v/>
      </c>
      <c r="J100" s="7" t="str">
        <f ca="1"/>
        <v/>
      </c>
      <c r="K100" s="7" t="str">
        <f ca="1"/>
        <v/>
      </c>
      <c r="L100" s="7" t="str">
        <f ca="1"/>
        <v/>
      </c>
      <c r="M100" s="7" t="str">
        <f ca="1"/>
        <v/>
      </c>
      <c r="N100" s="7" t="str">
        <f ca="1"/>
        <v/>
      </c>
      <c r="O100" s="7" t="str">
        <f ca="1"/>
        <v/>
      </c>
      <c r="P100" s="7" t="str">
        <f ca="1"/>
        <v/>
      </c>
      <c r="Q100" s="7" t="str">
        <f ca="1"/>
        <v/>
      </c>
      <c r="T100" s="7" t="str">
        <f ca="1"/>
        <v>Z8</v>
      </c>
      <c r="U100" s="7" t="str">
        <f ca="1"/>
        <v>0x9453</v>
      </c>
      <c r="V100" s="7" t="str">
        <f ca="1"/>
        <v>SetPortraitImpressionBalanceData</v>
      </c>
      <c r="X100" s="8" t="s">
        <v>102</v>
      </c>
      <c r="Y100" s="8" t="s">
        <v>100</v>
      </c>
      <c r="Z100" s="8" t="s">
        <v>102</v>
      </c>
      <c r="AA100" s="8" t="s">
        <v>102</v>
      </c>
      <c r="AB100" s="7" t="s">
        <v>102</v>
      </c>
      <c r="AC100" s="7" t="s">
        <v>102</v>
      </c>
      <c r="AD100" s="7" t="s">
        <v>102</v>
      </c>
      <c r="AE100" s="7" t="s">
        <v>102</v>
      </c>
      <c r="AF100" s="7" t="s">
        <v>100</v>
      </c>
      <c r="AG100" s="7" t="s">
        <v>100</v>
      </c>
      <c r="AH100" s="7" t="s">
        <v>100</v>
      </c>
      <c r="AI100" s="7" t="s">
        <v>220</v>
      </c>
    </row>
    <row r="101" spans="1:35" x14ac:dyDescent="0.25">
      <c r="A101" s="13" t="str">
        <f ca="1"/>
        <v>0x9443</v>
      </c>
      <c r="B101" s="14" t="str">
        <f ca="1"/>
        <v>GetPicCtrlDataList</v>
      </c>
      <c r="D101" s="8" t="str">
        <f ca="1"/>
        <v>GetPicCtrlDataList</v>
      </c>
      <c r="E101" s="8" t="str">
        <f ca="1"/>
        <v>GetPicCtrlDataList</v>
      </c>
      <c r="F101" s="8" t="str">
        <f ca="1"/>
        <v/>
      </c>
      <c r="G101" s="8" t="str">
        <f ca="1"/>
        <v/>
      </c>
      <c r="H101" s="7" t="str">
        <f ca="1"/>
        <v/>
      </c>
      <c r="I101" s="7" t="str">
        <f ca="1"/>
        <v/>
      </c>
      <c r="J101" s="7" t="str">
        <f ca="1"/>
        <v/>
      </c>
      <c r="K101" s="7" t="str">
        <f ca="1"/>
        <v/>
      </c>
      <c r="L101" s="7" t="str">
        <f ca="1"/>
        <v/>
      </c>
      <c r="M101" s="7" t="str">
        <f ca="1"/>
        <v/>
      </c>
      <c r="N101" s="7" t="str">
        <f ca="1"/>
        <v/>
      </c>
      <c r="O101" s="7" t="str">
        <f ca="1"/>
        <v/>
      </c>
      <c r="P101" s="7" t="str">
        <f ca="1"/>
        <v/>
      </c>
      <c r="Q101" s="7" t="str">
        <f ca="1"/>
        <v/>
      </c>
      <c r="T101" s="7" t="str">
        <f ca="1"/>
        <v>Z8</v>
      </c>
      <c r="U101" s="7" t="str">
        <f ca="1"/>
        <v>0x9454</v>
      </c>
      <c r="V101" s="7" t="str">
        <f ca="1"/>
        <v>GetPortraitImpressionBalanceDataList</v>
      </c>
      <c r="X101" s="8" t="s">
        <v>103</v>
      </c>
      <c r="Y101" s="8" t="s">
        <v>101</v>
      </c>
      <c r="Z101" s="8" t="s">
        <v>103</v>
      </c>
      <c r="AA101" s="8" t="s">
        <v>103</v>
      </c>
      <c r="AB101" s="7" t="s">
        <v>103</v>
      </c>
      <c r="AC101" s="7" t="s">
        <v>103</v>
      </c>
      <c r="AD101" s="7" t="s">
        <v>103</v>
      </c>
      <c r="AE101" s="7" t="s">
        <v>103</v>
      </c>
      <c r="AF101" s="7" t="s">
        <v>101</v>
      </c>
      <c r="AG101" s="7" t="s">
        <v>101</v>
      </c>
      <c r="AH101" s="7" t="s">
        <v>101</v>
      </c>
      <c r="AI101" s="7" t="s">
        <v>221</v>
      </c>
    </row>
    <row r="102" spans="1:35" x14ac:dyDescent="0.25">
      <c r="A102" s="13" t="str">
        <f ca="1"/>
        <v>0x9444</v>
      </c>
      <c r="B102" s="14" t="str">
        <f ca="1"/>
        <v>GetPicCtrlCapabilityList</v>
      </c>
      <c r="D102" s="8" t="str">
        <f ca="1"/>
        <v>GetPicCtrlCapabilityList</v>
      </c>
      <c r="E102" s="8" t="str">
        <f ca="1"/>
        <v>GetPicCtrlCapabilityList</v>
      </c>
      <c r="F102" s="8" t="str">
        <f ca="1"/>
        <v/>
      </c>
      <c r="G102" s="8" t="str">
        <f ca="1"/>
        <v/>
      </c>
      <c r="H102" s="7" t="str">
        <f ca="1"/>
        <v/>
      </c>
      <c r="I102" s="7" t="str">
        <f ca="1"/>
        <v/>
      </c>
      <c r="J102" s="7" t="str">
        <f ca="1"/>
        <v/>
      </c>
      <c r="K102" s="7" t="str">
        <f ca="1"/>
        <v/>
      </c>
      <c r="L102" s="7" t="str">
        <f ca="1"/>
        <v/>
      </c>
      <c r="M102" s="7" t="str">
        <f ca="1"/>
        <v/>
      </c>
      <c r="N102" s="7" t="str">
        <f ca="1"/>
        <v/>
      </c>
      <c r="O102" s="7" t="str">
        <f ca="1"/>
        <v/>
      </c>
      <c r="P102" s="7" t="str">
        <f ca="1"/>
        <v/>
      </c>
      <c r="Q102" s="7" t="str">
        <f ca="1"/>
        <v/>
      </c>
      <c r="T102" s="7" t="str">
        <f ca="1"/>
        <v>Z8</v>
      </c>
      <c r="U102" s="7" t="str">
        <f ca="1"/>
        <v>0x9461</v>
      </c>
      <c r="V102" s="7" t="str">
        <f ca="1"/>
        <v>ClearEvent</v>
      </c>
      <c r="X102" s="8" t="s">
        <v>104</v>
      </c>
      <c r="Y102" s="8" t="s">
        <v>102</v>
      </c>
      <c r="Z102" s="8" t="s">
        <v>104</v>
      </c>
      <c r="AA102" s="8" t="s">
        <v>104</v>
      </c>
      <c r="AB102" s="7" t="s">
        <v>104</v>
      </c>
      <c r="AC102" s="7" t="s">
        <v>104</v>
      </c>
      <c r="AD102" s="7" t="s">
        <v>104</v>
      </c>
      <c r="AE102" s="7" t="s">
        <v>104</v>
      </c>
      <c r="AF102" s="7" t="s">
        <v>102</v>
      </c>
      <c r="AG102" s="7" t="s">
        <v>102</v>
      </c>
      <c r="AH102" s="7" t="s">
        <v>102</v>
      </c>
      <c r="AI102" s="7" t="s">
        <v>222</v>
      </c>
    </row>
    <row r="103" spans="1:35" x14ac:dyDescent="0.25">
      <c r="A103" s="13" t="str">
        <f ca="1"/>
        <v>0x9445</v>
      </c>
      <c r="B103" s="14" t="str">
        <f ca="1"/>
        <v>InitiateOpenCaptureV</v>
      </c>
      <c r="D103" s="8" t="str">
        <f ca="1"/>
        <v>InitiateOpenCaptureV</v>
      </c>
      <c r="E103" s="8" t="str">
        <f ca="1"/>
        <v>InitiateOpenCaptureV</v>
      </c>
      <c r="F103" s="8" t="str">
        <f ca="1"/>
        <v/>
      </c>
      <c r="G103" s="8" t="str">
        <f ca="1"/>
        <v/>
      </c>
      <c r="H103" s="7" t="str">
        <f ca="1"/>
        <v/>
      </c>
      <c r="I103" s="7" t="str">
        <f ca="1"/>
        <v/>
      </c>
      <c r="J103" s="7" t="str">
        <f ca="1"/>
        <v/>
      </c>
      <c r="K103" s="7" t="str">
        <f ca="1"/>
        <v/>
      </c>
      <c r="L103" s="7" t="str">
        <f ca="1"/>
        <v/>
      </c>
      <c r="M103" s="7" t="str">
        <f ca="1"/>
        <v/>
      </c>
      <c r="N103" s="7" t="str">
        <f ca="1"/>
        <v/>
      </c>
      <c r="O103" s="7" t="str">
        <f ca="1"/>
        <v/>
      </c>
      <c r="P103" s="7" t="str">
        <f ca="1"/>
        <v/>
      </c>
      <c r="Q103" s="7" t="str">
        <f ca="1"/>
        <v/>
      </c>
      <c r="T103" s="7" t="str">
        <f ca="1"/>
        <v>Z8</v>
      </c>
      <c r="U103" s="7" t="str">
        <f ca="1"/>
        <v>0x9463</v>
      </c>
      <c r="V103" s="7" t="str">
        <f ca="1"/>
        <v>SetFlickerReductionShutterSpeed</v>
      </c>
      <c r="X103" s="8" t="s">
        <v>105</v>
      </c>
      <c r="Y103" s="8" t="s">
        <v>103</v>
      </c>
      <c r="Z103" s="8" t="s">
        <v>105</v>
      </c>
      <c r="AA103" s="8" t="s">
        <v>105</v>
      </c>
      <c r="AB103" s="7" t="s">
        <v>105</v>
      </c>
      <c r="AC103" s="7" t="s">
        <v>105</v>
      </c>
      <c r="AD103" s="7" t="s">
        <v>105</v>
      </c>
      <c r="AE103" s="7" t="s">
        <v>105</v>
      </c>
      <c r="AF103" s="7" t="s">
        <v>103</v>
      </c>
      <c r="AG103" s="7" t="s">
        <v>103</v>
      </c>
      <c r="AH103" s="7" t="s">
        <v>103</v>
      </c>
    </row>
    <row r="104" spans="1:35" x14ac:dyDescent="0.25">
      <c r="A104" s="13" t="str">
        <f ca="1"/>
        <v>0x9446</v>
      </c>
      <c r="B104" s="14" t="str">
        <f ca="1"/>
        <v>TerminateOpenCaptureV</v>
      </c>
      <c r="D104" s="8" t="str">
        <f ca="1"/>
        <v>TerminateOpenCaptureV</v>
      </c>
      <c r="E104" s="8" t="str">
        <f ca="1"/>
        <v>TerminateOpenCaptureV</v>
      </c>
      <c r="F104" s="8" t="str">
        <f ca="1"/>
        <v/>
      </c>
      <c r="G104" s="8" t="str">
        <f ca="1"/>
        <v/>
      </c>
      <c r="H104" s="7" t="str">
        <f ca="1"/>
        <v/>
      </c>
      <c r="I104" s="7" t="str">
        <f ca="1"/>
        <v/>
      </c>
      <c r="J104" s="7" t="str">
        <f ca="1"/>
        <v/>
      </c>
      <c r="K104" s="7" t="str">
        <f ca="1"/>
        <v/>
      </c>
      <c r="L104" s="7" t="str">
        <f ca="1"/>
        <v/>
      </c>
      <c r="M104" s="7" t="str">
        <f ca="1"/>
        <v/>
      </c>
      <c r="N104" s="7" t="str">
        <f ca="1"/>
        <v/>
      </c>
      <c r="O104" s="7" t="str">
        <f ca="1"/>
        <v/>
      </c>
      <c r="P104" s="7" t="str">
        <f ca="1"/>
        <v/>
      </c>
      <c r="Q104" s="7" t="str">
        <f ca="1"/>
        <v/>
      </c>
      <c r="T104" s="7" t="str">
        <f ca="1"/>
        <v>Z8</v>
      </c>
      <c r="U104" s="7" t="str">
        <f ca="1"/>
        <v>0x9464</v>
      </c>
      <c r="V104" s="7" t="str">
        <f ca="1"/>
        <v>PowerZoomDrive</v>
      </c>
      <c r="X104" s="8" t="s">
        <v>106</v>
      </c>
      <c r="Y104" s="8" t="s">
        <v>104</v>
      </c>
      <c r="Z104" s="8" t="s">
        <v>106</v>
      </c>
      <c r="AA104" s="8" t="s">
        <v>106</v>
      </c>
      <c r="AB104" s="7" t="s">
        <v>106</v>
      </c>
      <c r="AC104" s="7" t="s">
        <v>106</v>
      </c>
      <c r="AD104" s="7" t="s">
        <v>106</v>
      </c>
      <c r="AE104" s="7" t="s">
        <v>106</v>
      </c>
      <c r="AF104" s="7" t="s">
        <v>104</v>
      </c>
      <c r="AG104" s="7" t="s">
        <v>104</v>
      </c>
      <c r="AH104" s="7" t="s">
        <v>104</v>
      </c>
    </row>
    <row r="105" spans="1:35" x14ac:dyDescent="0.25">
      <c r="A105" s="13" t="str">
        <f ca="1"/>
        <v>0x9447</v>
      </c>
      <c r="B105" s="14" t="str">
        <f ca="1"/>
        <v>GetOpenCaptureInfo</v>
      </c>
      <c r="D105" s="8" t="str">
        <f ca="1"/>
        <v>GetOpenCaptureInfo</v>
      </c>
      <c r="E105" s="8" t="str">
        <f ca="1"/>
        <v>GetOpenCaptureInfo</v>
      </c>
      <c r="F105" s="8" t="str">
        <f ca="1"/>
        <v/>
      </c>
      <c r="G105" s="8" t="str">
        <f ca="1"/>
        <v/>
      </c>
      <c r="H105" s="7" t="str">
        <f ca="1"/>
        <v/>
      </c>
      <c r="I105" s="7" t="str">
        <f ca="1"/>
        <v/>
      </c>
      <c r="J105" s="7" t="str">
        <f ca="1"/>
        <v/>
      </c>
      <c r="K105" s="7" t="str">
        <f ca="1"/>
        <v/>
      </c>
      <c r="L105" s="7" t="str">
        <f ca="1"/>
        <v/>
      </c>
      <c r="M105" s="7" t="str">
        <f ca="1"/>
        <v/>
      </c>
      <c r="N105" s="7" t="str">
        <f ca="1"/>
        <v/>
      </c>
      <c r="O105" s="7" t="str">
        <f ca="1"/>
        <v/>
      </c>
      <c r="P105" s="7" t="str">
        <f ca="1"/>
        <v/>
      </c>
      <c r="Q105" s="7" t="str">
        <f ca="1"/>
        <v/>
      </c>
      <c r="T105" s="7" t="str">
        <f ca="1"/>
        <v>Z8</v>
      </c>
      <c r="U105" s="7" t="str">
        <f ca="1"/>
        <v>0x946D</v>
      </c>
      <c r="V105" s="7" t="str">
        <f ca="1"/>
        <v>GetCameraSettingData</v>
      </c>
      <c r="X105" s="8" t="s">
        <v>107</v>
      </c>
      <c r="Y105" s="8" t="s">
        <v>105</v>
      </c>
      <c r="Z105" s="8" t="s">
        <v>107</v>
      </c>
      <c r="AA105" s="8" t="s">
        <v>107</v>
      </c>
      <c r="AB105" s="7" t="s">
        <v>107</v>
      </c>
      <c r="AC105" s="7" t="s">
        <v>107</v>
      </c>
      <c r="AD105" s="7" t="s">
        <v>107</v>
      </c>
      <c r="AE105" s="7" t="s">
        <v>107</v>
      </c>
      <c r="AF105" s="7" t="s">
        <v>105</v>
      </c>
      <c r="AG105" s="7" t="s">
        <v>105</v>
      </c>
      <c r="AH105" s="7" t="s">
        <v>105</v>
      </c>
    </row>
    <row r="106" spans="1:35" x14ac:dyDescent="0.25">
      <c r="A106" s="13" t="str">
        <f ca="1"/>
        <v>0x944C</v>
      </c>
      <c r="B106" s="14" t="str">
        <f ca="1"/>
        <v>GetCommandFeature</v>
      </c>
      <c r="D106" s="8" t="str">
        <f ca="1"/>
        <v>GetCommandFeature</v>
      </c>
      <c r="E106" s="8" t="str">
        <f ca="1"/>
        <v>GetCommandFeature</v>
      </c>
      <c r="F106" s="8" t="str">
        <f ca="1"/>
        <v/>
      </c>
      <c r="G106" s="8" t="str">
        <f ca="1"/>
        <v/>
      </c>
      <c r="H106" s="7" t="str">
        <f ca="1"/>
        <v/>
      </c>
      <c r="I106" s="7" t="str">
        <f ca="1"/>
        <v/>
      </c>
      <c r="J106" s="7" t="str">
        <f ca="1"/>
        <v/>
      </c>
      <c r="K106" s="7" t="str">
        <f ca="1"/>
        <v/>
      </c>
      <c r="L106" s="7" t="str">
        <f ca="1"/>
        <v/>
      </c>
      <c r="M106" s="7" t="str">
        <f ca="1"/>
        <v/>
      </c>
      <c r="N106" s="7" t="str">
        <f ca="1"/>
        <v/>
      </c>
      <c r="O106" s="7" t="str">
        <f ca="1"/>
        <v/>
      </c>
      <c r="P106" s="7" t="str">
        <f ca="1"/>
        <v/>
      </c>
      <c r="Q106" s="7" t="str">
        <f ca="1"/>
        <v/>
      </c>
      <c r="T106" s="7" t="str">
        <f ca="1"/>
        <v>Z8</v>
      </c>
      <c r="U106" s="7" t="str">
        <f ca="1"/>
        <v>0x946E</v>
      </c>
      <c r="V106" s="7" t="str">
        <f ca="1"/>
        <v>SendCameraSettingData</v>
      </c>
      <c r="X106" s="8" t="s">
        <v>108</v>
      </c>
      <c r="Y106" s="8" t="s">
        <v>106</v>
      </c>
      <c r="Z106" s="8" t="s">
        <v>108</v>
      </c>
      <c r="AA106" s="8" t="s">
        <v>108</v>
      </c>
      <c r="AB106" s="7" t="s">
        <v>108</v>
      </c>
      <c r="AC106" s="7" t="s">
        <v>108</v>
      </c>
      <c r="AD106" s="7" t="s">
        <v>108</v>
      </c>
      <c r="AE106" s="7" t="s">
        <v>108</v>
      </c>
      <c r="AF106" s="7" t="s">
        <v>106</v>
      </c>
      <c r="AG106" s="7" t="s">
        <v>106</v>
      </c>
      <c r="AH106" s="7" t="s">
        <v>106</v>
      </c>
    </row>
    <row r="107" spans="1:35" x14ac:dyDescent="0.25">
      <c r="A107" s="13" t="str">
        <f ca="1"/>
        <v>0x944D</v>
      </c>
      <c r="B107" s="14" t="str">
        <f ca="1"/>
        <v>GetPicCtrlHlgDataList</v>
      </c>
      <c r="D107" s="8" t="str">
        <f ca="1"/>
        <v>GetPicCtrlHlgDataList</v>
      </c>
      <c r="E107" s="8" t="str">
        <f ca="1"/>
        <v/>
      </c>
      <c r="F107" s="8" t="str">
        <f ca="1"/>
        <v/>
      </c>
      <c r="G107" s="8" t="str">
        <f ca="1"/>
        <v/>
      </c>
      <c r="H107" s="7" t="str">
        <f ca="1"/>
        <v/>
      </c>
      <c r="I107" s="7" t="str">
        <f ca="1"/>
        <v/>
      </c>
      <c r="J107" s="7" t="str">
        <f ca="1"/>
        <v/>
      </c>
      <c r="K107" s="7" t="str">
        <f ca="1"/>
        <v/>
      </c>
      <c r="L107" s="7" t="str">
        <f ca="1"/>
        <v/>
      </c>
      <c r="M107" s="7" t="str">
        <f ca="1"/>
        <v/>
      </c>
      <c r="N107" s="7" t="str">
        <f ca="1"/>
        <v/>
      </c>
      <c r="O107" s="7" t="str">
        <f ca="1"/>
        <v/>
      </c>
      <c r="P107" s="7" t="str">
        <f ca="1"/>
        <v/>
      </c>
      <c r="Q107" s="7" t="str">
        <f ca="1"/>
        <v/>
      </c>
      <c r="T107" s="7" t="str">
        <f ca="1"/>
        <v>Z8</v>
      </c>
      <c r="U107" s="7" t="str">
        <f ca="1"/>
        <v>0x9470</v>
      </c>
      <c r="V107" s="7" t="str">
        <f ca="1"/>
        <v>GetManualSettingLensData2</v>
      </c>
      <c r="X107" s="8" t="s">
        <v>109</v>
      </c>
      <c r="Y107" s="8" t="s">
        <v>107</v>
      </c>
      <c r="Z107" s="8" t="s">
        <v>113</v>
      </c>
      <c r="AA107" s="8" t="s">
        <v>113</v>
      </c>
      <c r="AB107" s="7" t="s">
        <v>129</v>
      </c>
      <c r="AC107" s="7" t="s">
        <v>113</v>
      </c>
      <c r="AD107" s="7" t="s">
        <v>113</v>
      </c>
      <c r="AE107" s="7" t="s">
        <v>113</v>
      </c>
      <c r="AF107" s="7" t="s">
        <v>107</v>
      </c>
      <c r="AG107" s="7" t="s">
        <v>107</v>
      </c>
      <c r="AH107" s="7" t="s">
        <v>107</v>
      </c>
    </row>
    <row r="108" spans="1:35" x14ac:dyDescent="0.25">
      <c r="A108" s="13" t="str">
        <f ca="1"/>
        <v>0x944E</v>
      </c>
      <c r="B108" s="14" t="str">
        <f ca="1"/>
        <v>SetPicCtrlHlgData</v>
      </c>
      <c r="D108" s="8" t="str">
        <f ca="1"/>
        <v>SetPicCtrlHlgData</v>
      </c>
      <c r="E108" s="8" t="str">
        <f ca="1"/>
        <v/>
      </c>
      <c r="F108" s="8" t="str">
        <f ca="1"/>
        <v/>
      </c>
      <c r="G108" s="8" t="str">
        <f ca="1"/>
        <v/>
      </c>
      <c r="H108" s="7" t="str">
        <f ca="1"/>
        <v/>
      </c>
      <c r="I108" s="7" t="str">
        <f ca="1"/>
        <v/>
      </c>
      <c r="J108" s="7" t="str">
        <f ca="1"/>
        <v/>
      </c>
      <c r="K108" s="7" t="str">
        <f ca="1"/>
        <v/>
      </c>
      <c r="L108" s="7" t="str">
        <f ca="1"/>
        <v/>
      </c>
      <c r="M108" s="7" t="str">
        <f ca="1"/>
        <v/>
      </c>
      <c r="N108" s="7" t="str">
        <f ca="1"/>
        <v/>
      </c>
      <c r="O108" s="7" t="str">
        <f ca="1"/>
        <v/>
      </c>
      <c r="P108" s="7" t="str">
        <f ca="1"/>
        <v/>
      </c>
      <c r="Q108" s="7" t="str">
        <f ca="1"/>
        <v/>
      </c>
      <c r="T108" s="7" t="str">
        <f ca="1"/>
        <v>Z8</v>
      </c>
      <c r="U108" s="7" t="str">
        <f ca="1"/>
        <v>0x9801</v>
      </c>
      <c r="V108" s="7" t="str">
        <f ca="1"/>
        <v>GetObjectPropsSupported</v>
      </c>
      <c r="X108" s="8" t="s">
        <v>110</v>
      </c>
      <c r="Y108" s="8" t="s">
        <v>108</v>
      </c>
      <c r="Z108" s="8" t="s">
        <v>114</v>
      </c>
      <c r="AA108" s="8" t="s">
        <v>114</v>
      </c>
      <c r="AB108" s="7" t="s">
        <v>130</v>
      </c>
      <c r="AC108" s="7" t="s">
        <v>114</v>
      </c>
      <c r="AD108" s="7" t="s">
        <v>114</v>
      </c>
      <c r="AE108" s="7" t="s">
        <v>114</v>
      </c>
      <c r="AF108" s="7" t="s">
        <v>108</v>
      </c>
      <c r="AG108" s="7" t="s">
        <v>108</v>
      </c>
      <c r="AH108" s="7" t="s">
        <v>108</v>
      </c>
    </row>
    <row r="109" spans="1:35" x14ac:dyDescent="0.25">
      <c r="A109" s="13" t="str">
        <f ca="1"/>
        <v>0x944F</v>
      </c>
      <c r="B109" s="14" t="str">
        <f ca="1"/>
        <v>GetPicCtrlHlgCapabilityList</v>
      </c>
      <c r="D109" s="8" t="str">
        <f ca="1"/>
        <v>GetPicCtrlHlgCapabilityList</v>
      </c>
      <c r="E109" s="8" t="str">
        <f ca="1"/>
        <v/>
      </c>
      <c r="F109" s="8" t="str">
        <f ca="1"/>
        <v/>
      </c>
      <c r="G109" s="8" t="str">
        <f ca="1"/>
        <v/>
      </c>
      <c r="H109" s="7" t="str">
        <f ca="1"/>
        <v/>
      </c>
      <c r="I109" s="7" t="str">
        <f ca="1"/>
        <v/>
      </c>
      <c r="J109" s="7" t="str">
        <f ca="1"/>
        <v/>
      </c>
      <c r="K109" s="7" t="str">
        <f ca="1"/>
        <v/>
      </c>
      <c r="L109" s="7" t="str">
        <f ca="1"/>
        <v/>
      </c>
      <c r="M109" s="7" t="str">
        <f ca="1"/>
        <v/>
      </c>
      <c r="N109" s="7" t="str">
        <f ca="1"/>
        <v/>
      </c>
      <c r="O109" s="7" t="str">
        <f ca="1"/>
        <v/>
      </c>
      <c r="P109" s="7" t="str">
        <f ca="1"/>
        <v/>
      </c>
      <c r="Q109" s="7" t="str">
        <f ca="1"/>
        <v/>
      </c>
      <c r="T109" s="7" t="str">
        <f ca="1"/>
        <v>Z8</v>
      </c>
      <c r="U109" s="7" t="str">
        <f ca="1"/>
        <v>0x9802</v>
      </c>
      <c r="V109" s="7" t="str">
        <f ca="1"/>
        <v>GetObjectPropDesc</v>
      </c>
      <c r="X109" s="8" t="s">
        <v>111</v>
      </c>
      <c r="Y109" s="8" t="s">
        <v>109</v>
      </c>
      <c r="Z109" s="8" t="s">
        <v>115</v>
      </c>
      <c r="AA109" s="8" t="s">
        <v>115</v>
      </c>
      <c r="AB109" s="7" t="s">
        <v>131</v>
      </c>
      <c r="AC109" s="7" t="s">
        <v>115</v>
      </c>
      <c r="AD109" s="7" t="s">
        <v>115</v>
      </c>
      <c r="AE109" s="7" t="s">
        <v>115</v>
      </c>
      <c r="AF109" s="7" t="s">
        <v>109</v>
      </c>
      <c r="AG109" s="7" t="s">
        <v>1638</v>
      </c>
      <c r="AH109" s="7" t="s">
        <v>215</v>
      </c>
    </row>
    <row r="110" spans="1:35" x14ac:dyDescent="0.25">
      <c r="A110" s="13" t="str">
        <f ca="1"/>
        <v>0x9453</v>
      </c>
      <c r="B110" s="14" t="str">
        <f ca="1"/>
        <v>SetPortraitImpressionBalanceData</v>
      </c>
      <c r="D110" s="8" t="str">
        <f ca="1"/>
        <v>SetPortraitImpressionBalanceData</v>
      </c>
      <c r="E110" s="8" t="str">
        <f ca="1"/>
        <v>SetPortraitImpressionBalanceData</v>
      </c>
      <c r="F110" s="8" t="str">
        <f ca="1"/>
        <v/>
      </c>
      <c r="G110" s="8" t="str">
        <f ca="1"/>
        <v/>
      </c>
      <c r="H110" s="7" t="str">
        <f ca="1"/>
        <v/>
      </c>
      <c r="I110" s="7" t="str">
        <f ca="1"/>
        <v/>
      </c>
      <c r="J110" s="7" t="str">
        <f ca="1"/>
        <v/>
      </c>
      <c r="K110" s="7" t="str">
        <f ca="1"/>
        <v/>
      </c>
      <c r="L110" s="7" t="str">
        <f ca="1"/>
        <v/>
      </c>
      <c r="M110" s="7" t="str">
        <f ca="1"/>
        <v/>
      </c>
      <c r="N110" s="7" t="str">
        <f ca="1"/>
        <v/>
      </c>
      <c r="O110" s="7" t="str">
        <f ca="1"/>
        <v/>
      </c>
      <c r="P110" s="7" t="str">
        <f ca="1"/>
        <v/>
      </c>
      <c r="Q110" s="7" t="str">
        <f ca="1"/>
        <v/>
      </c>
      <c r="T110" s="7" t="str">
        <f ca="1"/>
        <v>Z8</v>
      </c>
      <c r="U110" s="7" t="str">
        <f ca="1"/>
        <v>0x9803</v>
      </c>
      <c r="V110" s="7" t="str">
        <f ca="1"/>
        <v>GetObjectPropValue</v>
      </c>
      <c r="X110" s="8" t="s">
        <v>112</v>
      </c>
      <c r="Y110" s="8" t="s">
        <v>110</v>
      </c>
      <c r="Z110" s="8" t="s">
        <v>116</v>
      </c>
      <c r="AA110" s="8" t="s">
        <v>116</v>
      </c>
      <c r="AB110" s="7" t="s">
        <v>132</v>
      </c>
      <c r="AC110" s="7" t="s">
        <v>116</v>
      </c>
      <c r="AD110" s="7" t="s">
        <v>116</v>
      </c>
      <c r="AE110" s="7" t="s">
        <v>116</v>
      </c>
      <c r="AF110" s="7" t="s">
        <v>110</v>
      </c>
      <c r="AG110" s="7" t="s">
        <v>1639</v>
      </c>
      <c r="AH110" s="7" t="s">
        <v>216</v>
      </c>
    </row>
    <row r="111" spans="1:35" x14ac:dyDescent="0.25">
      <c r="A111" s="13" t="str">
        <f ca="1"/>
        <v>0x9454</v>
      </c>
      <c r="B111" s="14" t="str">
        <f ca="1"/>
        <v>GetPortraitImpressionBalanceDataList</v>
      </c>
      <c r="D111" s="8" t="str">
        <f ca="1"/>
        <v>GetPortraitImpressionBalanceDataList</v>
      </c>
      <c r="E111" s="8" t="str">
        <f ca="1"/>
        <v>GetPortraitImpressionBalanceDataList</v>
      </c>
      <c r="F111" s="8" t="str">
        <f ca="1"/>
        <v/>
      </c>
      <c r="G111" s="8" t="str">
        <f ca="1"/>
        <v/>
      </c>
      <c r="H111" s="7" t="str">
        <f ca="1"/>
        <v/>
      </c>
      <c r="I111" s="7" t="str">
        <f ca="1"/>
        <v/>
      </c>
      <c r="J111" s="7" t="str">
        <f ca="1"/>
        <v/>
      </c>
      <c r="K111" s="7" t="str">
        <f ca="1"/>
        <v/>
      </c>
      <c r="L111" s="7" t="str">
        <f ca="1"/>
        <v/>
      </c>
      <c r="M111" s="7" t="str">
        <f ca="1"/>
        <v/>
      </c>
      <c r="N111" s="7" t="str">
        <f ca="1"/>
        <v/>
      </c>
      <c r="O111" s="7" t="str">
        <f ca="1"/>
        <v/>
      </c>
      <c r="P111" s="7" t="str">
        <f ca="1"/>
        <v/>
      </c>
      <c r="Q111" s="7" t="str">
        <f ca="1"/>
        <v/>
      </c>
      <c r="T111" s="7" t="str">
        <f ca="1"/>
        <v>Z8</v>
      </c>
      <c r="U111" s="7" t="str">
        <f ca="1"/>
        <v>0x9805</v>
      </c>
      <c r="V111" s="7" t="str">
        <f ca="1"/>
        <v>GetObjectPropList</v>
      </c>
      <c r="X111" s="8" t="s">
        <v>113</v>
      </c>
      <c r="Y111" s="8" t="s">
        <v>111</v>
      </c>
      <c r="Z111" s="8" t="s">
        <v>117</v>
      </c>
      <c r="AA111" s="8" t="s">
        <v>117</v>
      </c>
      <c r="AB111" s="7" t="s">
        <v>133</v>
      </c>
      <c r="AC111" s="7" t="s">
        <v>117</v>
      </c>
      <c r="AD111" s="7" t="s">
        <v>117</v>
      </c>
      <c r="AE111" s="7" t="s">
        <v>117</v>
      </c>
      <c r="AF111" s="7" t="s">
        <v>111</v>
      </c>
      <c r="AG111" s="7" t="s">
        <v>1640</v>
      </c>
      <c r="AH111" s="7" t="s">
        <v>217</v>
      </c>
    </row>
    <row r="112" spans="1:35" x14ac:dyDescent="0.25">
      <c r="A112" s="13" t="str">
        <f ca="1"/>
        <v>0x945C</v>
      </c>
      <c r="B112" s="14" t="str">
        <f ca="1"/>
        <v>ChangeAutoCaptureMode</v>
      </c>
      <c r="D112" s="8" t="str">
        <f ca="1"/>
        <v/>
      </c>
      <c r="E112" s="8" t="str">
        <f ca="1"/>
        <v>ChangeAutoCaptureMode</v>
      </c>
      <c r="F112" s="8" t="str">
        <f ca="1"/>
        <v/>
      </c>
      <c r="G112" s="8" t="str">
        <f ca="1"/>
        <v/>
      </c>
      <c r="H112" s="7" t="str">
        <f ca="1"/>
        <v/>
      </c>
      <c r="I112" s="7" t="str">
        <f ca="1"/>
        <v/>
      </c>
      <c r="J112" s="7" t="str">
        <f ca="1"/>
        <v/>
      </c>
      <c r="K112" s="7" t="str">
        <f ca="1"/>
        <v/>
      </c>
      <c r="L112" s="7" t="str">
        <f ca="1"/>
        <v/>
      </c>
      <c r="M112" s="7" t="str">
        <f ca="1"/>
        <v/>
      </c>
      <c r="N112" s="7" t="str">
        <f ca="1"/>
        <v/>
      </c>
      <c r="O112" s="7" t="str">
        <f ca="1"/>
        <v/>
      </c>
      <c r="P112" s="7" t="str">
        <f ca="1"/>
        <v/>
      </c>
      <c r="Q112" s="7" t="str">
        <f ca="1"/>
        <v/>
      </c>
      <c r="T112" s="7" t="str">
        <f ca="1"/>
        <v>Z9</v>
      </c>
      <c r="U112" s="7" t="str">
        <f ca="1"/>
        <v>0x1001</v>
      </c>
      <c r="V112" s="7" t="str">
        <f ca="1"/>
        <v>GetDeviceInfo</v>
      </c>
      <c r="X112" s="8" t="s">
        <v>114</v>
      </c>
      <c r="Y112" s="8" t="s">
        <v>112</v>
      </c>
      <c r="Z112" s="8" t="s">
        <v>118</v>
      </c>
      <c r="AA112" s="8" t="s">
        <v>118</v>
      </c>
      <c r="AB112" s="7" t="s">
        <v>134</v>
      </c>
      <c r="AC112" s="7" t="s">
        <v>118</v>
      </c>
      <c r="AD112" s="7" t="s">
        <v>118</v>
      </c>
      <c r="AE112" s="7" t="s">
        <v>118</v>
      </c>
      <c r="AF112" s="7" t="s">
        <v>112</v>
      </c>
      <c r="AG112" s="7" t="s">
        <v>1641</v>
      </c>
      <c r="AH112" s="7" t="s">
        <v>218</v>
      </c>
    </row>
    <row r="113" spans="1:34" x14ac:dyDescent="0.25">
      <c r="A113" s="13" t="str">
        <f ca="1"/>
        <v>0x945D</v>
      </c>
      <c r="B113" s="14" t="str">
        <f ca="1"/>
        <v>MeasureAutoCaptureFocus</v>
      </c>
      <c r="D113" s="8" t="str">
        <f ca="1"/>
        <v/>
      </c>
      <c r="E113" s="8" t="str">
        <f ca="1"/>
        <v>MeasureAutoCaptureFocus</v>
      </c>
      <c r="F113" s="8" t="str">
        <f ca="1"/>
        <v/>
      </c>
      <c r="G113" s="8" t="str">
        <f ca="1"/>
        <v/>
      </c>
      <c r="H113" s="7" t="str">
        <f ca="1"/>
        <v/>
      </c>
      <c r="I113" s="7" t="str">
        <f ca="1"/>
        <v/>
      </c>
      <c r="J113" s="7" t="str">
        <f ca="1"/>
        <v/>
      </c>
      <c r="K113" s="7" t="str">
        <f ca="1"/>
        <v/>
      </c>
      <c r="L113" s="7" t="str">
        <f ca="1"/>
        <v/>
      </c>
      <c r="M113" s="7" t="str">
        <f ca="1"/>
        <v/>
      </c>
      <c r="N113" s="7" t="str">
        <f ca="1"/>
        <v/>
      </c>
      <c r="O113" s="7" t="str">
        <f ca="1"/>
        <v/>
      </c>
      <c r="P113" s="7" t="str">
        <f ca="1"/>
        <v/>
      </c>
      <c r="Q113" s="7" t="str">
        <f ca="1"/>
        <v/>
      </c>
      <c r="T113" s="7" t="str">
        <f ca="1"/>
        <v>Z9</v>
      </c>
      <c r="U113" s="7" t="str">
        <f ca="1"/>
        <v>0x1002</v>
      </c>
      <c r="V113" s="7" t="str">
        <f ca="1"/>
        <v>OpenSession</v>
      </c>
      <c r="X113" s="8" t="s">
        <v>115</v>
      </c>
      <c r="Y113" s="8" t="s">
        <v>113</v>
      </c>
      <c r="Z113" s="8" t="s">
        <v>119</v>
      </c>
      <c r="AA113" s="8" t="s">
        <v>119</v>
      </c>
      <c r="AB113" s="7" t="s">
        <v>137</v>
      </c>
      <c r="AC113" s="7" t="s">
        <v>119</v>
      </c>
      <c r="AD113" s="7" t="s">
        <v>119</v>
      </c>
      <c r="AE113" s="7" t="s">
        <v>119</v>
      </c>
      <c r="AF113" s="7" t="s">
        <v>113</v>
      </c>
      <c r="AG113" s="7" t="s">
        <v>1642</v>
      </c>
      <c r="AH113" s="7" t="s">
        <v>219</v>
      </c>
    </row>
    <row r="114" spans="1:34" x14ac:dyDescent="0.25">
      <c r="A114" s="13" t="str">
        <f ca="1"/>
        <v>0x945E</v>
      </c>
      <c r="B114" s="14" t="str">
        <f ca="1"/>
        <v>GetCaptureAreaDrawInfo</v>
      </c>
      <c r="D114" s="8" t="str">
        <f ca="1"/>
        <v/>
      </c>
      <c r="E114" s="8" t="str">
        <f ca="1"/>
        <v>GetCaptureAreaDrawInfo</v>
      </c>
      <c r="F114" s="8" t="str">
        <f ca="1"/>
        <v/>
      </c>
      <c r="G114" s="8" t="str">
        <f ca="1"/>
        <v/>
      </c>
      <c r="H114" s="7" t="str">
        <f ca="1"/>
        <v/>
      </c>
      <c r="I114" s="7" t="str">
        <f ca="1"/>
        <v/>
      </c>
      <c r="J114" s="7" t="str">
        <f ca="1"/>
        <v/>
      </c>
      <c r="K114" s="7" t="str">
        <f ca="1"/>
        <v/>
      </c>
      <c r="L114" s="7" t="str">
        <f ca="1"/>
        <v/>
      </c>
      <c r="M114" s="7" t="str">
        <f ca="1"/>
        <v/>
      </c>
      <c r="N114" s="7" t="str">
        <f ca="1"/>
        <v/>
      </c>
      <c r="O114" s="7" t="str">
        <f ca="1"/>
        <v/>
      </c>
      <c r="P114" s="7" t="str">
        <f ca="1"/>
        <v/>
      </c>
      <c r="Q114" s="7" t="str">
        <f ca="1"/>
        <v/>
      </c>
      <c r="T114" s="7" t="str">
        <f ca="1"/>
        <v>Z9</v>
      </c>
      <c r="U114" s="7" t="str">
        <f ca="1"/>
        <v>0x1003</v>
      </c>
      <c r="V114" s="7" t="str">
        <f ca="1"/>
        <v>CloseSession</v>
      </c>
      <c r="X114" s="8" t="s">
        <v>116</v>
      </c>
      <c r="Y114" s="8" t="s">
        <v>114</v>
      </c>
      <c r="Z114" s="8" t="s">
        <v>120</v>
      </c>
      <c r="AA114" s="8" t="s">
        <v>120</v>
      </c>
      <c r="AB114" s="7" t="s">
        <v>138</v>
      </c>
      <c r="AC114" s="7" t="s">
        <v>120</v>
      </c>
      <c r="AD114" s="7" t="s">
        <v>120</v>
      </c>
      <c r="AE114" s="7" t="s">
        <v>120</v>
      </c>
      <c r="AF114" s="7" t="s">
        <v>114</v>
      </c>
      <c r="AG114" s="7" t="s">
        <v>1643</v>
      </c>
      <c r="AH114" s="7" t="s">
        <v>220</v>
      </c>
    </row>
    <row r="115" spans="1:34" x14ac:dyDescent="0.25">
      <c r="A115" s="13" t="str">
        <f ca="1"/>
        <v>0x945F</v>
      </c>
      <c r="B115" s="14" t="str">
        <f ca="1"/>
        <v>GetCaptureArea</v>
      </c>
      <c r="D115" s="8" t="str">
        <f ca="1"/>
        <v/>
      </c>
      <c r="E115" s="8" t="str">
        <f ca="1"/>
        <v>GetCaptureArea</v>
      </c>
      <c r="F115" s="8" t="str">
        <f ca="1"/>
        <v/>
      </c>
      <c r="G115" s="8" t="str">
        <f ca="1"/>
        <v/>
      </c>
      <c r="H115" s="7" t="str">
        <f ca="1"/>
        <v/>
      </c>
      <c r="I115" s="7" t="str">
        <f ca="1"/>
        <v/>
      </c>
      <c r="J115" s="7" t="str">
        <f ca="1"/>
        <v/>
      </c>
      <c r="K115" s="7" t="str">
        <f ca="1"/>
        <v/>
      </c>
      <c r="L115" s="7" t="str">
        <f ca="1"/>
        <v/>
      </c>
      <c r="M115" s="7" t="str">
        <f ca="1"/>
        <v/>
      </c>
      <c r="N115" s="7" t="str">
        <f ca="1"/>
        <v/>
      </c>
      <c r="O115" s="7" t="str">
        <f ca="1"/>
        <v/>
      </c>
      <c r="P115" s="7" t="str">
        <f ca="1"/>
        <v/>
      </c>
      <c r="Q115" s="7" t="str">
        <f ca="1"/>
        <v/>
      </c>
      <c r="T115" s="7" t="str">
        <f ca="1"/>
        <v>Z9</v>
      </c>
      <c r="U115" s="7" t="str">
        <f ca="1"/>
        <v>0x1004</v>
      </c>
      <c r="V115" s="7" t="str">
        <f ca="1"/>
        <v>GetStorageIDs</v>
      </c>
      <c r="X115" s="8" t="s">
        <v>117</v>
      </c>
      <c r="Y115" s="8" t="s">
        <v>115</v>
      </c>
      <c r="Z115" s="8" t="s">
        <v>121</v>
      </c>
      <c r="AA115" s="8" t="s">
        <v>121</v>
      </c>
      <c r="AB115" s="7" t="s">
        <v>139</v>
      </c>
      <c r="AC115" s="7" t="s">
        <v>121</v>
      </c>
      <c r="AD115" s="7" t="s">
        <v>121</v>
      </c>
      <c r="AE115" s="7" t="s">
        <v>121</v>
      </c>
      <c r="AF115" s="7" t="s">
        <v>115</v>
      </c>
      <c r="AG115" s="7" t="s">
        <v>1644</v>
      </c>
      <c r="AH115" s="7" t="s">
        <v>221</v>
      </c>
    </row>
    <row r="116" spans="1:34" x14ac:dyDescent="0.25">
      <c r="A116" s="13" t="str">
        <f ca="1"/>
        <v>0x9460</v>
      </c>
      <c r="B116" s="14" t="str">
        <f ca="1"/>
        <v>SetCaptureArea</v>
      </c>
      <c r="D116" s="8" t="str">
        <f ca="1"/>
        <v/>
      </c>
      <c r="E116" s="8" t="str">
        <f ca="1"/>
        <v>SetCaptureArea</v>
      </c>
      <c r="F116" s="8" t="str">
        <f ca="1"/>
        <v/>
      </c>
      <c r="G116" s="8" t="str">
        <f ca="1"/>
        <v/>
      </c>
      <c r="H116" s="7" t="str">
        <f ca="1"/>
        <v/>
      </c>
      <c r="I116" s="7" t="str">
        <f ca="1"/>
        <v/>
      </c>
      <c r="J116" s="7" t="str">
        <f ca="1"/>
        <v/>
      </c>
      <c r="K116" s="7" t="str">
        <f ca="1"/>
        <v/>
      </c>
      <c r="L116" s="7" t="str">
        <f ca="1"/>
        <v/>
      </c>
      <c r="M116" s="7" t="str">
        <f ca="1"/>
        <v/>
      </c>
      <c r="N116" s="7" t="str">
        <f ca="1"/>
        <v/>
      </c>
      <c r="O116" s="7" t="str">
        <f ca="1"/>
        <v/>
      </c>
      <c r="P116" s="7" t="str">
        <f ca="1"/>
        <v/>
      </c>
      <c r="Q116" s="7" t="str">
        <f ca="1"/>
        <v/>
      </c>
      <c r="T116" s="7" t="str">
        <f ca="1"/>
        <v>Z9</v>
      </c>
      <c r="U116" s="7" t="str">
        <f ca="1"/>
        <v>0x1005</v>
      </c>
      <c r="V116" s="7" t="str">
        <f ca="1"/>
        <v>GetStorageInfo</v>
      </c>
      <c r="X116" s="8" t="s">
        <v>118</v>
      </c>
      <c r="Y116" s="8" t="s">
        <v>116</v>
      </c>
      <c r="Z116" s="8" t="s">
        <v>122</v>
      </c>
      <c r="AA116" s="8" t="s">
        <v>122</v>
      </c>
      <c r="AB116" s="7" t="s">
        <v>140</v>
      </c>
      <c r="AC116" s="7" t="s">
        <v>122</v>
      </c>
      <c r="AD116" s="7" t="s">
        <v>122</v>
      </c>
      <c r="AE116" s="7" t="s">
        <v>122</v>
      </c>
      <c r="AF116" s="7" t="s">
        <v>116</v>
      </c>
      <c r="AG116" s="7" t="s">
        <v>1645</v>
      </c>
      <c r="AH116" s="7" t="s">
        <v>222</v>
      </c>
    </row>
    <row r="117" spans="1:34" x14ac:dyDescent="0.25">
      <c r="A117" s="13" t="str">
        <f ca="1"/>
        <v>0x9461</v>
      </c>
      <c r="B117" s="14" t="str">
        <f ca="1"/>
        <v>ClearEvent</v>
      </c>
      <c r="D117" s="8" t="str">
        <f ca="1"/>
        <v>ClearEvent</v>
      </c>
      <c r="E117" s="8" t="str">
        <f ca="1"/>
        <v>ClearEvent</v>
      </c>
      <c r="F117" s="8" t="str">
        <f ca="1"/>
        <v/>
      </c>
      <c r="G117" s="8" t="str">
        <f ca="1"/>
        <v/>
      </c>
      <c r="H117" s="7" t="str">
        <f ca="1"/>
        <v/>
      </c>
      <c r="I117" s="7" t="str">
        <f ca="1"/>
        <v/>
      </c>
      <c r="J117" s="7" t="str">
        <f ca="1"/>
        <v/>
      </c>
      <c r="K117" s="7" t="str">
        <f ca="1"/>
        <v/>
      </c>
      <c r="L117" s="7" t="str">
        <f ca="1"/>
        <v/>
      </c>
      <c r="M117" s="7" t="str">
        <f ca="1"/>
        <v/>
      </c>
      <c r="N117" s="7" t="str">
        <f ca="1"/>
        <v/>
      </c>
      <c r="O117" s="7" t="str">
        <f ca="1"/>
        <v/>
      </c>
      <c r="P117" s="7" t="str">
        <f ca="1"/>
        <v/>
      </c>
      <c r="Q117" s="7" t="str">
        <f ca="1"/>
        <v/>
      </c>
      <c r="T117" s="7" t="str">
        <f ca="1"/>
        <v>Z9</v>
      </c>
      <c r="U117" s="7" t="str">
        <f ca="1"/>
        <v>0x1006</v>
      </c>
      <c r="V117" s="7" t="str">
        <f ca="1"/>
        <v>GetNumObjects</v>
      </c>
      <c r="X117" s="8" t="s">
        <v>119</v>
      </c>
      <c r="Y117" s="8" t="s">
        <v>117</v>
      </c>
      <c r="Z117" s="8" t="s">
        <v>123</v>
      </c>
      <c r="AA117" s="8" t="s">
        <v>123</v>
      </c>
      <c r="AB117" s="7" t="s">
        <v>141</v>
      </c>
      <c r="AC117" s="7" t="s">
        <v>123</v>
      </c>
      <c r="AD117" s="7" t="s">
        <v>123</v>
      </c>
      <c r="AE117" s="7" t="s">
        <v>123</v>
      </c>
      <c r="AF117" s="7" t="s">
        <v>117</v>
      </c>
      <c r="AG117" s="7" t="s">
        <v>109</v>
      </c>
    </row>
    <row r="118" spans="1:34" x14ac:dyDescent="0.25">
      <c r="A118" s="13" t="str">
        <f ca="1"/>
        <v>0x9463</v>
      </c>
      <c r="B118" s="14" t="str">
        <f ca="1"/>
        <v>SetFlickerReductionShutterSpeed</v>
      </c>
      <c r="D118" s="8" t="str">
        <f ca="1"/>
        <v>SetFlickerReductionShutterSpeed</v>
      </c>
      <c r="E118" s="8" t="str">
        <f ca="1"/>
        <v>SetFlickerReductionShutterSpeed</v>
      </c>
      <c r="F118" s="8" t="str">
        <f ca="1"/>
        <v/>
      </c>
      <c r="G118" s="8" t="str">
        <f ca="1"/>
        <v/>
      </c>
      <c r="H118" s="7" t="str">
        <f ca="1"/>
        <v/>
      </c>
      <c r="I118" s="7" t="str">
        <f ca="1"/>
        <v/>
      </c>
      <c r="J118" s="7" t="str">
        <f ca="1"/>
        <v/>
      </c>
      <c r="K118" s="7" t="str">
        <f ca="1"/>
        <v/>
      </c>
      <c r="L118" s="7" t="str">
        <f ca="1"/>
        <v/>
      </c>
      <c r="M118" s="7" t="str">
        <f ca="1"/>
        <v/>
      </c>
      <c r="N118" s="7" t="str">
        <f ca="1"/>
        <v/>
      </c>
      <c r="O118" s="7" t="str">
        <f ca="1"/>
        <v/>
      </c>
      <c r="P118" s="7" t="str">
        <f ca="1"/>
        <v/>
      </c>
      <c r="Q118" s="7" t="str">
        <f ca="1"/>
        <v/>
      </c>
      <c r="T118" s="7" t="str">
        <f ca="1"/>
        <v>Z9</v>
      </c>
      <c r="U118" s="7" t="str">
        <f ca="1"/>
        <v>0x1007</v>
      </c>
      <c r="V118" s="7" t="str">
        <f ca="1"/>
        <v>GetObjectHandles</v>
      </c>
      <c r="X118" s="8" t="s">
        <v>120</v>
      </c>
      <c r="Y118" s="8" t="s">
        <v>118</v>
      </c>
      <c r="Z118" s="8" t="s">
        <v>124</v>
      </c>
      <c r="AA118" s="8" t="s">
        <v>124</v>
      </c>
      <c r="AB118" s="7" t="s">
        <v>142</v>
      </c>
      <c r="AC118" s="7" t="s">
        <v>124</v>
      </c>
      <c r="AD118" s="7" t="s">
        <v>124</v>
      </c>
      <c r="AE118" s="7" t="s">
        <v>124</v>
      </c>
      <c r="AF118" s="7" t="s">
        <v>118</v>
      </c>
      <c r="AG118" s="7" t="s">
        <v>110</v>
      </c>
    </row>
    <row r="119" spans="1:34" x14ac:dyDescent="0.25">
      <c r="A119" s="13" t="str">
        <f ca="1"/>
        <v>0x9464</v>
      </c>
      <c r="B119" s="14" t="str">
        <f ca="1"/>
        <v>PowerZoomDrive</v>
      </c>
      <c r="D119" s="8" t="str">
        <f ca="1"/>
        <v>PowerZoomDrive</v>
      </c>
      <c r="E119" s="8" t="str">
        <f ca="1"/>
        <v>PowerZoomDrive</v>
      </c>
      <c r="F119" s="8" t="str">
        <f ca="1"/>
        <v/>
      </c>
      <c r="G119" s="8" t="str">
        <f ca="1"/>
        <v/>
      </c>
      <c r="H119" s="7" t="str">
        <f ca="1"/>
        <v>PowerZoomDrive</v>
      </c>
      <c r="I119" s="7" t="str">
        <f ca="1"/>
        <v/>
      </c>
      <c r="J119" s="7" t="str">
        <f ca="1"/>
        <v/>
      </c>
      <c r="K119" s="7" t="str">
        <f ca="1"/>
        <v/>
      </c>
      <c r="L119" s="7" t="str">
        <f ca="1"/>
        <v/>
      </c>
      <c r="M119" s="7" t="str">
        <f ca="1"/>
        <v/>
      </c>
      <c r="N119" s="7" t="str">
        <f ca="1"/>
        <v/>
      </c>
      <c r="O119" s="7" t="str">
        <f ca="1"/>
        <v/>
      </c>
      <c r="P119" s="7" t="str">
        <f ca="1"/>
        <v/>
      </c>
      <c r="Q119" s="7" t="str">
        <f ca="1"/>
        <v/>
      </c>
      <c r="T119" s="7" t="str">
        <f ca="1"/>
        <v>Z9</v>
      </c>
      <c r="U119" s="7" t="str">
        <f ca="1"/>
        <v>0x1008</v>
      </c>
      <c r="V119" s="7" t="str">
        <f ca="1"/>
        <v>GetObjectInfo</v>
      </c>
      <c r="X119" s="8" t="s">
        <v>121</v>
      </c>
      <c r="Y119" s="8" t="s">
        <v>119</v>
      </c>
      <c r="Z119" s="8" t="s">
        <v>125</v>
      </c>
      <c r="AA119" s="8" t="s">
        <v>125</v>
      </c>
      <c r="AB119" s="7" t="s">
        <v>143</v>
      </c>
      <c r="AC119" s="7" t="s">
        <v>125</v>
      </c>
      <c r="AD119" s="7" t="s">
        <v>125</v>
      </c>
      <c r="AE119" s="7" t="s">
        <v>125</v>
      </c>
      <c r="AF119" s="7" t="s">
        <v>119</v>
      </c>
      <c r="AG119" s="7" t="s">
        <v>111</v>
      </c>
    </row>
    <row r="120" spans="1:34" x14ac:dyDescent="0.25">
      <c r="A120" s="13" t="str">
        <f ca="1"/>
        <v>0x946D</v>
      </c>
      <c r="B120" s="14" t="str">
        <f ca="1"/>
        <v>GetCameraSettingData</v>
      </c>
      <c r="D120" s="8" t="str">
        <f ca="1"/>
        <v>GetCameraSettingData</v>
      </c>
      <c r="E120" s="8" t="str">
        <f ca="1"/>
        <v>GetCameraSettingData</v>
      </c>
      <c r="F120" s="8" t="str">
        <f ca="1"/>
        <v/>
      </c>
      <c r="G120" s="8" t="str">
        <f ca="1"/>
        <v/>
      </c>
      <c r="H120" s="7" t="str">
        <f ca="1"/>
        <v/>
      </c>
      <c r="I120" s="7" t="str">
        <f ca="1"/>
        <v/>
      </c>
      <c r="J120" s="7" t="str">
        <f ca="1"/>
        <v/>
      </c>
      <c r="K120" s="7" t="str">
        <f ca="1"/>
        <v/>
      </c>
      <c r="L120" s="7" t="str">
        <f ca="1"/>
        <v/>
      </c>
      <c r="M120" s="7" t="str">
        <f ca="1"/>
        <v/>
      </c>
      <c r="N120" s="7" t="str">
        <f ca="1"/>
        <v/>
      </c>
      <c r="O120" s="7" t="str">
        <f ca="1"/>
        <v/>
      </c>
      <c r="P120" s="7" t="str">
        <f ca="1"/>
        <v/>
      </c>
      <c r="Q120" s="7" t="str">
        <f ca="1"/>
        <v/>
      </c>
      <c r="T120" s="7" t="str">
        <f ca="1"/>
        <v>Z9</v>
      </c>
      <c r="U120" s="7" t="str">
        <f ca="1"/>
        <v>0x1009</v>
      </c>
      <c r="V120" s="7" t="str">
        <f ca="1"/>
        <v>GetObject</v>
      </c>
      <c r="X120" s="8" t="s">
        <v>122</v>
      </c>
      <c r="Y120" s="8" t="s">
        <v>120</v>
      </c>
      <c r="Z120" s="8" t="s">
        <v>126</v>
      </c>
      <c r="AA120" s="8" t="s">
        <v>126</v>
      </c>
      <c r="AB120" s="7" t="s">
        <v>144</v>
      </c>
      <c r="AC120" s="7" t="s">
        <v>126</v>
      </c>
      <c r="AD120" s="7" t="s">
        <v>126</v>
      </c>
      <c r="AE120" s="7" t="s">
        <v>126</v>
      </c>
      <c r="AF120" s="7" t="s">
        <v>120</v>
      </c>
      <c r="AG120" s="7" t="s">
        <v>112</v>
      </c>
    </row>
    <row r="121" spans="1:34" x14ac:dyDescent="0.25">
      <c r="A121" s="13" t="str">
        <f ca="1"/>
        <v>0x946E</v>
      </c>
      <c r="B121" s="14" t="str">
        <f ca="1"/>
        <v>SendCameraSettingData</v>
      </c>
      <c r="D121" s="8" t="str">
        <f ca="1"/>
        <v>SendCameraSettingData</v>
      </c>
      <c r="E121" s="8" t="str">
        <f ca="1"/>
        <v>SendCameraSettingData</v>
      </c>
      <c r="F121" s="8" t="str">
        <f ca="1"/>
        <v/>
      </c>
      <c r="G121" s="8" t="str">
        <f ca="1"/>
        <v/>
      </c>
      <c r="H121" s="7" t="str">
        <f ca="1"/>
        <v/>
      </c>
      <c r="I121" s="7" t="str">
        <f ca="1"/>
        <v/>
      </c>
      <c r="J121" s="7" t="str">
        <f ca="1"/>
        <v/>
      </c>
      <c r="K121" s="7" t="str">
        <f ca="1"/>
        <v/>
      </c>
      <c r="L121" s="7" t="str">
        <f ca="1"/>
        <v/>
      </c>
      <c r="M121" s="7" t="str">
        <f ca="1"/>
        <v/>
      </c>
      <c r="N121" s="7" t="str">
        <f ca="1"/>
        <v/>
      </c>
      <c r="O121" s="7" t="str">
        <f ca="1"/>
        <v/>
      </c>
      <c r="P121" s="7" t="str">
        <f ca="1"/>
        <v/>
      </c>
      <c r="Q121" s="7" t="str">
        <f ca="1"/>
        <v/>
      </c>
      <c r="T121" s="7" t="str">
        <f ca="1"/>
        <v>Z9</v>
      </c>
      <c r="U121" s="7" t="str">
        <f ca="1"/>
        <v>0x100A</v>
      </c>
      <c r="V121" s="7" t="str">
        <f ca="1"/>
        <v>GetThumb</v>
      </c>
      <c r="X121" s="8" t="s">
        <v>123</v>
      </c>
      <c r="Y121" s="8" t="s">
        <v>121</v>
      </c>
      <c r="Z121" s="8" t="s">
        <v>127</v>
      </c>
      <c r="AA121" s="8" t="s">
        <v>127</v>
      </c>
      <c r="AB121" s="7" t="s">
        <v>145</v>
      </c>
      <c r="AC121" s="7" t="s">
        <v>127</v>
      </c>
      <c r="AD121" s="7" t="s">
        <v>127</v>
      </c>
      <c r="AE121" s="7" t="s">
        <v>127</v>
      </c>
      <c r="AF121" s="7" t="s">
        <v>121</v>
      </c>
      <c r="AG121" s="7" t="s">
        <v>113</v>
      </c>
    </row>
    <row r="122" spans="1:34" x14ac:dyDescent="0.25">
      <c r="A122" s="13" t="str">
        <f ca="1"/>
        <v>0x9470</v>
      </c>
      <c r="B122" s="14" t="str">
        <f ca="1"/>
        <v>GetManualSettingLensData2</v>
      </c>
      <c r="D122" s="8" t="str">
        <f ca="1"/>
        <v>GetManualSettingLensData2</v>
      </c>
      <c r="E122" s="8" t="str">
        <f ca="1"/>
        <v>GetManualSettingLensData2</v>
      </c>
      <c r="F122" s="8" t="str">
        <f ca="1"/>
        <v/>
      </c>
      <c r="G122" s="8" t="str">
        <f ca="1"/>
        <v/>
      </c>
      <c r="H122" s="7" t="str">
        <f ca="1"/>
        <v/>
      </c>
      <c r="I122" s="7" t="str">
        <f ca="1"/>
        <v/>
      </c>
      <c r="J122" s="7" t="str">
        <f ca="1"/>
        <v/>
      </c>
      <c r="K122" s="7" t="str">
        <f ca="1"/>
        <v/>
      </c>
      <c r="L122" s="7" t="str">
        <f ca="1"/>
        <v/>
      </c>
      <c r="M122" s="7" t="str">
        <f ca="1"/>
        <v/>
      </c>
      <c r="N122" s="7" t="str">
        <f ca="1"/>
        <v/>
      </c>
      <c r="O122" s="7" t="str">
        <f ca="1"/>
        <v/>
      </c>
      <c r="P122" s="7" t="str">
        <f ca="1"/>
        <v/>
      </c>
      <c r="Q122" s="7" t="str">
        <f ca="1"/>
        <v/>
      </c>
      <c r="T122" s="7" t="str">
        <f ca="1"/>
        <v>Z9</v>
      </c>
      <c r="U122" s="7" t="str">
        <f ca="1"/>
        <v>0x100B</v>
      </c>
      <c r="V122" s="7" t="str">
        <f ca="1"/>
        <v>DeleteObject</v>
      </c>
      <c r="X122" s="8" t="s">
        <v>124</v>
      </c>
      <c r="Y122" s="8" t="s">
        <v>122</v>
      </c>
      <c r="Z122" s="8" t="s">
        <v>128</v>
      </c>
      <c r="AA122" s="8" t="s">
        <v>128</v>
      </c>
      <c r="AB122" s="7" t="s">
        <v>146</v>
      </c>
      <c r="AC122" s="7" t="s">
        <v>128</v>
      </c>
      <c r="AD122" s="7" t="s">
        <v>128</v>
      </c>
      <c r="AE122" s="7" t="s">
        <v>128</v>
      </c>
      <c r="AF122" s="7" t="s">
        <v>122</v>
      </c>
      <c r="AG122" s="7" t="s">
        <v>114</v>
      </c>
    </row>
    <row r="123" spans="1:34" x14ac:dyDescent="0.25">
      <c r="A123" s="13" t="str">
        <f ca="1"/>
        <v>0x9471</v>
      </c>
      <c r="B123" s="14" t="str">
        <f ca="1"/>
        <v>SetAutoCaptureTimingOptions</v>
      </c>
      <c r="D123" s="8" t="str">
        <f ca="1"/>
        <v/>
      </c>
      <c r="E123" s="8" t="str">
        <f ca="1"/>
        <v>SetAutoCaptureTimingOptions</v>
      </c>
      <c r="F123" s="8" t="str">
        <f ca="1"/>
        <v/>
      </c>
      <c r="G123" s="8" t="str">
        <f ca="1"/>
        <v/>
      </c>
      <c r="H123" s="7" t="str">
        <f ca="1"/>
        <v/>
      </c>
      <c r="I123" s="7" t="str">
        <f ca="1"/>
        <v/>
      </c>
      <c r="J123" s="7" t="str">
        <f ca="1"/>
        <v/>
      </c>
      <c r="K123" s="7" t="str">
        <f ca="1"/>
        <v/>
      </c>
      <c r="L123" s="7" t="str">
        <f ca="1"/>
        <v/>
      </c>
      <c r="M123" s="7" t="str">
        <f ca="1"/>
        <v/>
      </c>
      <c r="N123" s="7" t="str">
        <f ca="1"/>
        <v/>
      </c>
      <c r="O123" s="7" t="str">
        <f ca="1"/>
        <v/>
      </c>
      <c r="P123" s="7" t="str">
        <f ca="1"/>
        <v/>
      </c>
      <c r="Q123" s="7" t="str">
        <f ca="1"/>
        <v/>
      </c>
      <c r="T123" s="7" t="str">
        <f ca="1"/>
        <v>Z9</v>
      </c>
      <c r="U123" s="7" t="str">
        <f ca="1"/>
        <v>0x100C</v>
      </c>
      <c r="V123" s="7" t="str">
        <f ca="1"/>
        <v>SendObjectInfo</v>
      </c>
      <c r="X123" s="8" t="s">
        <v>125</v>
      </c>
      <c r="Y123" s="8" t="s">
        <v>123</v>
      </c>
      <c r="Z123" s="8" t="s">
        <v>129</v>
      </c>
      <c r="AA123" s="8" t="s">
        <v>129</v>
      </c>
      <c r="AB123" s="7" t="s">
        <v>151</v>
      </c>
      <c r="AC123" s="7" t="s">
        <v>129</v>
      </c>
      <c r="AD123" s="7" t="s">
        <v>129</v>
      </c>
      <c r="AE123" s="7" t="s">
        <v>129</v>
      </c>
      <c r="AF123" s="7" t="s">
        <v>123</v>
      </c>
      <c r="AG123" s="7" t="s">
        <v>115</v>
      </c>
    </row>
    <row r="124" spans="1:34" x14ac:dyDescent="0.25">
      <c r="A124" s="13" t="str">
        <f ca="1"/>
        <v>0x9472</v>
      </c>
      <c r="B124" s="14" t="str">
        <f ca="1"/>
        <v>SendPartialObjectInfo</v>
      </c>
      <c r="D124" s="8" t="str">
        <f ca="1"/>
        <v/>
      </c>
      <c r="E124" s="8" t="str">
        <f ca="1"/>
        <v>SendPartialObjectInfo</v>
      </c>
      <c r="F124" s="8" t="str">
        <f ca="1"/>
        <v/>
      </c>
      <c r="G124" s="8" t="str">
        <f ca="1"/>
        <v/>
      </c>
      <c r="H124" s="7" t="str">
        <f ca="1"/>
        <v/>
      </c>
      <c r="I124" s="7" t="str">
        <f ca="1"/>
        <v/>
      </c>
      <c r="J124" s="7" t="str">
        <f ca="1"/>
        <v/>
      </c>
      <c r="K124" s="7" t="str">
        <f ca="1"/>
        <v/>
      </c>
      <c r="L124" s="7" t="str">
        <f ca="1"/>
        <v/>
      </c>
      <c r="M124" s="7" t="str">
        <f ca="1"/>
        <v/>
      </c>
      <c r="N124" s="7" t="str">
        <f ca="1"/>
        <v/>
      </c>
      <c r="O124" s="7" t="str">
        <f ca="1"/>
        <v/>
      </c>
      <c r="P124" s="7" t="str">
        <f ca="1"/>
        <v/>
      </c>
      <c r="Q124" s="7" t="str">
        <f ca="1"/>
        <v/>
      </c>
      <c r="T124" s="7" t="str">
        <f ca="1"/>
        <v>Z9</v>
      </c>
      <c r="U124" s="7" t="str">
        <f ca="1"/>
        <v>0x100D</v>
      </c>
      <c r="V124" s="7" t="str">
        <f ca="1"/>
        <v>SendObject</v>
      </c>
      <c r="X124" s="8" t="s">
        <v>126</v>
      </c>
      <c r="Y124" s="8" t="s">
        <v>124</v>
      </c>
      <c r="Z124" s="8" t="s">
        <v>130</v>
      </c>
      <c r="AA124" s="8" t="s">
        <v>130</v>
      </c>
      <c r="AB124" s="7" t="s">
        <v>152</v>
      </c>
      <c r="AC124" s="7" t="s">
        <v>130</v>
      </c>
      <c r="AD124" s="7" t="s">
        <v>130</v>
      </c>
      <c r="AE124" s="7" t="s">
        <v>130</v>
      </c>
      <c r="AF124" s="7" t="s">
        <v>124</v>
      </c>
      <c r="AG124" s="7" t="s">
        <v>116</v>
      </c>
    </row>
    <row r="125" spans="1:34" x14ac:dyDescent="0.25">
      <c r="A125" s="13" t="str">
        <f ca="1"/>
        <v>0x9473</v>
      </c>
      <c r="B125" s="14" t="str">
        <f ca="1"/>
        <v>SendPartialObject</v>
      </c>
      <c r="D125" s="8" t="str">
        <f ca="1"/>
        <v/>
      </c>
      <c r="E125" s="8" t="str">
        <f ca="1"/>
        <v>SendPartialObject</v>
      </c>
      <c r="F125" s="8" t="str">
        <f ca="1"/>
        <v/>
      </c>
      <c r="G125" s="8" t="str">
        <f ca="1"/>
        <v/>
      </c>
      <c r="H125" s="7" t="str">
        <f ca="1"/>
        <v/>
      </c>
      <c r="I125" s="7" t="str">
        <f ca="1"/>
        <v/>
      </c>
      <c r="J125" s="7" t="str">
        <f ca="1"/>
        <v/>
      </c>
      <c r="K125" s="7" t="str">
        <f ca="1"/>
        <v/>
      </c>
      <c r="L125" s="7" t="str">
        <f ca="1"/>
        <v/>
      </c>
      <c r="M125" s="7" t="str">
        <f ca="1"/>
        <v/>
      </c>
      <c r="N125" s="7" t="str">
        <f ca="1"/>
        <v/>
      </c>
      <c r="O125" s="7" t="str">
        <f ca="1"/>
        <v/>
      </c>
      <c r="P125" s="7" t="str">
        <f ca="1"/>
        <v/>
      </c>
      <c r="Q125" s="7" t="str">
        <f ca="1"/>
        <v/>
      </c>
      <c r="T125" s="7" t="str">
        <f ca="1"/>
        <v>Z9</v>
      </c>
      <c r="U125" s="7" t="str">
        <f ca="1"/>
        <v>0x100E</v>
      </c>
      <c r="V125" s="7" t="str">
        <f ca="1"/>
        <v>InitiateCapture</v>
      </c>
      <c r="X125" s="8" t="s">
        <v>127</v>
      </c>
      <c r="Y125" s="8" t="s">
        <v>125</v>
      </c>
      <c r="Z125" s="8" t="s">
        <v>131</v>
      </c>
      <c r="AA125" s="8" t="s">
        <v>131</v>
      </c>
      <c r="AB125" s="7" t="s">
        <v>207</v>
      </c>
      <c r="AC125" s="7" t="s">
        <v>131</v>
      </c>
      <c r="AD125" s="7" t="s">
        <v>131</v>
      </c>
      <c r="AE125" s="7" t="s">
        <v>131</v>
      </c>
      <c r="AF125" s="7" t="s">
        <v>125</v>
      </c>
      <c r="AG125" s="7" t="s">
        <v>117</v>
      </c>
    </row>
    <row r="126" spans="1:34" x14ac:dyDescent="0.25">
      <c r="A126" s="13" t="str">
        <f ca="1"/>
        <v>0x9801</v>
      </c>
      <c r="B126" s="14" t="str">
        <f ca="1"/>
        <v>GetObjectPropsSupported</v>
      </c>
      <c r="D126" s="8" t="str">
        <f ca="1"/>
        <v>GetObjectPropsSupported</v>
      </c>
      <c r="E126" s="8" t="str">
        <f ca="1"/>
        <v>GetObjectPropsSupported</v>
      </c>
      <c r="F126" s="8" t="str">
        <f ca="1"/>
        <v>GetObjectPropsSupported</v>
      </c>
      <c r="G126" s="8" t="str">
        <f ca="1"/>
        <v>GetObjectPropsSupported</v>
      </c>
      <c r="H126" s="7" t="str">
        <f ca="1"/>
        <v>GetObjectPropsSupported</v>
      </c>
      <c r="I126" s="7" t="str">
        <f ca="1"/>
        <v>GetObjectPropsSupported</v>
      </c>
      <c r="J126" s="7" t="str">
        <f ca="1"/>
        <v>GetObjectPropsSupported</v>
      </c>
      <c r="K126" s="7" t="str">
        <f ca="1"/>
        <v>GetObjectPropsSupported</v>
      </c>
      <c r="L126" s="7" t="str">
        <f ca="1"/>
        <v>GetObjectPropsSupported</v>
      </c>
      <c r="M126" s="7" t="str">
        <f ca="1"/>
        <v>GetObjectPropsSupported</v>
      </c>
      <c r="N126" s="7" t="str">
        <f ca="1"/>
        <v>GetObjectPropsSupported</v>
      </c>
      <c r="O126" s="7" t="str">
        <f ca="1"/>
        <v>GetObjectPropsSupported</v>
      </c>
      <c r="P126" s="7" t="str">
        <f ca="1"/>
        <v>GetObjectPropsSupported</v>
      </c>
      <c r="Q126" s="7" t="str">
        <f ca="1"/>
        <v>GetObjectPropsSupported</v>
      </c>
      <c r="T126" s="7" t="str">
        <f ca="1"/>
        <v>Z9</v>
      </c>
      <c r="U126" s="7" t="str">
        <f ca="1"/>
        <v>0x100F</v>
      </c>
      <c r="V126" s="7" t="str">
        <f ca="1"/>
        <v>FormatStore</v>
      </c>
      <c r="X126" s="8" t="s">
        <v>128</v>
      </c>
      <c r="Y126" s="8" t="s">
        <v>126</v>
      </c>
      <c r="Z126" s="8" t="s">
        <v>132</v>
      </c>
      <c r="AA126" s="8" t="s">
        <v>132</v>
      </c>
      <c r="AB126" s="7" t="s">
        <v>208</v>
      </c>
      <c r="AC126" s="7" t="s">
        <v>132</v>
      </c>
      <c r="AD126" s="7" t="s">
        <v>132</v>
      </c>
      <c r="AE126" s="7" t="s">
        <v>132</v>
      </c>
      <c r="AF126" s="7" t="s">
        <v>126</v>
      </c>
      <c r="AG126" s="7" t="s">
        <v>118</v>
      </c>
    </row>
    <row r="127" spans="1:34" x14ac:dyDescent="0.25">
      <c r="A127" s="13" t="str">
        <f ca="1"/>
        <v>0x9802</v>
      </c>
      <c r="B127" s="14" t="str">
        <f ca="1"/>
        <v>GetObjectPropDesc</v>
      </c>
      <c r="D127" s="8" t="str">
        <f ca="1"/>
        <v>GetObjectPropDesc</v>
      </c>
      <c r="E127" s="8" t="str">
        <f ca="1"/>
        <v>GetObjectPropDesc</v>
      </c>
      <c r="F127" s="8" t="str">
        <f ca="1"/>
        <v>GetObjectPropDesc</v>
      </c>
      <c r="G127" s="8" t="str">
        <f ca="1"/>
        <v>GetObjectPropDesc</v>
      </c>
      <c r="H127" s="7" t="str">
        <f ca="1"/>
        <v>GetObjectPropDesc</v>
      </c>
      <c r="I127" s="7" t="str">
        <f ca="1"/>
        <v>GetObjectPropDesc</v>
      </c>
      <c r="J127" s="7" t="str">
        <f ca="1"/>
        <v>GetObjectPropDesc</v>
      </c>
      <c r="K127" s="7" t="str">
        <f ca="1"/>
        <v>GetObjectPropDesc</v>
      </c>
      <c r="L127" s="7" t="str">
        <f ca="1"/>
        <v>GetObjectPropDesc</v>
      </c>
      <c r="M127" s="7" t="str">
        <f ca="1"/>
        <v>GetObjectPropDesc</v>
      </c>
      <c r="N127" s="7" t="str">
        <f ca="1"/>
        <v>GetObjectPropDesc</v>
      </c>
      <c r="O127" s="7" t="str">
        <f ca="1"/>
        <v>GetObjectPropDesc</v>
      </c>
      <c r="P127" s="7" t="str">
        <f ca="1"/>
        <v>GetObjectPropDesc</v>
      </c>
      <c r="Q127" s="7" t="str">
        <f ca="1"/>
        <v>GetObjectPropDesc</v>
      </c>
      <c r="T127" s="7" t="str">
        <f ca="1"/>
        <v>Z9</v>
      </c>
      <c r="U127" s="7" t="str">
        <f ca="1"/>
        <v>0x1012</v>
      </c>
      <c r="V127" s="7" t="str">
        <f ca="1"/>
        <v>SetObjectProtection</v>
      </c>
      <c r="X127" s="8" t="s">
        <v>129</v>
      </c>
      <c r="Y127" s="8" t="s">
        <v>127</v>
      </c>
      <c r="Z127" s="8" t="s">
        <v>133</v>
      </c>
      <c r="AA127" s="8" t="s">
        <v>133</v>
      </c>
      <c r="AB127" s="7" t="s">
        <v>215</v>
      </c>
      <c r="AC127" s="7" t="s">
        <v>133</v>
      </c>
      <c r="AD127" s="7" t="s">
        <v>133</v>
      </c>
      <c r="AE127" s="7" t="s">
        <v>133</v>
      </c>
      <c r="AF127" s="7" t="s">
        <v>127</v>
      </c>
      <c r="AG127" s="7" t="s">
        <v>119</v>
      </c>
    </row>
    <row r="128" spans="1:34" x14ac:dyDescent="0.25">
      <c r="A128" s="13" t="str">
        <f ca="1"/>
        <v>0x9803</v>
      </c>
      <c r="B128" s="14" t="str">
        <f ca="1"/>
        <v>GetObjectPropValue</v>
      </c>
      <c r="D128" s="8" t="str">
        <f ca="1"/>
        <v>GetObjectPropValue</v>
      </c>
      <c r="E128" s="8" t="str">
        <f ca="1"/>
        <v>GetObjectPropValue</v>
      </c>
      <c r="F128" s="8" t="str">
        <f ca="1"/>
        <v>GetObjectPropValue</v>
      </c>
      <c r="G128" s="8" t="str">
        <f ca="1"/>
        <v>GetObjectPropValue</v>
      </c>
      <c r="H128" s="7" t="str">
        <f ca="1"/>
        <v>GetObjectPropValue</v>
      </c>
      <c r="I128" s="7" t="str">
        <f ca="1"/>
        <v>GetObjectPropValue</v>
      </c>
      <c r="J128" s="7" t="str">
        <f ca="1"/>
        <v>GetObjectPropValue</v>
      </c>
      <c r="K128" s="7" t="str">
        <f ca="1"/>
        <v>GetObjectPropValue</v>
      </c>
      <c r="L128" s="7" t="str">
        <f ca="1"/>
        <v>GetObjectPropValue</v>
      </c>
      <c r="M128" s="7" t="str">
        <f ca="1"/>
        <v>GetObjectPropValue</v>
      </c>
      <c r="N128" s="7" t="str">
        <f ca="1"/>
        <v>GetObjectPropValue</v>
      </c>
      <c r="O128" s="7" t="str">
        <f ca="1"/>
        <v>GetObjectPropValue</v>
      </c>
      <c r="P128" s="7" t="str">
        <f ca="1"/>
        <v>GetObjectPropValue</v>
      </c>
      <c r="Q128" s="7" t="str">
        <f ca="1"/>
        <v>GetObjectPropValue</v>
      </c>
      <c r="T128" s="7" t="str">
        <f ca="1"/>
        <v>Z9</v>
      </c>
      <c r="U128" s="7" t="str">
        <f ca="1"/>
        <v>0x1014</v>
      </c>
      <c r="V128" s="7" t="str">
        <f ca="1"/>
        <v>GetDevicePropDesc</v>
      </c>
      <c r="X128" s="8" t="s">
        <v>130</v>
      </c>
      <c r="Y128" s="8" t="s">
        <v>128</v>
      </c>
      <c r="Z128" s="8" t="s">
        <v>134</v>
      </c>
      <c r="AA128" s="8" t="s">
        <v>134</v>
      </c>
      <c r="AB128" s="7" t="s">
        <v>216</v>
      </c>
      <c r="AC128" s="7" t="s">
        <v>134</v>
      </c>
      <c r="AD128" s="7" t="s">
        <v>134</v>
      </c>
      <c r="AE128" s="7" t="s">
        <v>134</v>
      </c>
      <c r="AF128" s="7" t="s">
        <v>128</v>
      </c>
      <c r="AG128" s="7" t="s">
        <v>120</v>
      </c>
    </row>
    <row r="129" spans="1:33" x14ac:dyDescent="0.25">
      <c r="A129" s="13" t="str">
        <f ca="1"/>
        <v>0x9804</v>
      </c>
      <c r="B129" s="14" t="str">
        <f ca="1"/>
        <v>SetObjectPropValue</v>
      </c>
      <c r="D129" s="8" t="str">
        <f ca="1"/>
        <v/>
      </c>
      <c r="E129" s="8" t="str">
        <f ca="1"/>
        <v>SetObjectPropValue</v>
      </c>
      <c r="F129" s="8" t="str">
        <f ca="1"/>
        <v/>
      </c>
      <c r="G129" s="8" t="str">
        <f ca="1"/>
        <v/>
      </c>
      <c r="H129" s="7" t="str">
        <f ca="1"/>
        <v/>
      </c>
      <c r="I129" s="7" t="str">
        <f ca="1"/>
        <v/>
      </c>
      <c r="J129" s="7" t="str">
        <f ca="1"/>
        <v/>
      </c>
      <c r="K129" s="7" t="str">
        <f ca="1"/>
        <v/>
      </c>
      <c r="L129" s="7" t="str">
        <f ca="1"/>
        <v/>
      </c>
      <c r="M129" s="7" t="str">
        <f ca="1"/>
        <v/>
      </c>
      <c r="N129" s="7" t="str">
        <f ca="1"/>
        <v/>
      </c>
      <c r="O129" s="7" t="str">
        <f ca="1"/>
        <v/>
      </c>
      <c r="P129" s="7" t="str">
        <f ca="1"/>
        <v/>
      </c>
      <c r="Q129" s="7" t="str">
        <f ca="1"/>
        <v/>
      </c>
      <c r="T129" s="7" t="str">
        <f ca="1"/>
        <v>Z9</v>
      </c>
      <c r="U129" s="7" t="str">
        <f ca="1"/>
        <v>0x1015</v>
      </c>
      <c r="V129" s="7" t="str">
        <f ca="1"/>
        <v>GetDevicePropValue</v>
      </c>
      <c r="X129" s="8" t="s">
        <v>131</v>
      </c>
      <c r="Y129" s="8" t="s">
        <v>129</v>
      </c>
      <c r="Z129" s="8" t="s">
        <v>135</v>
      </c>
      <c r="AA129" s="8" t="s">
        <v>135</v>
      </c>
      <c r="AB129" s="7" t="s">
        <v>217</v>
      </c>
      <c r="AC129" s="7" t="s">
        <v>137</v>
      </c>
      <c r="AD129" s="7" t="s">
        <v>137</v>
      </c>
      <c r="AE129" s="7" t="s">
        <v>135</v>
      </c>
      <c r="AF129" s="7" t="s">
        <v>129</v>
      </c>
      <c r="AG129" s="7" t="s">
        <v>121</v>
      </c>
    </row>
    <row r="130" spans="1:33" x14ac:dyDescent="0.25">
      <c r="A130" s="13" t="str">
        <f ca="1"/>
        <v>0x9805</v>
      </c>
      <c r="B130" s="14" t="str">
        <f ca="1"/>
        <v>GetObjectPropList</v>
      </c>
      <c r="D130" s="8" t="str">
        <f ca="1"/>
        <v>GetObjectPropList</v>
      </c>
      <c r="E130" s="8" t="str">
        <f ca="1"/>
        <v>GetObjectPropList</v>
      </c>
      <c r="F130" s="8" t="str">
        <f ca="1"/>
        <v>GetObjectPropList</v>
      </c>
      <c r="G130" s="8" t="str">
        <f ca="1"/>
        <v>GetObjectPropList</v>
      </c>
      <c r="H130" s="7" t="str">
        <f ca="1"/>
        <v>GetObjectPropList</v>
      </c>
      <c r="I130" s="7" t="str">
        <f ca="1"/>
        <v>GetObjectPropList</v>
      </c>
      <c r="J130" s="7" t="str">
        <f ca="1"/>
        <v>GetObjectPropList</v>
      </c>
      <c r="K130" s="7" t="str">
        <f ca="1"/>
        <v>GetObjectPropList</v>
      </c>
      <c r="L130" s="7" t="str">
        <f ca="1"/>
        <v>GetObjectPropList</v>
      </c>
      <c r="M130" s="7" t="str">
        <f ca="1"/>
        <v>GetObjectPropList</v>
      </c>
      <c r="N130" s="7" t="str">
        <f ca="1"/>
        <v>GetObjectPropList</v>
      </c>
      <c r="O130" s="7" t="str">
        <f ca="1"/>
        <v>GetObjectPropList</v>
      </c>
      <c r="P130" s="7" t="str">
        <f ca="1"/>
        <v>GetObjectPropList</v>
      </c>
      <c r="Q130" s="7" t="str">
        <f ca="1"/>
        <v>GetObjectPropList</v>
      </c>
      <c r="T130" s="7" t="str">
        <f ca="1"/>
        <v>Z9</v>
      </c>
      <c r="U130" s="7" t="str">
        <f ca="1"/>
        <v>0x1016</v>
      </c>
      <c r="V130" s="7" t="str">
        <f ca="1"/>
        <v>SetDevicePropValue</v>
      </c>
      <c r="X130" s="8" t="s">
        <v>132</v>
      </c>
      <c r="Y130" s="8" t="s">
        <v>130</v>
      </c>
      <c r="Z130" s="8" t="s">
        <v>136</v>
      </c>
      <c r="AA130" s="8" t="s">
        <v>136</v>
      </c>
      <c r="AB130" s="7" t="s">
        <v>218</v>
      </c>
      <c r="AC130" s="7" t="s">
        <v>138</v>
      </c>
      <c r="AD130" s="7" t="s">
        <v>138</v>
      </c>
      <c r="AE130" s="7" t="s">
        <v>136</v>
      </c>
      <c r="AF130" s="7" t="s">
        <v>130</v>
      </c>
      <c r="AG130" s="7" t="s">
        <v>122</v>
      </c>
    </row>
    <row r="131" spans="1:33" x14ac:dyDescent="0.25">
      <c r="T131" s="7" t="str">
        <f ca="1"/>
        <v>Z9</v>
      </c>
      <c r="U131" s="7" t="str">
        <f ca="1"/>
        <v>0x101B</v>
      </c>
      <c r="V131" s="7" t="str">
        <f ca="1"/>
        <v>GetPartialObject</v>
      </c>
      <c r="X131" s="8" t="s">
        <v>133</v>
      </c>
      <c r="Y131" s="8" t="s">
        <v>131</v>
      </c>
      <c r="Z131" s="8" t="s">
        <v>137</v>
      </c>
      <c r="AA131" s="8" t="s">
        <v>137</v>
      </c>
      <c r="AB131" s="7" t="s">
        <v>219</v>
      </c>
      <c r="AC131" s="7" t="s">
        <v>139</v>
      </c>
      <c r="AD131" s="7" t="s">
        <v>139</v>
      </c>
      <c r="AE131" s="7" t="s">
        <v>137</v>
      </c>
      <c r="AF131" s="7" t="s">
        <v>1634</v>
      </c>
      <c r="AG131" s="7" t="s">
        <v>123</v>
      </c>
    </row>
    <row r="132" spans="1:33" x14ac:dyDescent="0.25">
      <c r="T132" s="7" t="str">
        <f ca="1"/>
        <v>Z9</v>
      </c>
      <c r="U132" s="7" t="str">
        <f ca="1"/>
        <v>0x90C0</v>
      </c>
      <c r="V132" s="7" t="str">
        <f ca="1"/>
        <v>InitiateCaptureRecInSdram</v>
      </c>
      <c r="X132" s="8" t="s">
        <v>134</v>
      </c>
      <c r="Y132" s="8" t="s">
        <v>132</v>
      </c>
      <c r="Z132" s="8" t="s">
        <v>138</v>
      </c>
      <c r="AA132" s="8" t="s">
        <v>138</v>
      </c>
      <c r="AB132" s="7" t="s">
        <v>220</v>
      </c>
      <c r="AC132" s="7" t="s">
        <v>140</v>
      </c>
      <c r="AD132" s="7" t="s">
        <v>140</v>
      </c>
      <c r="AE132" s="7" t="s">
        <v>138</v>
      </c>
      <c r="AF132" s="7" t="s">
        <v>1635</v>
      </c>
      <c r="AG132" s="7" t="s">
        <v>124</v>
      </c>
    </row>
    <row r="133" spans="1:33" x14ac:dyDescent="0.25">
      <c r="T133" s="7" t="str">
        <f ca="1"/>
        <v>Z9</v>
      </c>
      <c r="U133" s="7" t="str">
        <f ca="1"/>
        <v>0x90C1</v>
      </c>
      <c r="V133" s="7" t="str">
        <f ca="1"/>
        <v>AfDrive</v>
      </c>
      <c r="X133" s="8" t="s">
        <v>135</v>
      </c>
      <c r="Y133" s="8" t="s">
        <v>133</v>
      </c>
      <c r="Z133" s="8" t="s">
        <v>139</v>
      </c>
      <c r="AA133" s="8" t="s">
        <v>139</v>
      </c>
      <c r="AB133" s="7" t="s">
        <v>221</v>
      </c>
      <c r="AC133" s="7" t="s">
        <v>141</v>
      </c>
      <c r="AD133" s="7" t="s">
        <v>141</v>
      </c>
      <c r="AE133" s="7" t="s">
        <v>139</v>
      </c>
      <c r="AF133" s="7" t="s">
        <v>131</v>
      </c>
      <c r="AG133" s="7" t="s">
        <v>125</v>
      </c>
    </row>
    <row r="134" spans="1:33" x14ac:dyDescent="0.25">
      <c r="T134" s="7" t="str">
        <f ca="1"/>
        <v>Z9</v>
      </c>
      <c r="U134" s="7" t="str">
        <f ca="1"/>
        <v>0x90C2</v>
      </c>
      <c r="V134" s="7" t="str">
        <f ca="1"/>
        <v>ChangeCameraMode</v>
      </c>
      <c r="X134" s="8" t="s">
        <v>136</v>
      </c>
      <c r="Y134" s="8" t="s">
        <v>134</v>
      </c>
      <c r="Z134" s="8" t="s">
        <v>140</v>
      </c>
      <c r="AA134" s="8" t="s">
        <v>140</v>
      </c>
      <c r="AB134" s="7" t="s">
        <v>222</v>
      </c>
      <c r="AC134" s="7" t="s">
        <v>142</v>
      </c>
      <c r="AD134" s="7" t="s">
        <v>142</v>
      </c>
      <c r="AE134" s="7" t="s">
        <v>140</v>
      </c>
      <c r="AF134" s="7" t="s">
        <v>132</v>
      </c>
      <c r="AG134" s="7" t="s">
        <v>126</v>
      </c>
    </row>
    <row r="135" spans="1:33" x14ac:dyDescent="0.25">
      <c r="T135" s="7" t="str">
        <f ca="1"/>
        <v>Z9</v>
      </c>
      <c r="U135" s="7" t="str">
        <f ca="1"/>
        <v>0x90C3</v>
      </c>
      <c r="V135" s="7" t="str">
        <f ca="1"/>
        <v>DeleteImagesInSdram</v>
      </c>
      <c r="X135" s="8" t="s">
        <v>137</v>
      </c>
      <c r="Y135" s="8" t="s">
        <v>135</v>
      </c>
      <c r="Z135" s="8" t="s">
        <v>141</v>
      </c>
      <c r="AA135" s="8" t="s">
        <v>141</v>
      </c>
      <c r="AC135" s="7" t="s">
        <v>143</v>
      </c>
      <c r="AD135" s="7" t="s">
        <v>143</v>
      </c>
      <c r="AE135" s="7" t="s">
        <v>141</v>
      </c>
      <c r="AF135" s="7" t="s">
        <v>133</v>
      </c>
      <c r="AG135" s="7" t="s">
        <v>127</v>
      </c>
    </row>
    <row r="136" spans="1:33" x14ac:dyDescent="0.25">
      <c r="T136" s="7" t="str">
        <f ca="1"/>
        <v>Z9</v>
      </c>
      <c r="U136" s="7" t="str">
        <f ca="1"/>
        <v>0x90C4</v>
      </c>
      <c r="V136" s="7" t="str">
        <f ca="1"/>
        <v>GetLargeThumb</v>
      </c>
      <c r="X136" s="8" t="s">
        <v>138</v>
      </c>
      <c r="Y136" s="8" t="s">
        <v>136</v>
      </c>
      <c r="Z136" s="8" t="s">
        <v>142</v>
      </c>
      <c r="AA136" s="8" t="s">
        <v>142</v>
      </c>
      <c r="AC136" s="7" t="s">
        <v>144</v>
      </c>
      <c r="AD136" s="7" t="s">
        <v>144</v>
      </c>
      <c r="AE136" s="7" t="s">
        <v>142</v>
      </c>
      <c r="AF136" s="7" t="s">
        <v>134</v>
      </c>
      <c r="AG136" s="7" t="s">
        <v>128</v>
      </c>
    </row>
    <row r="137" spans="1:33" x14ac:dyDescent="0.25">
      <c r="T137" s="7" t="str">
        <f ca="1"/>
        <v>Z9</v>
      </c>
      <c r="U137" s="7" t="str">
        <f ca="1"/>
        <v>0x90C7</v>
      </c>
      <c r="V137" s="7" t="str">
        <f ca="1"/>
        <v>GetEvent</v>
      </c>
      <c r="X137" s="8" t="s">
        <v>139</v>
      </c>
      <c r="Y137" s="8" t="s">
        <v>137</v>
      </c>
      <c r="Z137" s="8" t="s">
        <v>143</v>
      </c>
      <c r="AA137" s="8" t="s">
        <v>143</v>
      </c>
      <c r="AC137" s="7" t="s">
        <v>145</v>
      </c>
      <c r="AD137" s="7" t="s">
        <v>145</v>
      </c>
      <c r="AE137" s="7" t="s">
        <v>143</v>
      </c>
      <c r="AF137" s="7" t="s">
        <v>135</v>
      </c>
      <c r="AG137" s="7" t="s">
        <v>129</v>
      </c>
    </row>
    <row r="138" spans="1:33" x14ac:dyDescent="0.25">
      <c r="T138" s="7" t="str">
        <f ca="1"/>
        <v>Z9</v>
      </c>
      <c r="U138" s="7" t="str">
        <f ca="1"/>
        <v>0x90C8</v>
      </c>
      <c r="V138" s="7" t="str">
        <f ca="1"/>
        <v>DeviceReady</v>
      </c>
      <c r="X138" s="8" t="s">
        <v>140</v>
      </c>
      <c r="Y138" s="8" t="s">
        <v>138</v>
      </c>
      <c r="Z138" s="8" t="s">
        <v>144</v>
      </c>
      <c r="AA138" s="8" t="s">
        <v>144</v>
      </c>
      <c r="AC138" s="7" t="s">
        <v>146</v>
      </c>
      <c r="AD138" s="7" t="s">
        <v>146</v>
      </c>
      <c r="AE138" s="7" t="s">
        <v>144</v>
      </c>
      <c r="AF138" s="7" t="s">
        <v>136</v>
      </c>
      <c r="AG138" s="7" t="s">
        <v>130</v>
      </c>
    </row>
    <row r="139" spans="1:33" x14ac:dyDescent="0.25">
      <c r="T139" s="7" t="str">
        <f ca="1"/>
        <v>Z9</v>
      </c>
      <c r="U139" s="7" t="str">
        <f ca="1"/>
        <v>0x90C9</v>
      </c>
      <c r="V139" s="7" t="str">
        <f ca="1"/>
        <v>SetPreWbData</v>
      </c>
      <c r="X139" s="8" t="s">
        <v>141</v>
      </c>
      <c r="Y139" s="8" t="s">
        <v>139</v>
      </c>
      <c r="Z139" s="8" t="s">
        <v>145</v>
      </c>
      <c r="AA139" s="8" t="s">
        <v>145</v>
      </c>
      <c r="AC139" s="7" t="s">
        <v>151</v>
      </c>
      <c r="AD139" s="7" t="s">
        <v>151</v>
      </c>
      <c r="AE139" s="7" t="s">
        <v>145</v>
      </c>
      <c r="AF139" s="7" t="s">
        <v>137</v>
      </c>
      <c r="AG139" s="7" t="s">
        <v>1634</v>
      </c>
    </row>
    <row r="140" spans="1:33" x14ac:dyDescent="0.25">
      <c r="T140" s="7" t="str">
        <f ca="1"/>
        <v>Z9</v>
      </c>
      <c r="U140" s="7" t="str">
        <f ca="1"/>
        <v>0x90CB</v>
      </c>
      <c r="V140" s="7" t="str">
        <f ca="1"/>
        <v>AfAndCaptureRecInSdram</v>
      </c>
      <c r="X140" s="8" t="s">
        <v>142</v>
      </c>
      <c r="Y140" s="8" t="s">
        <v>140</v>
      </c>
      <c r="Z140" s="8" t="s">
        <v>146</v>
      </c>
      <c r="AA140" s="8" t="s">
        <v>146</v>
      </c>
      <c r="AC140" s="7" t="s">
        <v>152</v>
      </c>
      <c r="AD140" s="7" t="s">
        <v>152</v>
      </c>
      <c r="AE140" s="7" t="s">
        <v>146</v>
      </c>
      <c r="AF140" s="7" t="s">
        <v>138</v>
      </c>
      <c r="AG140" s="7" t="s">
        <v>1635</v>
      </c>
    </row>
    <row r="141" spans="1:33" x14ac:dyDescent="0.25">
      <c r="T141" s="7" t="str">
        <f ca="1"/>
        <v>Z9</v>
      </c>
      <c r="U141" s="7" t="str">
        <f ca="1"/>
        <v>0x90CC</v>
      </c>
      <c r="V141" s="7" t="str">
        <f ca="1"/>
        <v>GetPicCtrlData</v>
      </c>
      <c r="X141" s="8" t="s">
        <v>143</v>
      </c>
      <c r="Y141" s="8" t="s">
        <v>141</v>
      </c>
      <c r="Z141" s="8" t="s">
        <v>151</v>
      </c>
      <c r="AA141" s="8" t="s">
        <v>151</v>
      </c>
      <c r="AC141" s="7" t="s">
        <v>1191</v>
      </c>
      <c r="AD141" s="7" t="s">
        <v>1191</v>
      </c>
      <c r="AE141" s="7" t="s">
        <v>151</v>
      </c>
      <c r="AF141" s="7" t="s">
        <v>139</v>
      </c>
      <c r="AG141" s="7" t="s">
        <v>215</v>
      </c>
    </row>
    <row r="142" spans="1:33" x14ac:dyDescent="0.25">
      <c r="T142" s="7" t="str">
        <f ca="1"/>
        <v>Z9</v>
      </c>
      <c r="U142" s="7" t="str">
        <f ca="1"/>
        <v>0x90CD</v>
      </c>
      <c r="V142" s="7" t="str">
        <f ca="1"/>
        <v>SetPicCtrlData</v>
      </c>
      <c r="X142" s="8" t="s">
        <v>144</v>
      </c>
      <c r="Y142" s="8" t="s">
        <v>142</v>
      </c>
      <c r="Z142" s="8" t="s">
        <v>152</v>
      </c>
      <c r="AA142" s="8" t="s">
        <v>152</v>
      </c>
      <c r="AC142" s="7" t="s">
        <v>1192</v>
      </c>
      <c r="AD142" s="7" t="s">
        <v>1192</v>
      </c>
      <c r="AE142" s="7" t="s">
        <v>152</v>
      </c>
      <c r="AF142" s="7" t="s">
        <v>140</v>
      </c>
      <c r="AG142" s="7" t="s">
        <v>216</v>
      </c>
    </row>
    <row r="143" spans="1:33" x14ac:dyDescent="0.25">
      <c r="T143" s="7" t="str">
        <f ca="1"/>
        <v>Z9</v>
      </c>
      <c r="U143" s="7" t="str">
        <f ca="1"/>
        <v>0x90CE</v>
      </c>
      <c r="V143" s="7" t="str">
        <f ca="1"/>
        <v>DeleteCustomPicCtrl</v>
      </c>
      <c r="X143" s="8" t="s">
        <v>145</v>
      </c>
      <c r="Y143" s="8" t="s">
        <v>143</v>
      </c>
      <c r="Z143" s="8" t="s">
        <v>1191</v>
      </c>
      <c r="AA143" s="8" t="s">
        <v>1191</v>
      </c>
      <c r="AC143" s="7" t="s">
        <v>215</v>
      </c>
      <c r="AD143" s="7" t="s">
        <v>215</v>
      </c>
      <c r="AE143" s="7" t="s">
        <v>1191</v>
      </c>
      <c r="AF143" s="7" t="s">
        <v>141</v>
      </c>
      <c r="AG143" s="7" t="s">
        <v>217</v>
      </c>
    </row>
    <row r="144" spans="1:33" x14ac:dyDescent="0.25">
      <c r="T144" s="7" t="str">
        <f ca="1"/>
        <v>Z9</v>
      </c>
      <c r="U144" s="7" t="str">
        <f ca="1"/>
        <v>0x90CF</v>
      </c>
      <c r="V144" s="7" t="str">
        <f ca="1"/>
        <v>GetPicCtrlCapability</v>
      </c>
      <c r="X144" s="8" t="s">
        <v>146</v>
      </c>
      <c r="Y144" s="8" t="s">
        <v>144</v>
      </c>
      <c r="Z144" s="8" t="s">
        <v>1192</v>
      </c>
      <c r="AA144" s="8" t="s">
        <v>1192</v>
      </c>
      <c r="AC144" s="7" t="s">
        <v>216</v>
      </c>
      <c r="AD144" s="7" t="s">
        <v>216</v>
      </c>
      <c r="AE144" s="7" t="s">
        <v>1192</v>
      </c>
      <c r="AF144" s="7" t="s">
        <v>142</v>
      </c>
      <c r="AG144" s="7" t="s">
        <v>218</v>
      </c>
    </row>
    <row r="145" spans="20:33" x14ac:dyDescent="0.25">
      <c r="T145" s="7" t="str">
        <f ca="1"/>
        <v>Z9</v>
      </c>
      <c r="U145" s="7" t="str">
        <f ca="1"/>
        <v>0x9201</v>
      </c>
      <c r="V145" s="7" t="str">
        <f ca="1"/>
        <v>StartLiveView</v>
      </c>
      <c r="X145" s="8" t="s">
        <v>147</v>
      </c>
      <c r="Y145" s="8" t="s">
        <v>145</v>
      </c>
      <c r="Z145" s="8" t="s">
        <v>153</v>
      </c>
      <c r="AA145" s="8" t="s">
        <v>153</v>
      </c>
      <c r="AC145" s="7" t="s">
        <v>217</v>
      </c>
      <c r="AD145" s="7" t="s">
        <v>217</v>
      </c>
      <c r="AE145" s="7" t="s">
        <v>153</v>
      </c>
      <c r="AF145" s="7" t="s">
        <v>143</v>
      </c>
      <c r="AG145" s="7" t="s">
        <v>219</v>
      </c>
    </row>
    <row r="146" spans="20:33" x14ac:dyDescent="0.25">
      <c r="T146" s="7" t="str">
        <f ca="1"/>
        <v>Z9</v>
      </c>
      <c r="U146" s="7" t="str">
        <f ca="1"/>
        <v>0x9202</v>
      </c>
      <c r="V146" s="7" t="str">
        <f ca="1"/>
        <v>EndLiveView</v>
      </c>
      <c r="X146" s="8" t="s">
        <v>148</v>
      </c>
      <c r="Y146" s="8" t="s">
        <v>146</v>
      </c>
      <c r="Z146" s="8" t="s">
        <v>154</v>
      </c>
      <c r="AA146" s="8" t="s">
        <v>154</v>
      </c>
      <c r="AC146" s="7" t="s">
        <v>218</v>
      </c>
      <c r="AD146" s="7" t="s">
        <v>218</v>
      </c>
      <c r="AE146" s="7" t="s">
        <v>154</v>
      </c>
      <c r="AF146" s="7" t="s">
        <v>144</v>
      </c>
      <c r="AG146" s="7" t="s">
        <v>220</v>
      </c>
    </row>
    <row r="147" spans="20:33" x14ac:dyDescent="0.25">
      <c r="T147" s="7" t="str">
        <f ca="1"/>
        <v>Z9</v>
      </c>
      <c r="U147" s="7" t="str">
        <f ca="1"/>
        <v>0x9203</v>
      </c>
      <c r="V147" s="7" t="str">
        <f ca="1"/>
        <v>GetLiveViewImage</v>
      </c>
      <c r="X147" s="8" t="s">
        <v>149</v>
      </c>
      <c r="Y147" s="8" t="s">
        <v>147</v>
      </c>
      <c r="Z147" s="8" t="s">
        <v>155</v>
      </c>
      <c r="AA147" s="8" t="s">
        <v>155</v>
      </c>
      <c r="AC147" s="7" t="s">
        <v>219</v>
      </c>
      <c r="AD147" s="7" t="s">
        <v>219</v>
      </c>
      <c r="AE147" s="7" t="s">
        <v>155</v>
      </c>
      <c r="AF147" s="7" t="s">
        <v>145</v>
      </c>
      <c r="AG147" s="7" t="s">
        <v>221</v>
      </c>
    </row>
    <row r="148" spans="20:33" x14ac:dyDescent="0.25">
      <c r="T148" s="7" t="str">
        <f ca="1"/>
        <v>Z9</v>
      </c>
      <c r="U148" s="7" t="str">
        <f ca="1"/>
        <v>0x9204</v>
      </c>
      <c r="V148" s="7" t="str">
        <f ca="1"/>
        <v>MfDrive</v>
      </c>
      <c r="X148" s="8" t="s">
        <v>150</v>
      </c>
      <c r="Y148" s="8" t="s">
        <v>148</v>
      </c>
      <c r="Z148" s="8" t="s">
        <v>156</v>
      </c>
      <c r="AA148" s="8" t="s">
        <v>156</v>
      </c>
      <c r="AC148" s="7" t="s">
        <v>220</v>
      </c>
      <c r="AD148" s="7" t="s">
        <v>220</v>
      </c>
      <c r="AE148" s="7" t="s">
        <v>156</v>
      </c>
      <c r="AF148" s="7" t="s">
        <v>146</v>
      </c>
      <c r="AG148" s="7" t="s">
        <v>222</v>
      </c>
    </row>
    <row r="149" spans="20:33" x14ac:dyDescent="0.25">
      <c r="T149" s="7" t="str">
        <f ca="1"/>
        <v>Z9</v>
      </c>
      <c r="U149" s="7" t="str">
        <f ca="1"/>
        <v>0x9205</v>
      </c>
      <c r="V149" s="7" t="str">
        <f ca="1"/>
        <v>ChangeAfArea</v>
      </c>
      <c r="X149" s="8" t="s">
        <v>151</v>
      </c>
      <c r="Y149" s="8" t="s">
        <v>149</v>
      </c>
      <c r="Z149" s="8" t="s">
        <v>157</v>
      </c>
      <c r="AA149" s="8" t="s">
        <v>157</v>
      </c>
      <c r="AC149" s="7" t="s">
        <v>221</v>
      </c>
      <c r="AD149" s="7" t="s">
        <v>221</v>
      </c>
      <c r="AE149" s="7" t="s">
        <v>215</v>
      </c>
      <c r="AF149" s="7" t="s">
        <v>151</v>
      </c>
    </row>
    <row r="150" spans="20:33" x14ac:dyDescent="0.25">
      <c r="T150" s="7" t="str">
        <f ca="1"/>
        <v>Z9</v>
      </c>
      <c r="U150" s="7" t="str">
        <f ca="1"/>
        <v>0x9206</v>
      </c>
      <c r="V150" s="7" t="str">
        <f ca="1"/>
        <v>AfDriveCancel</v>
      </c>
      <c r="X150" s="8" t="s">
        <v>152</v>
      </c>
      <c r="Y150" s="8" t="s">
        <v>150</v>
      </c>
      <c r="Z150" s="8" t="s">
        <v>158</v>
      </c>
      <c r="AA150" s="8" t="s">
        <v>158</v>
      </c>
      <c r="AC150" s="7" t="s">
        <v>222</v>
      </c>
      <c r="AD150" s="7" t="s">
        <v>222</v>
      </c>
      <c r="AE150" s="7" t="s">
        <v>216</v>
      </c>
      <c r="AF150" s="7" t="s">
        <v>152</v>
      </c>
    </row>
    <row r="151" spans="20:33" x14ac:dyDescent="0.25">
      <c r="T151" s="7" t="str">
        <f ca="1"/>
        <v>Z9</v>
      </c>
      <c r="U151" s="7" t="str">
        <f ca="1"/>
        <v>0x9207</v>
      </c>
      <c r="V151" s="7" t="str">
        <f ca="1"/>
        <v>InitiateCaptureRecInMedia</v>
      </c>
      <c r="X151" s="8" t="s">
        <v>153</v>
      </c>
      <c r="Y151" s="8" t="s">
        <v>151</v>
      </c>
      <c r="Z151" s="8" t="s">
        <v>159</v>
      </c>
      <c r="AA151" s="8" t="s">
        <v>159</v>
      </c>
      <c r="AE151" s="7" t="s">
        <v>217</v>
      </c>
      <c r="AF151" s="7" t="s">
        <v>1191</v>
      </c>
    </row>
    <row r="152" spans="20:33" x14ac:dyDescent="0.25">
      <c r="T152" s="7" t="str">
        <f ca="1"/>
        <v>Z9</v>
      </c>
      <c r="U152" s="7" t="str">
        <f ca="1"/>
        <v>0x9209</v>
      </c>
      <c r="V152" s="7" t="str">
        <f ca="1"/>
        <v>GetVendorStorageIDs</v>
      </c>
      <c r="X152" s="8" t="s">
        <v>154</v>
      </c>
      <c r="Y152" s="8" t="s">
        <v>152</v>
      </c>
      <c r="Z152" s="8" t="s">
        <v>160</v>
      </c>
      <c r="AA152" s="8" t="s">
        <v>160</v>
      </c>
      <c r="AE152" s="7" t="s">
        <v>218</v>
      </c>
      <c r="AF152" s="7" t="s">
        <v>1192</v>
      </c>
    </row>
    <row r="153" spans="20:33" x14ac:dyDescent="0.25">
      <c r="T153" s="7" t="str">
        <f ca="1"/>
        <v>Z9</v>
      </c>
      <c r="U153" s="7" t="str">
        <f ca="1"/>
        <v>0x920A</v>
      </c>
      <c r="V153" s="7" t="str">
        <f ca="1"/>
        <v>StartMovieRecord</v>
      </c>
      <c r="X153" s="8" t="s">
        <v>155</v>
      </c>
      <c r="Y153" s="8" t="s">
        <v>153</v>
      </c>
      <c r="Z153" s="8" t="s">
        <v>215</v>
      </c>
      <c r="AA153" s="8" t="s">
        <v>215</v>
      </c>
      <c r="AE153" s="7" t="s">
        <v>219</v>
      </c>
      <c r="AF153" s="7" t="s">
        <v>153</v>
      </c>
    </row>
    <row r="154" spans="20:33" x14ac:dyDescent="0.25">
      <c r="T154" s="7" t="str">
        <f ca="1"/>
        <v>Z9</v>
      </c>
      <c r="U154" s="7" t="str">
        <f ca="1"/>
        <v>0x920B</v>
      </c>
      <c r="V154" s="7" t="str">
        <f ca="1"/>
        <v>EndMovieRecord</v>
      </c>
      <c r="X154" s="8" t="s">
        <v>156</v>
      </c>
      <c r="Y154" s="8" t="s">
        <v>154</v>
      </c>
      <c r="Z154" s="8" t="s">
        <v>216</v>
      </c>
      <c r="AA154" s="8" t="s">
        <v>216</v>
      </c>
      <c r="AE154" s="7" t="s">
        <v>220</v>
      </c>
      <c r="AF154" s="7" t="s">
        <v>154</v>
      </c>
    </row>
    <row r="155" spans="20:33" x14ac:dyDescent="0.25">
      <c r="T155" s="7" t="str">
        <f ca="1"/>
        <v>Z9</v>
      </c>
      <c r="U155" s="7" t="str">
        <f ca="1"/>
        <v>0x920C</v>
      </c>
      <c r="V155" s="7" t="str">
        <f ca="1"/>
        <v>TerminateCapture</v>
      </c>
      <c r="X155" s="8" t="s">
        <v>157</v>
      </c>
      <c r="Y155" s="8" t="s">
        <v>155</v>
      </c>
      <c r="Z155" s="8" t="s">
        <v>217</v>
      </c>
      <c r="AA155" s="8" t="s">
        <v>217</v>
      </c>
      <c r="AE155" s="7" t="s">
        <v>221</v>
      </c>
      <c r="AF155" s="7" t="s">
        <v>155</v>
      </c>
    </row>
    <row r="156" spans="20:33" x14ac:dyDescent="0.25">
      <c r="T156" s="7" t="str">
        <f ca="1"/>
        <v>Z9</v>
      </c>
      <c r="U156" s="7" t="str">
        <f ca="1"/>
        <v>0x920F</v>
      </c>
      <c r="V156" s="7" t="str">
        <f ca="1"/>
        <v>GetFhdPicture</v>
      </c>
      <c r="X156" s="8" t="s">
        <v>158</v>
      </c>
      <c r="Y156" s="8" t="s">
        <v>156</v>
      </c>
      <c r="Z156" s="8" t="s">
        <v>218</v>
      </c>
      <c r="AA156" s="8" t="s">
        <v>218</v>
      </c>
      <c r="AE156" s="7" t="s">
        <v>222</v>
      </c>
      <c r="AF156" s="7" t="s">
        <v>156</v>
      </c>
    </row>
    <row r="157" spans="20:33" x14ac:dyDescent="0.25">
      <c r="T157" s="7" t="str">
        <f ca="1"/>
        <v>Z9</v>
      </c>
      <c r="U157" s="7" t="str">
        <f ca="1"/>
        <v>0x9400</v>
      </c>
      <c r="V157" s="7" t="str">
        <f ca="1"/>
        <v>GetPartialObjectHighSpeed</v>
      </c>
      <c r="X157" s="8" t="s">
        <v>159</v>
      </c>
      <c r="Y157" s="8" t="s">
        <v>157</v>
      </c>
      <c r="Z157" s="8" t="s">
        <v>219</v>
      </c>
      <c r="AA157" s="8" t="s">
        <v>219</v>
      </c>
      <c r="AF157" s="7" t="s">
        <v>157</v>
      </c>
    </row>
    <row r="158" spans="20:33" x14ac:dyDescent="0.25">
      <c r="T158" s="7" t="str">
        <f ca="1"/>
        <v>Z9</v>
      </c>
      <c r="U158" s="7" t="str">
        <f ca="1"/>
        <v>0x9401</v>
      </c>
      <c r="V158" s="7" t="str">
        <f ca="1"/>
        <v>GetIPTCInfo</v>
      </c>
      <c r="X158" s="8" t="s">
        <v>160</v>
      </c>
      <c r="Y158" s="8" t="s">
        <v>158</v>
      </c>
      <c r="Z158" s="8" t="s">
        <v>220</v>
      </c>
      <c r="AA158" s="8" t="s">
        <v>220</v>
      </c>
      <c r="AF158" s="7" t="s">
        <v>158</v>
      </c>
    </row>
    <row r="159" spans="20:33" x14ac:dyDescent="0.25">
      <c r="T159" s="7" t="str">
        <f ca="1"/>
        <v>Z9</v>
      </c>
      <c r="U159" s="7" t="str">
        <f ca="1"/>
        <v>0x9402</v>
      </c>
      <c r="V159" s="7" t="str">
        <f ca="1"/>
        <v>StartSpotWb</v>
      </c>
      <c r="X159" s="8" t="s">
        <v>161</v>
      </c>
      <c r="Y159" s="8" t="s">
        <v>159</v>
      </c>
      <c r="Z159" s="8" t="s">
        <v>221</v>
      </c>
      <c r="AA159" s="8" t="s">
        <v>221</v>
      </c>
      <c r="AF159" s="7" t="s">
        <v>159</v>
      </c>
    </row>
    <row r="160" spans="20:33" x14ac:dyDescent="0.25">
      <c r="T160" s="7" t="str">
        <f ca="1"/>
        <v>Z9</v>
      </c>
      <c r="U160" s="7" t="str">
        <f ca="1"/>
        <v>0x9403</v>
      </c>
      <c r="V160" s="7" t="str">
        <f ca="1"/>
        <v>EndSpotWb</v>
      </c>
      <c r="X160" s="8" t="s">
        <v>162</v>
      </c>
      <c r="Y160" s="8" t="s">
        <v>160</v>
      </c>
      <c r="Z160" s="8" t="s">
        <v>222</v>
      </c>
      <c r="AA160" s="8" t="s">
        <v>222</v>
      </c>
      <c r="AF160" s="7" t="s">
        <v>160</v>
      </c>
    </row>
    <row r="161" spans="20:32" x14ac:dyDescent="0.25">
      <c r="T161" s="7" t="str">
        <f ca="1"/>
        <v>Z9</v>
      </c>
      <c r="U161" s="7" t="str">
        <f ca="1"/>
        <v>0x9404</v>
      </c>
      <c r="V161" s="7" t="str">
        <f ca="1"/>
        <v>ChangeSpotWbArea</v>
      </c>
      <c r="X161" s="8" t="s">
        <v>163</v>
      </c>
      <c r="Y161" s="8" t="s">
        <v>161</v>
      </c>
      <c r="AF161" s="7" t="s">
        <v>215</v>
      </c>
    </row>
    <row r="162" spans="20:32" x14ac:dyDescent="0.25">
      <c r="T162" s="7" t="str">
        <f ca="1"/>
        <v>Z9</v>
      </c>
      <c r="U162" s="7" t="str">
        <f ca="1"/>
        <v>0x9405</v>
      </c>
      <c r="V162" s="7" t="str">
        <f ca="1"/>
        <v>MeasureSpotWb</v>
      </c>
      <c r="X162" s="8" t="s">
        <v>164</v>
      </c>
      <c r="Y162" s="8" t="s">
        <v>162</v>
      </c>
      <c r="AF162" s="7" t="s">
        <v>216</v>
      </c>
    </row>
    <row r="163" spans="20:32" x14ac:dyDescent="0.25">
      <c r="T163" s="7" t="str">
        <f ca="1"/>
        <v>Z9</v>
      </c>
      <c r="U163" s="7" t="str">
        <f ca="1"/>
        <v>0x9406</v>
      </c>
      <c r="V163" s="7" t="str">
        <f ca="1"/>
        <v>EndSpotWbResultDisp</v>
      </c>
      <c r="X163" s="8" t="s">
        <v>165</v>
      </c>
      <c r="Y163" s="8" t="s">
        <v>163</v>
      </c>
      <c r="AF163" s="7" t="s">
        <v>217</v>
      </c>
    </row>
    <row r="164" spans="20:32" x14ac:dyDescent="0.25">
      <c r="T164" s="7" t="str">
        <f ca="1"/>
        <v>Z9</v>
      </c>
      <c r="U164" s="7" t="str">
        <f ca="1"/>
        <v>0x940C</v>
      </c>
      <c r="V164" s="7" t="str">
        <f ca="1"/>
        <v>CancelImagesInSdram</v>
      </c>
      <c r="X164" s="8" t="s">
        <v>166</v>
      </c>
      <c r="Y164" s="8" t="s">
        <v>164</v>
      </c>
      <c r="AF164" s="7" t="s">
        <v>218</v>
      </c>
    </row>
    <row r="165" spans="20:32" x14ac:dyDescent="0.25">
      <c r="T165" s="7" t="str">
        <f ca="1"/>
        <v>Z9</v>
      </c>
      <c r="U165" s="7" t="str">
        <f ca="1"/>
        <v>0x9412</v>
      </c>
      <c r="V165" s="7" t="str">
        <f ca="1"/>
        <v>GetIPTCPresetInfo</v>
      </c>
      <c r="X165" s="8" t="s">
        <v>167</v>
      </c>
      <c r="Y165" s="8" t="s">
        <v>165</v>
      </c>
      <c r="AF165" s="7" t="s">
        <v>219</v>
      </c>
    </row>
    <row r="166" spans="20:32" x14ac:dyDescent="0.25">
      <c r="T166" s="7" t="str">
        <f ca="1"/>
        <v>Z9</v>
      </c>
      <c r="U166" s="7" t="str">
        <f ca="1"/>
        <v>0x9413</v>
      </c>
      <c r="V166" s="7" t="str">
        <f ca="1"/>
        <v>SetIPTCPresetInfo</v>
      </c>
      <c r="X166" s="8" t="s">
        <v>168</v>
      </c>
      <c r="Y166" s="8" t="s">
        <v>166</v>
      </c>
      <c r="AF166" s="7" t="s">
        <v>220</v>
      </c>
    </row>
    <row r="167" spans="20:32" x14ac:dyDescent="0.25">
      <c r="T167" s="7" t="str">
        <f ca="1"/>
        <v>Z9</v>
      </c>
      <c r="U167" s="7" t="str">
        <f ca="1"/>
        <v>0x9414</v>
      </c>
      <c r="V167" s="7" t="str">
        <f ca="1"/>
        <v>GetSBHandles</v>
      </c>
      <c r="X167" s="8" t="s">
        <v>169</v>
      </c>
      <c r="Y167" s="8" t="s">
        <v>167</v>
      </c>
      <c r="AF167" s="7" t="s">
        <v>221</v>
      </c>
    </row>
    <row r="168" spans="20:32" x14ac:dyDescent="0.25">
      <c r="T168" s="7" t="str">
        <f ca="1"/>
        <v>Z9</v>
      </c>
      <c r="U168" s="7" t="str">
        <f ca="1"/>
        <v>0x9415</v>
      </c>
      <c r="V168" s="7" t="str">
        <f ca="1"/>
        <v>GetSBAttrDesc</v>
      </c>
      <c r="X168" s="8" t="s">
        <v>170</v>
      </c>
      <c r="Y168" s="8" t="s">
        <v>168</v>
      </c>
      <c r="AF168" s="7" t="s">
        <v>222</v>
      </c>
    </row>
    <row r="169" spans="20:32" x14ac:dyDescent="0.25">
      <c r="T169" s="7" t="str">
        <f ca="1"/>
        <v>Z9</v>
      </c>
      <c r="U169" s="7" t="str">
        <f ca="1"/>
        <v>0x9416</v>
      </c>
      <c r="V169" s="7" t="str">
        <f ca="1"/>
        <v>GetSBAttrValue</v>
      </c>
      <c r="X169" s="8" t="s">
        <v>171</v>
      </c>
      <c r="Y169" s="8" t="s">
        <v>169</v>
      </c>
    </row>
    <row r="170" spans="20:32" x14ac:dyDescent="0.25">
      <c r="T170" s="7" t="str">
        <f ca="1"/>
        <v>Z9</v>
      </c>
      <c r="U170" s="7" t="str">
        <f ca="1"/>
        <v>0x9417</v>
      </c>
      <c r="V170" s="7" t="str">
        <f ca="1"/>
        <v>SetSBAttrValue</v>
      </c>
      <c r="X170" s="8" t="s">
        <v>172</v>
      </c>
      <c r="Y170" s="8" t="s">
        <v>170</v>
      </c>
    </row>
    <row r="171" spans="20:32" x14ac:dyDescent="0.25">
      <c r="T171" s="7" t="str">
        <f ca="1"/>
        <v>Z9</v>
      </c>
      <c r="U171" s="7" t="str">
        <f ca="1"/>
        <v>0x9418</v>
      </c>
      <c r="V171" s="7" t="str">
        <f ca="1"/>
        <v>GetSBGroupAttrDesc</v>
      </c>
      <c r="X171" s="8" t="s">
        <v>173</v>
      </c>
      <c r="Y171" s="8" t="s">
        <v>171</v>
      </c>
    </row>
    <row r="172" spans="20:32" x14ac:dyDescent="0.25">
      <c r="T172" s="7" t="str">
        <f ca="1"/>
        <v>Z9</v>
      </c>
      <c r="U172" s="7" t="str">
        <f ca="1"/>
        <v>0x9419</v>
      </c>
      <c r="V172" s="7" t="str">
        <f ca="1"/>
        <v>GetSBGroupAttrValue</v>
      </c>
      <c r="X172" s="8" t="s">
        <v>174</v>
      </c>
      <c r="Y172" s="8" t="s">
        <v>172</v>
      </c>
    </row>
    <row r="173" spans="20:32" x14ac:dyDescent="0.25">
      <c r="T173" s="7" t="str">
        <f ca="1"/>
        <v>Z9</v>
      </c>
      <c r="U173" s="7" t="str">
        <f ca="1"/>
        <v>0x941A</v>
      </c>
      <c r="V173" s="7" t="str">
        <f ca="1"/>
        <v>SetSBGroupAttrValue</v>
      </c>
      <c r="X173" s="8" t="s">
        <v>175</v>
      </c>
      <c r="Y173" s="8" t="s">
        <v>173</v>
      </c>
    </row>
    <row r="174" spans="20:32" x14ac:dyDescent="0.25">
      <c r="T174" s="7" t="str">
        <f ca="1"/>
        <v>Z9</v>
      </c>
      <c r="U174" s="7" t="str">
        <f ca="1"/>
        <v>0x941B</v>
      </c>
      <c r="V174" s="7" t="str">
        <f ca="1"/>
        <v>TestFlash</v>
      </c>
      <c r="X174" s="8" t="s">
        <v>176</v>
      </c>
      <c r="Y174" s="8" t="s">
        <v>174</v>
      </c>
    </row>
    <row r="175" spans="20:32" x14ac:dyDescent="0.25">
      <c r="T175" s="7" t="str">
        <f ca="1"/>
        <v>Z9</v>
      </c>
      <c r="U175" s="7" t="str">
        <f ca="1"/>
        <v>0x941C</v>
      </c>
      <c r="V175" s="7" t="str">
        <f ca="1"/>
        <v>GetEventEx</v>
      </c>
      <c r="X175" s="8" t="s">
        <v>177</v>
      </c>
      <c r="Y175" s="8" t="s">
        <v>175</v>
      </c>
    </row>
    <row r="176" spans="20:32" x14ac:dyDescent="0.25">
      <c r="T176" s="7" t="str">
        <f ca="1"/>
        <v>Z9</v>
      </c>
      <c r="U176" s="7" t="str">
        <f ca="1"/>
        <v>0x9420</v>
      </c>
      <c r="V176" s="7" t="str">
        <f ca="1"/>
        <v>SaveCameraSetting</v>
      </c>
      <c r="X176" s="8" t="s">
        <v>178</v>
      </c>
      <c r="Y176" s="8" t="s">
        <v>176</v>
      </c>
    </row>
    <row r="177" spans="20:25" x14ac:dyDescent="0.25">
      <c r="T177" s="7" t="str">
        <f ca="1"/>
        <v>Z9</v>
      </c>
      <c r="U177" s="7" t="str">
        <f ca="1"/>
        <v>0x9421</v>
      </c>
      <c r="V177" s="7" t="str">
        <f ca="1"/>
        <v>GetObjectSize</v>
      </c>
      <c r="X177" s="8" t="s">
        <v>179</v>
      </c>
      <c r="Y177" s="8" t="s">
        <v>177</v>
      </c>
    </row>
    <row r="178" spans="20:25" x14ac:dyDescent="0.25">
      <c r="T178" s="7" t="str">
        <f ca="1"/>
        <v>Z9</v>
      </c>
      <c r="U178" s="7" t="str">
        <f ca="1"/>
        <v>0x9422</v>
      </c>
      <c r="V178" s="7" t="str">
        <f ca="1"/>
        <v>ChangeMonitorOff</v>
      </c>
      <c r="X178" s="8" t="s">
        <v>180</v>
      </c>
      <c r="Y178" s="8" t="s">
        <v>178</v>
      </c>
    </row>
    <row r="179" spans="20:25" x14ac:dyDescent="0.25">
      <c r="T179" s="7" t="str">
        <f ca="1"/>
        <v>Z9</v>
      </c>
      <c r="U179" s="7" t="str">
        <f ca="1"/>
        <v>0x9423</v>
      </c>
      <c r="V179" s="7" t="str">
        <f ca="1"/>
        <v>GetLiveViewCompressedSize</v>
      </c>
      <c r="X179" s="8" t="s">
        <v>181</v>
      </c>
      <c r="Y179" s="8" t="s">
        <v>179</v>
      </c>
    </row>
    <row r="180" spans="20:25" x14ac:dyDescent="0.25">
      <c r="T180" s="7" t="str">
        <f ca="1"/>
        <v>Z9</v>
      </c>
      <c r="U180" s="7" t="str">
        <f ca="1"/>
        <v>0x9424</v>
      </c>
      <c r="V180" s="7" t="str">
        <f ca="1"/>
        <v>StartTracking</v>
      </c>
      <c r="X180" s="8" t="s">
        <v>182</v>
      </c>
      <c r="Y180" s="8" t="s">
        <v>180</v>
      </c>
    </row>
    <row r="181" spans="20:25" x14ac:dyDescent="0.25">
      <c r="T181" s="7" t="str">
        <f ca="1"/>
        <v>Z9</v>
      </c>
      <c r="U181" s="7" t="str">
        <f ca="1"/>
        <v>0x9425</v>
      </c>
      <c r="V181" s="7" t="str">
        <f ca="1"/>
        <v>EndTracking</v>
      </c>
      <c r="X181" s="8" t="s">
        <v>183</v>
      </c>
      <c r="Y181" s="8" t="s">
        <v>181</v>
      </c>
    </row>
    <row r="182" spans="20:25" x14ac:dyDescent="0.25">
      <c r="T182" s="7" t="str">
        <f ca="1"/>
        <v>Z9</v>
      </c>
      <c r="U182" s="7" t="str">
        <f ca="1"/>
        <v>0x9426</v>
      </c>
      <c r="V182" s="7" t="str">
        <f ca="1"/>
        <v>ChangeAELock</v>
      </c>
      <c r="X182" s="8" t="s">
        <v>184</v>
      </c>
      <c r="Y182" s="8" t="s">
        <v>182</v>
      </c>
    </row>
    <row r="183" spans="20:25" x14ac:dyDescent="0.25">
      <c r="T183" s="7" t="str">
        <f ca="1"/>
        <v>Z9</v>
      </c>
      <c r="U183" s="7" t="str">
        <f ca="1"/>
        <v>0x9428</v>
      </c>
      <c r="V183" s="7" t="str">
        <f ca="1"/>
        <v>GetLiveViewImageEx</v>
      </c>
      <c r="X183" s="8" t="s">
        <v>185</v>
      </c>
      <c r="Y183" s="8" t="s">
        <v>183</v>
      </c>
    </row>
    <row r="184" spans="20:25" x14ac:dyDescent="0.25">
      <c r="T184" s="7" t="str">
        <f ca="1"/>
        <v>Z9</v>
      </c>
      <c r="U184" s="7" t="str">
        <f ca="1"/>
        <v>0x942E</v>
      </c>
      <c r="V184" s="7" t="str">
        <f ca="1"/>
        <v>GetHLGQualityData</v>
      </c>
      <c r="X184" s="8" t="s">
        <v>186</v>
      </c>
      <c r="Y184" s="8" t="s">
        <v>184</v>
      </c>
    </row>
    <row r="185" spans="20:25" x14ac:dyDescent="0.25">
      <c r="T185" s="7" t="str">
        <f ca="1"/>
        <v>Z9</v>
      </c>
      <c r="U185" s="7" t="str">
        <f ca="1"/>
        <v>0x942F</v>
      </c>
      <c r="V185" s="7" t="str">
        <f ca="1"/>
        <v>SetHLGQualityData</v>
      </c>
      <c r="X185" s="8" t="s">
        <v>187</v>
      </c>
      <c r="Y185" s="8" t="s">
        <v>185</v>
      </c>
    </row>
    <row r="186" spans="20:25" x14ac:dyDescent="0.25">
      <c r="T186" s="7" t="str">
        <f ca="1"/>
        <v>Z9</v>
      </c>
      <c r="U186" s="7" t="str">
        <f ca="1"/>
        <v>0x9431</v>
      </c>
      <c r="V186" s="7" t="str">
        <f ca="1"/>
        <v>GetPartialObjectEx</v>
      </c>
      <c r="X186" s="8" t="s">
        <v>188</v>
      </c>
      <c r="Y186" s="8" t="s">
        <v>186</v>
      </c>
    </row>
    <row r="187" spans="20:25" x14ac:dyDescent="0.25">
      <c r="T187" s="7" t="str">
        <f ca="1"/>
        <v>Z9</v>
      </c>
      <c r="U187" s="7" t="str">
        <f ca="1"/>
        <v>0x9433</v>
      </c>
      <c r="V187" s="7" t="str">
        <f ca="1"/>
        <v>InitiatePixelMapping</v>
      </c>
      <c r="X187" s="8" t="s">
        <v>189</v>
      </c>
      <c r="Y187" s="8" t="s">
        <v>187</v>
      </c>
    </row>
    <row r="188" spans="20:25" x14ac:dyDescent="0.25">
      <c r="T188" s="7" t="str">
        <f ca="1"/>
        <v>Z9</v>
      </c>
      <c r="U188" s="7" t="str">
        <f ca="1"/>
        <v>0x9434</v>
      </c>
      <c r="V188" s="7" t="str">
        <f ca="1"/>
        <v>GetObjectsMetaData</v>
      </c>
      <c r="X188" s="8" t="s">
        <v>190</v>
      </c>
      <c r="Y188" s="8" t="s">
        <v>188</v>
      </c>
    </row>
    <row r="189" spans="20:25" x14ac:dyDescent="0.25">
      <c r="T189" s="7" t="str">
        <f ca="1"/>
        <v>Z9</v>
      </c>
      <c r="U189" s="7" t="str">
        <f ca="1"/>
        <v>0x9435</v>
      </c>
      <c r="V189" s="7" t="str">
        <f ca="1"/>
        <v>ChangeApplicationMode</v>
      </c>
      <c r="X189" s="8" t="s">
        <v>191</v>
      </c>
      <c r="Y189" s="8" t="s">
        <v>189</v>
      </c>
    </row>
    <row r="190" spans="20:25" x14ac:dyDescent="0.25">
      <c r="T190" s="7" t="str">
        <f ca="1"/>
        <v>Z9</v>
      </c>
      <c r="U190" s="7" t="str">
        <f ca="1"/>
        <v>0x9436</v>
      </c>
      <c r="V190" s="7" t="str">
        <f ca="1"/>
        <v>ResetMenu</v>
      </c>
      <c r="X190" s="8" t="s">
        <v>192</v>
      </c>
      <c r="Y190" s="8" t="s">
        <v>190</v>
      </c>
    </row>
    <row r="191" spans="20:25" x14ac:dyDescent="0.25">
      <c r="T191" s="7" t="str">
        <f ca="1"/>
        <v>Z9</v>
      </c>
      <c r="U191" s="7" t="str">
        <f ca="1"/>
        <v>0x9439</v>
      </c>
      <c r="V191" s="7" t="str">
        <f ca="1"/>
        <v>GetVendorCodes</v>
      </c>
      <c r="X191" s="8" t="s">
        <v>193</v>
      </c>
      <c r="Y191" s="8" t="s">
        <v>191</v>
      </c>
    </row>
    <row r="192" spans="20:25" x14ac:dyDescent="0.25">
      <c r="T192" s="7" t="str">
        <f ca="1"/>
        <v>Z9</v>
      </c>
      <c r="U192" s="7" t="str">
        <f ca="1"/>
        <v>0x943A</v>
      </c>
      <c r="V192" s="7" t="str">
        <f ca="1"/>
        <v>GetDevicePropDescEx</v>
      </c>
      <c r="X192" s="8" t="s">
        <v>194</v>
      </c>
      <c r="Y192" s="8" t="s">
        <v>192</v>
      </c>
    </row>
    <row r="193" spans="20:25" x14ac:dyDescent="0.25">
      <c r="T193" s="7" t="str">
        <f ca="1"/>
        <v>Z9</v>
      </c>
      <c r="U193" s="7" t="str">
        <f ca="1"/>
        <v>0x943B</v>
      </c>
      <c r="V193" s="7" t="str">
        <f ca="1"/>
        <v>GetDevicePropValueEx</v>
      </c>
      <c r="X193" s="8" t="s">
        <v>195</v>
      </c>
      <c r="Y193" s="8" t="s">
        <v>199</v>
      </c>
    </row>
    <row r="194" spans="20:25" x14ac:dyDescent="0.25">
      <c r="T194" s="7" t="str">
        <f ca="1"/>
        <v>Z9</v>
      </c>
      <c r="U194" s="7" t="str">
        <f ca="1"/>
        <v>0x943C</v>
      </c>
      <c r="V194" s="7" t="str">
        <f ca="1"/>
        <v>SetDevicePropValueEx</v>
      </c>
      <c r="X194" s="8" t="s">
        <v>196</v>
      </c>
      <c r="Y194" s="8" t="s">
        <v>200</v>
      </c>
    </row>
    <row r="195" spans="20:25" x14ac:dyDescent="0.25">
      <c r="T195" s="7" t="str">
        <f ca="1"/>
        <v>Z9</v>
      </c>
      <c r="U195" s="7" t="str">
        <f ca="1"/>
        <v>0x943D</v>
      </c>
      <c r="V195" s="7" t="str">
        <f ca="1"/>
        <v>RegisterDevicePropGroup</v>
      </c>
      <c r="X195" s="8" t="s">
        <v>197</v>
      </c>
      <c r="Y195" s="8" t="s">
        <v>201</v>
      </c>
    </row>
    <row r="196" spans="20:25" x14ac:dyDescent="0.25">
      <c r="T196" s="7" t="str">
        <f ca="1"/>
        <v>Z9</v>
      </c>
      <c r="U196" s="7" t="str">
        <f ca="1"/>
        <v>0x943E</v>
      </c>
      <c r="V196" s="7" t="str">
        <f ca="1"/>
        <v>GetDevicePropDescList</v>
      </c>
      <c r="X196" s="8" t="s">
        <v>198</v>
      </c>
      <c r="Y196" s="8" t="s">
        <v>202</v>
      </c>
    </row>
    <row r="197" spans="20:25" x14ac:dyDescent="0.25">
      <c r="T197" s="7" t="str">
        <f ca="1"/>
        <v>Z9</v>
      </c>
      <c r="U197" s="7" t="str">
        <f ca="1"/>
        <v>0x943F</v>
      </c>
      <c r="V197" s="7" t="str">
        <f ca="1"/>
        <v>GetDevicePropValueList</v>
      </c>
      <c r="X197" s="8" t="s">
        <v>199</v>
      </c>
      <c r="Y197" s="8" t="s">
        <v>1127</v>
      </c>
    </row>
    <row r="198" spans="20:25" x14ac:dyDescent="0.25">
      <c r="T198" s="7" t="str">
        <f ca="1"/>
        <v>Z9</v>
      </c>
      <c r="U198" s="7" t="str">
        <f ca="1"/>
        <v>0x9440</v>
      </c>
      <c r="V198" s="7" t="str">
        <f ca="1"/>
        <v>OperationDataNone</v>
      </c>
      <c r="X198" s="8" t="s">
        <v>200</v>
      </c>
      <c r="Y198" s="8" t="s">
        <v>1128</v>
      </c>
    </row>
    <row r="199" spans="20:25" x14ac:dyDescent="0.25">
      <c r="T199" s="7" t="str">
        <f ca="1"/>
        <v>Z9</v>
      </c>
      <c r="U199" s="7" t="str">
        <f ca="1"/>
        <v>0x9441</v>
      </c>
      <c r="V199" s="7" t="str">
        <f ca="1"/>
        <v>OperationReceiveData</v>
      </c>
      <c r="X199" s="8" t="s">
        <v>201</v>
      </c>
      <c r="Y199" s="8" t="s">
        <v>1129</v>
      </c>
    </row>
    <row r="200" spans="20:25" x14ac:dyDescent="0.25">
      <c r="T200" s="7" t="str">
        <f ca="1"/>
        <v>Z9</v>
      </c>
      <c r="U200" s="7" t="str">
        <f ca="1"/>
        <v>0x9442</v>
      </c>
      <c r="V200" s="7" t="str">
        <f ca="1"/>
        <v>OperationSendData</v>
      </c>
      <c r="X200" s="8" t="s">
        <v>202</v>
      </c>
      <c r="Y200" s="8" t="s">
        <v>1130</v>
      </c>
    </row>
    <row r="201" spans="20:25" x14ac:dyDescent="0.25">
      <c r="T201" s="7" t="str">
        <f ca="1"/>
        <v>Z9</v>
      </c>
      <c r="U201" s="7" t="str">
        <f ca="1"/>
        <v>0x9443</v>
      </c>
      <c r="V201" s="7" t="str">
        <f ca="1"/>
        <v>GetPicCtrlDataList</v>
      </c>
      <c r="X201" s="8" t="s">
        <v>203</v>
      </c>
      <c r="Y201" s="8" t="s">
        <v>1131</v>
      </c>
    </row>
    <row r="202" spans="20:25" x14ac:dyDescent="0.25">
      <c r="T202" s="7" t="str">
        <f ca="1"/>
        <v>Z9</v>
      </c>
      <c r="U202" s="7" t="str">
        <f ca="1"/>
        <v>0x9444</v>
      </c>
      <c r="V202" s="7" t="str">
        <f ca="1"/>
        <v>GetPicCtrlCapabilityList</v>
      </c>
      <c r="X202" s="8" t="s">
        <v>204</v>
      </c>
      <c r="Y202" s="8" t="s">
        <v>1132</v>
      </c>
    </row>
    <row r="203" spans="20:25" x14ac:dyDescent="0.25">
      <c r="T203" s="7" t="str">
        <f ca="1"/>
        <v>Z9</v>
      </c>
      <c r="U203" s="7" t="str">
        <f ca="1"/>
        <v>0x9445</v>
      </c>
      <c r="V203" s="7" t="str">
        <f ca="1"/>
        <v>InitiateOpenCaptureV</v>
      </c>
      <c r="X203" s="8" t="s">
        <v>205</v>
      </c>
      <c r="Y203" s="8" t="s">
        <v>1133</v>
      </c>
    </row>
    <row r="204" spans="20:25" x14ac:dyDescent="0.25">
      <c r="T204" s="7" t="str">
        <f ca="1"/>
        <v>Z9</v>
      </c>
      <c r="U204" s="7" t="str">
        <f ca="1"/>
        <v>0x9446</v>
      </c>
      <c r="V204" s="7" t="str">
        <f ca="1"/>
        <v>TerminateOpenCaptureV</v>
      </c>
      <c r="X204" s="8" t="s">
        <v>206</v>
      </c>
      <c r="Y204" s="8" t="s">
        <v>1134</v>
      </c>
    </row>
    <row r="205" spans="20:25" x14ac:dyDescent="0.25">
      <c r="T205" s="7" t="str">
        <f ca="1"/>
        <v>Z9</v>
      </c>
      <c r="U205" s="7" t="str">
        <f ca="1"/>
        <v>0x9447</v>
      </c>
      <c r="V205" s="7" t="str">
        <f ca="1"/>
        <v>GetOpenCaptureInfo</v>
      </c>
      <c r="X205" s="8" t="s">
        <v>207</v>
      </c>
      <c r="Y205" s="8" t="s">
        <v>1135</v>
      </c>
    </row>
    <row r="206" spans="20:25" x14ac:dyDescent="0.25">
      <c r="T206" s="7" t="str">
        <f ca="1"/>
        <v>Z9</v>
      </c>
      <c r="U206" s="7" t="str">
        <f ca="1"/>
        <v>0x944C</v>
      </c>
      <c r="V206" s="7" t="str">
        <f ca="1"/>
        <v>GetCommandFeature</v>
      </c>
      <c r="X206" s="8" t="s">
        <v>208</v>
      </c>
      <c r="Y206" s="8" t="s">
        <v>1136</v>
      </c>
    </row>
    <row r="207" spans="20:25" x14ac:dyDescent="0.25">
      <c r="T207" s="7" t="str">
        <f ca="1"/>
        <v>Z9</v>
      </c>
      <c r="U207" s="7" t="str">
        <f ca="1"/>
        <v>0x9453</v>
      </c>
      <c r="V207" s="7" t="str">
        <f ca="1"/>
        <v>SetPortraitImpressionBalanceData</v>
      </c>
      <c r="X207" s="8" t="s">
        <v>209</v>
      </c>
      <c r="Y207" s="8" t="s">
        <v>203</v>
      </c>
    </row>
    <row r="208" spans="20:25" x14ac:dyDescent="0.25">
      <c r="T208" s="7" t="str">
        <f ca="1"/>
        <v>Z9</v>
      </c>
      <c r="U208" s="7" t="str">
        <f ca="1"/>
        <v>0x9454</v>
      </c>
      <c r="V208" s="7" t="str">
        <f ca="1"/>
        <v>GetPortraitImpressionBalanceDataList</v>
      </c>
      <c r="X208" s="8" t="s">
        <v>210</v>
      </c>
      <c r="Y208" s="8" t="s">
        <v>204</v>
      </c>
    </row>
    <row r="209" spans="20:25" x14ac:dyDescent="0.25">
      <c r="T209" s="7" t="str">
        <f ca="1"/>
        <v>Z9</v>
      </c>
      <c r="U209" s="7" t="str">
        <f ca="1"/>
        <v>0x945C</v>
      </c>
      <c r="V209" s="7" t="str">
        <f ca="1"/>
        <v>ChangeAutoCaptureMode</v>
      </c>
      <c r="X209" s="8" t="s">
        <v>211</v>
      </c>
      <c r="Y209" s="8" t="s">
        <v>205</v>
      </c>
    </row>
    <row r="210" spans="20:25" x14ac:dyDescent="0.25">
      <c r="T210" s="7" t="str">
        <f ca="1"/>
        <v>Z9</v>
      </c>
      <c r="U210" s="7" t="str">
        <f ca="1"/>
        <v>0x945D</v>
      </c>
      <c r="V210" s="7" t="str">
        <f ca="1"/>
        <v>MeasureAutoCaptureFocus</v>
      </c>
      <c r="X210" s="8" t="s">
        <v>212</v>
      </c>
      <c r="Y210" s="8" t="s">
        <v>206</v>
      </c>
    </row>
    <row r="211" spans="20:25" x14ac:dyDescent="0.25">
      <c r="T211" s="7" t="str">
        <f ca="1"/>
        <v>Z9</v>
      </c>
      <c r="U211" s="7" t="str">
        <f ca="1"/>
        <v>0x945E</v>
      </c>
      <c r="V211" s="7" t="str">
        <f ca="1"/>
        <v>GetCaptureAreaDrawInfo</v>
      </c>
      <c r="X211" s="8" t="s">
        <v>213</v>
      </c>
      <c r="Y211" s="8" t="s">
        <v>207</v>
      </c>
    </row>
    <row r="212" spans="20:25" x14ac:dyDescent="0.25">
      <c r="T212" s="7" t="str">
        <f ca="1"/>
        <v>Z9</v>
      </c>
      <c r="U212" s="7" t="str">
        <f ca="1"/>
        <v>0x945F</v>
      </c>
      <c r="V212" s="7" t="str">
        <f ca="1"/>
        <v>GetCaptureArea</v>
      </c>
      <c r="X212" s="8" t="s">
        <v>214</v>
      </c>
      <c r="Y212" s="8" t="s">
        <v>208</v>
      </c>
    </row>
    <row r="213" spans="20:25" x14ac:dyDescent="0.25">
      <c r="T213" s="7" t="str">
        <f ca="1"/>
        <v>Z9</v>
      </c>
      <c r="U213" s="7" t="str">
        <f ca="1"/>
        <v>0x9460</v>
      </c>
      <c r="V213" s="7" t="str">
        <f ca="1"/>
        <v>SetCaptureArea</v>
      </c>
      <c r="X213" s="8" t="s">
        <v>215</v>
      </c>
      <c r="Y213" s="8" t="s">
        <v>209</v>
      </c>
    </row>
    <row r="214" spans="20:25" x14ac:dyDescent="0.25">
      <c r="T214" s="7" t="str">
        <f ca="1"/>
        <v>Z9</v>
      </c>
      <c r="U214" s="7" t="str">
        <f ca="1"/>
        <v>0x9461</v>
      </c>
      <c r="V214" s="7" t="str">
        <f ca="1"/>
        <v>ClearEvent</v>
      </c>
      <c r="X214" s="8" t="s">
        <v>216</v>
      </c>
      <c r="Y214" s="8" t="s">
        <v>210</v>
      </c>
    </row>
    <row r="215" spans="20:25" x14ac:dyDescent="0.25">
      <c r="T215" s="7" t="str">
        <f ca="1"/>
        <v>Z9</v>
      </c>
      <c r="U215" s="7" t="str">
        <f ca="1"/>
        <v>0x9463</v>
      </c>
      <c r="V215" s="7" t="str">
        <f ca="1"/>
        <v>SetFlickerReductionShutterSpeed</v>
      </c>
      <c r="X215" s="8" t="s">
        <v>217</v>
      </c>
      <c r="Y215" s="8" t="s">
        <v>211</v>
      </c>
    </row>
    <row r="216" spans="20:25" x14ac:dyDescent="0.25">
      <c r="T216" s="7" t="str">
        <f ca="1"/>
        <v>Z9</v>
      </c>
      <c r="U216" s="7" t="str">
        <f ca="1"/>
        <v>0x9464</v>
      </c>
      <c r="V216" s="7" t="str">
        <f ca="1"/>
        <v>PowerZoomDrive</v>
      </c>
      <c r="X216" s="8" t="s">
        <v>218</v>
      </c>
      <c r="Y216" s="8" t="s">
        <v>212</v>
      </c>
    </row>
    <row r="217" spans="20:25" x14ac:dyDescent="0.25">
      <c r="T217" s="7" t="str">
        <f ca="1"/>
        <v>Z9</v>
      </c>
      <c r="U217" s="7" t="str">
        <f ca="1"/>
        <v>0x946D</v>
      </c>
      <c r="V217" s="7" t="str">
        <f ca="1"/>
        <v>GetCameraSettingData</v>
      </c>
      <c r="X217" s="8" t="s">
        <v>219</v>
      </c>
      <c r="Y217" s="8" t="s">
        <v>213</v>
      </c>
    </row>
    <row r="218" spans="20:25" x14ac:dyDescent="0.25">
      <c r="T218" s="7" t="str">
        <f ca="1"/>
        <v>Z9</v>
      </c>
      <c r="U218" s="7" t="str">
        <f ca="1"/>
        <v>0x946E</v>
      </c>
      <c r="V218" s="7" t="str">
        <f ca="1"/>
        <v>SendCameraSettingData</v>
      </c>
      <c r="X218" s="8" t="s">
        <v>220</v>
      </c>
      <c r="Y218" s="8" t="s">
        <v>214</v>
      </c>
    </row>
    <row r="219" spans="20:25" x14ac:dyDescent="0.25">
      <c r="T219" s="7" t="str">
        <f ca="1"/>
        <v>Z9</v>
      </c>
      <c r="U219" s="7" t="str">
        <f ca="1"/>
        <v>0x9470</v>
      </c>
      <c r="V219" s="7" t="str">
        <f ca="1"/>
        <v>GetManualSettingLensData2</v>
      </c>
      <c r="X219" s="8" t="s">
        <v>221</v>
      </c>
      <c r="Y219" s="8" t="s">
        <v>1137</v>
      </c>
    </row>
    <row r="220" spans="20:25" x14ac:dyDescent="0.25">
      <c r="T220" s="7" t="str">
        <f ca="1"/>
        <v>Z9</v>
      </c>
      <c r="U220" s="7" t="str">
        <f ca="1"/>
        <v>0x9471</v>
      </c>
      <c r="V220" s="7" t="str">
        <f ca="1"/>
        <v>SetAutoCaptureTimingOptions</v>
      </c>
      <c r="X220" s="8" t="s">
        <v>222</v>
      </c>
      <c r="Y220" s="8" t="s">
        <v>1138</v>
      </c>
    </row>
    <row r="221" spans="20:25" x14ac:dyDescent="0.25">
      <c r="T221" s="7" t="str">
        <f ca="1"/>
        <v>Z9</v>
      </c>
      <c r="U221" s="7" t="str">
        <f ca="1"/>
        <v>0x9472</v>
      </c>
      <c r="V221" s="7" t="str">
        <f ca="1"/>
        <v>SendPartialObjectInfo</v>
      </c>
      <c r="Y221" s="8" t="s">
        <v>1139</v>
      </c>
    </row>
    <row r="222" spans="20:25" x14ac:dyDescent="0.25">
      <c r="T222" s="7" t="str">
        <f ca="1"/>
        <v>Z9</v>
      </c>
      <c r="U222" s="7" t="str">
        <f ca="1"/>
        <v>0x9473</v>
      </c>
      <c r="V222" s="7" t="str">
        <f ca="1"/>
        <v>SendPartialObject</v>
      </c>
      <c r="Y222" s="8" t="s">
        <v>1140</v>
      </c>
    </row>
    <row r="223" spans="20:25" x14ac:dyDescent="0.25">
      <c r="T223" s="7" t="str">
        <f ca="1"/>
        <v>Z9</v>
      </c>
      <c r="U223" s="7" t="str">
        <f ca="1"/>
        <v>0x9801</v>
      </c>
      <c r="V223" s="7" t="str">
        <f ca="1"/>
        <v>GetObjectPropsSupported</v>
      </c>
      <c r="Y223" s="8" t="s">
        <v>1141</v>
      </c>
    </row>
    <row r="224" spans="20:25" x14ac:dyDescent="0.25">
      <c r="T224" s="7" t="str">
        <f ca="1"/>
        <v>Z9</v>
      </c>
      <c r="U224" s="7" t="str">
        <f ca="1"/>
        <v>0x9802</v>
      </c>
      <c r="V224" s="7" t="str">
        <f ca="1"/>
        <v>GetObjectPropDesc</v>
      </c>
      <c r="Y224" s="8" t="s">
        <v>1142</v>
      </c>
    </row>
    <row r="225" spans="20:25" x14ac:dyDescent="0.25">
      <c r="T225" s="7" t="str">
        <f ca="1"/>
        <v>Z9</v>
      </c>
      <c r="U225" s="7" t="str">
        <f ca="1"/>
        <v>0x9803</v>
      </c>
      <c r="V225" s="7" t="str">
        <f ca="1"/>
        <v>GetObjectPropValue</v>
      </c>
      <c r="Y225" s="8" t="s">
        <v>215</v>
      </c>
    </row>
    <row r="226" spans="20:25" x14ac:dyDescent="0.25">
      <c r="T226" s="7" t="str">
        <f ca="1"/>
        <v>Z9</v>
      </c>
      <c r="U226" s="7" t="str">
        <f ca="1"/>
        <v>0x9804</v>
      </c>
      <c r="V226" s="7" t="str">
        <f ca="1"/>
        <v>SetObjectPropValue</v>
      </c>
      <c r="Y226" s="8" t="s">
        <v>216</v>
      </c>
    </row>
    <row r="227" spans="20:25" x14ac:dyDescent="0.25">
      <c r="T227" s="7" t="str">
        <f ca="1"/>
        <v>Z9</v>
      </c>
      <c r="U227" s="7" t="str">
        <f ca="1"/>
        <v>0x9805</v>
      </c>
      <c r="V227" s="7" t="str">
        <f ca="1"/>
        <v>GetObjectPropList</v>
      </c>
      <c r="Y227" s="8" t="s">
        <v>217</v>
      </c>
    </row>
    <row r="228" spans="20:25" x14ac:dyDescent="0.25">
      <c r="T228" s="7" t="str">
        <f ca="1"/>
        <v>Z6 II</v>
      </c>
      <c r="U228" s="7" t="str">
        <f ca="1"/>
        <v>0x1001</v>
      </c>
      <c r="V228" s="7" t="str">
        <f ca="1"/>
        <v>GetDeviceInfo</v>
      </c>
      <c r="Y228" s="8" t="s">
        <v>218</v>
      </c>
    </row>
    <row r="229" spans="20:25" x14ac:dyDescent="0.25">
      <c r="T229" s="7" t="str">
        <f ca="1"/>
        <v>Z6 II</v>
      </c>
      <c r="U229" s="7" t="str">
        <f ca="1"/>
        <v>0x1002</v>
      </c>
      <c r="V229" s="7" t="str">
        <f ca="1"/>
        <v>OpenSession</v>
      </c>
      <c r="Y229" s="8" t="s">
        <v>219</v>
      </c>
    </row>
    <row r="230" spans="20:25" x14ac:dyDescent="0.25">
      <c r="T230" s="7" t="str">
        <f ca="1"/>
        <v>Z6 II</v>
      </c>
      <c r="U230" s="7" t="str">
        <f ca="1"/>
        <v>0x1003</v>
      </c>
      <c r="V230" s="7" t="str">
        <f ca="1"/>
        <v>CloseSession</v>
      </c>
      <c r="Y230" s="8" t="s">
        <v>220</v>
      </c>
    </row>
    <row r="231" spans="20:25" x14ac:dyDescent="0.25">
      <c r="T231" s="7" t="str">
        <f ca="1"/>
        <v>Z6 II</v>
      </c>
      <c r="U231" s="7" t="str">
        <f ca="1"/>
        <v>0x1004</v>
      </c>
      <c r="V231" s="7" t="str">
        <f ca="1"/>
        <v>GetStorageIDs</v>
      </c>
      <c r="Y231" s="8" t="s">
        <v>1143</v>
      </c>
    </row>
    <row r="232" spans="20:25" x14ac:dyDescent="0.25">
      <c r="T232" s="7" t="str">
        <f ca="1"/>
        <v>Z6 II</v>
      </c>
      <c r="U232" s="7" t="str">
        <f ca="1"/>
        <v>0x1005</v>
      </c>
      <c r="V232" s="7" t="str">
        <f ca="1"/>
        <v>GetStorageInfo</v>
      </c>
      <c r="Y232" s="8" t="s">
        <v>1144</v>
      </c>
    </row>
    <row r="233" spans="20:25" x14ac:dyDescent="0.25">
      <c r="T233" s="7" t="str">
        <f ca="1"/>
        <v>Z6 II</v>
      </c>
      <c r="U233" s="7" t="str">
        <f ca="1"/>
        <v>0x1006</v>
      </c>
      <c r="V233" s="7" t="str">
        <f ca="1"/>
        <v>GetNumObjects</v>
      </c>
      <c r="Y233" s="8" t="s">
        <v>221</v>
      </c>
    </row>
    <row r="234" spans="20:25" x14ac:dyDescent="0.25">
      <c r="T234" s="7" t="str">
        <f ca="1"/>
        <v>Z6 II</v>
      </c>
      <c r="U234" s="7" t="str">
        <f ca="1"/>
        <v>0x1007</v>
      </c>
      <c r="V234" s="7" t="str">
        <f ca="1"/>
        <v>GetObjectHandles</v>
      </c>
      <c r="Y234" s="8" t="s">
        <v>222</v>
      </c>
    </row>
    <row r="235" spans="20:25" x14ac:dyDescent="0.25">
      <c r="T235" s="7" t="str">
        <f ca="1"/>
        <v>Z6 II</v>
      </c>
      <c r="U235" s="7" t="str">
        <f ca="1"/>
        <v>0x1008</v>
      </c>
      <c r="V235" s="7" t="str">
        <f ca="1"/>
        <v>GetObjectInfo</v>
      </c>
    </row>
    <row r="236" spans="20:25" x14ac:dyDescent="0.25">
      <c r="T236" s="7" t="str">
        <f ca="1"/>
        <v>Z6 II</v>
      </c>
      <c r="U236" s="7" t="str">
        <f ca="1"/>
        <v>0x1009</v>
      </c>
      <c r="V236" s="7" t="str">
        <f ca="1"/>
        <v>GetObject</v>
      </c>
    </row>
    <row r="237" spans="20:25" x14ac:dyDescent="0.25">
      <c r="T237" s="7" t="str">
        <f ca="1"/>
        <v>Z6 II</v>
      </c>
      <c r="U237" s="7" t="str">
        <f ca="1"/>
        <v>0x100A</v>
      </c>
      <c r="V237" s="7" t="str">
        <f ca="1"/>
        <v>GetThumb</v>
      </c>
    </row>
    <row r="238" spans="20:25" x14ac:dyDescent="0.25">
      <c r="T238" s="7" t="str">
        <f ca="1"/>
        <v>Z6 II</v>
      </c>
      <c r="U238" s="7" t="str">
        <f ca="1"/>
        <v>0x100B</v>
      </c>
      <c r="V238" s="7" t="str">
        <f ca="1"/>
        <v>DeleteObject</v>
      </c>
    </row>
    <row r="239" spans="20:25" x14ac:dyDescent="0.25">
      <c r="T239" s="7" t="str">
        <f ca="1"/>
        <v>Z6 II</v>
      </c>
      <c r="U239" s="7" t="str">
        <f ca="1"/>
        <v>0x100C</v>
      </c>
      <c r="V239" s="7" t="str">
        <f ca="1"/>
        <v>SendObjectInfo</v>
      </c>
    </row>
    <row r="240" spans="20:25" x14ac:dyDescent="0.25">
      <c r="T240" s="7" t="str">
        <f ca="1"/>
        <v>Z6 II</v>
      </c>
      <c r="U240" s="7" t="str">
        <f ca="1"/>
        <v>0x100D</v>
      </c>
      <c r="V240" s="7" t="str">
        <f ca="1"/>
        <v>SendObject</v>
      </c>
    </row>
    <row r="241" spans="20:22" x14ac:dyDescent="0.25">
      <c r="T241" s="7" t="str">
        <f ca="1"/>
        <v>Z6 II</v>
      </c>
      <c r="U241" s="7" t="str">
        <f ca="1"/>
        <v>0x100E</v>
      </c>
      <c r="V241" s="7" t="str">
        <f ca="1"/>
        <v>InitiateCapture</v>
      </c>
    </row>
    <row r="242" spans="20:22" x14ac:dyDescent="0.25">
      <c r="T242" s="7" t="str">
        <f ca="1"/>
        <v>Z6 II</v>
      </c>
      <c r="U242" s="7" t="str">
        <f ca="1"/>
        <v>0x100F</v>
      </c>
      <c r="V242" s="7" t="str">
        <f ca="1"/>
        <v>FormatStore</v>
      </c>
    </row>
    <row r="243" spans="20:22" x14ac:dyDescent="0.25">
      <c r="T243" s="7" t="str">
        <f ca="1"/>
        <v>Z6 II</v>
      </c>
      <c r="U243" s="7" t="str">
        <f ca="1"/>
        <v>0x1014</v>
      </c>
      <c r="V243" s="7" t="str">
        <f ca="1"/>
        <v>GetDevicePropDesc</v>
      </c>
    </row>
    <row r="244" spans="20:22" x14ac:dyDescent="0.25">
      <c r="T244" s="7" t="str">
        <f ca="1"/>
        <v>Z6 II</v>
      </c>
      <c r="U244" s="7" t="str">
        <f ca="1"/>
        <v>0x1015</v>
      </c>
      <c r="V244" s="7" t="str">
        <f ca="1"/>
        <v>GetDevicePropValue</v>
      </c>
    </row>
    <row r="245" spans="20:22" x14ac:dyDescent="0.25">
      <c r="T245" s="7" t="str">
        <f ca="1"/>
        <v>Z6 II</v>
      </c>
      <c r="U245" s="7" t="str">
        <f ca="1"/>
        <v>0x1016</v>
      </c>
      <c r="V245" s="7" t="str">
        <f ca="1"/>
        <v>SetDevicePropValue</v>
      </c>
    </row>
    <row r="246" spans="20:22" x14ac:dyDescent="0.25">
      <c r="T246" s="7" t="str">
        <f ca="1"/>
        <v>Z6 II</v>
      </c>
      <c r="U246" s="7" t="str">
        <f ca="1"/>
        <v>0x101B</v>
      </c>
      <c r="V246" s="7" t="str">
        <f ca="1"/>
        <v>GetPartialObject</v>
      </c>
    </row>
    <row r="247" spans="20:22" x14ac:dyDescent="0.25">
      <c r="T247" s="7" t="str">
        <f ca="1"/>
        <v>Z6 II</v>
      </c>
      <c r="U247" s="7" t="str">
        <f ca="1"/>
        <v>0x90C0</v>
      </c>
      <c r="V247" s="7" t="str">
        <f ca="1"/>
        <v>InitiateCaptureRecInSdram</v>
      </c>
    </row>
    <row r="248" spans="20:22" x14ac:dyDescent="0.25">
      <c r="T248" s="7" t="str">
        <f ca="1"/>
        <v>Z6 II</v>
      </c>
      <c r="U248" s="7" t="str">
        <f ca="1"/>
        <v>0x90C1</v>
      </c>
      <c r="V248" s="7" t="str">
        <f ca="1"/>
        <v>AfDrive</v>
      </c>
    </row>
    <row r="249" spans="20:22" x14ac:dyDescent="0.25">
      <c r="T249" s="7" t="str">
        <f ca="1"/>
        <v>Z6 II</v>
      </c>
      <c r="U249" s="7" t="str">
        <f ca="1"/>
        <v>0x90C2</v>
      </c>
      <c r="V249" s="7" t="str">
        <f ca="1"/>
        <v>ChangeCameraMode</v>
      </c>
    </row>
    <row r="250" spans="20:22" x14ac:dyDescent="0.25">
      <c r="T250" s="7" t="str">
        <f ca="1"/>
        <v>Z6 II</v>
      </c>
      <c r="U250" s="7" t="str">
        <f ca="1"/>
        <v>0x90C3</v>
      </c>
      <c r="V250" s="7" t="str">
        <f ca="1"/>
        <v>DeleteImagesInSdram</v>
      </c>
    </row>
    <row r="251" spans="20:22" x14ac:dyDescent="0.25">
      <c r="T251" s="7" t="str">
        <f ca="1"/>
        <v>Z6 II</v>
      </c>
      <c r="U251" s="7" t="str">
        <f ca="1"/>
        <v>0x90C4</v>
      </c>
      <c r="V251" s="7" t="str">
        <f ca="1"/>
        <v>GetLargeThumb</v>
      </c>
    </row>
    <row r="252" spans="20:22" x14ac:dyDescent="0.25">
      <c r="T252" s="7" t="str">
        <f ca="1"/>
        <v>Z6 II</v>
      </c>
      <c r="U252" s="7" t="str">
        <f ca="1"/>
        <v>0x90C7</v>
      </c>
      <c r="V252" s="7" t="str">
        <f ca="1"/>
        <v>GetEvent</v>
      </c>
    </row>
    <row r="253" spans="20:22" x14ac:dyDescent="0.25">
      <c r="T253" s="7" t="str">
        <f ca="1"/>
        <v>Z6 II</v>
      </c>
      <c r="U253" s="7" t="str">
        <f ca="1"/>
        <v>0x90C8</v>
      </c>
      <c r="V253" s="7" t="str">
        <f ca="1"/>
        <v>DeviceReady</v>
      </c>
    </row>
    <row r="254" spans="20:22" x14ac:dyDescent="0.25">
      <c r="T254" s="7" t="str">
        <f ca="1"/>
        <v>Z6 II</v>
      </c>
      <c r="U254" s="7" t="str">
        <f ca="1"/>
        <v>0x90C9</v>
      </c>
      <c r="V254" s="7" t="str">
        <f ca="1"/>
        <v>SetPreWbData</v>
      </c>
    </row>
    <row r="255" spans="20:22" x14ac:dyDescent="0.25">
      <c r="T255" s="7" t="str">
        <f ca="1"/>
        <v>Z6 II</v>
      </c>
      <c r="U255" s="7" t="str">
        <f ca="1"/>
        <v>0x90CA</v>
      </c>
      <c r="V255" s="7" t="str">
        <f ca="1"/>
        <v>GetVendorPropCodes</v>
      </c>
    </row>
    <row r="256" spans="20:22" x14ac:dyDescent="0.25">
      <c r="T256" s="7" t="str">
        <f ca="1"/>
        <v>Z6 II</v>
      </c>
      <c r="U256" s="7" t="str">
        <f ca="1"/>
        <v>0x90CB</v>
      </c>
      <c r="V256" s="7" t="str">
        <f ca="1"/>
        <v>AfAndCaptureRecInSdram</v>
      </c>
    </row>
    <row r="257" spans="20:22" x14ac:dyDescent="0.25">
      <c r="T257" s="7" t="str">
        <f ca="1"/>
        <v>Z6 II</v>
      </c>
      <c r="U257" s="7" t="str">
        <f ca="1"/>
        <v>0x90CC</v>
      </c>
      <c r="V257" s="7" t="str">
        <f ca="1"/>
        <v>GetPicCtrlData</v>
      </c>
    </row>
    <row r="258" spans="20:22" x14ac:dyDescent="0.25">
      <c r="T258" s="7" t="str">
        <f ca="1"/>
        <v>Z6 II</v>
      </c>
      <c r="U258" s="7" t="str">
        <f ca="1"/>
        <v>0x90CD</v>
      </c>
      <c r="V258" s="7" t="str">
        <f ca="1"/>
        <v>SetPicCtrlData</v>
      </c>
    </row>
    <row r="259" spans="20:22" x14ac:dyDescent="0.25">
      <c r="T259" s="7" t="str">
        <f ca="1"/>
        <v>Z6 II</v>
      </c>
      <c r="U259" s="7" t="str">
        <f ca="1"/>
        <v>0x90CE</v>
      </c>
      <c r="V259" s="7" t="str">
        <f ca="1"/>
        <v>DeleteCustomPicCtrl</v>
      </c>
    </row>
    <row r="260" spans="20:22" x14ac:dyDescent="0.25">
      <c r="T260" s="7" t="str">
        <f ca="1"/>
        <v>Z6 II</v>
      </c>
      <c r="U260" s="7" t="str">
        <f ca="1"/>
        <v>0x90CF</v>
      </c>
      <c r="V260" s="7" t="str">
        <f ca="1"/>
        <v>GetPicCtrlCapability</v>
      </c>
    </row>
    <row r="261" spans="20:22" x14ac:dyDescent="0.25">
      <c r="T261" s="7" t="str">
        <f ca="1"/>
        <v>Z6 II</v>
      </c>
      <c r="U261" s="7" t="str">
        <f ca="1"/>
        <v>0x9201</v>
      </c>
      <c r="V261" s="7" t="str">
        <f ca="1"/>
        <v>StartLiveView</v>
      </c>
    </row>
    <row r="262" spans="20:22" x14ac:dyDescent="0.25">
      <c r="T262" s="7" t="str">
        <f ca="1"/>
        <v>Z6 II</v>
      </c>
      <c r="U262" s="7" t="str">
        <f ca="1"/>
        <v>0x9202</v>
      </c>
      <c r="V262" s="7" t="str">
        <f ca="1"/>
        <v>EndLiveView</v>
      </c>
    </row>
    <row r="263" spans="20:22" x14ac:dyDescent="0.25">
      <c r="T263" s="7" t="str">
        <f ca="1"/>
        <v>Z6 II</v>
      </c>
      <c r="U263" s="7" t="str">
        <f ca="1"/>
        <v>0x9203</v>
      </c>
      <c r="V263" s="7" t="str">
        <f ca="1"/>
        <v>GetLiveViewImage</v>
      </c>
    </row>
    <row r="264" spans="20:22" x14ac:dyDescent="0.25">
      <c r="T264" s="7" t="str">
        <f ca="1"/>
        <v>Z6 II</v>
      </c>
      <c r="U264" s="7" t="str">
        <f ca="1"/>
        <v>0x9204</v>
      </c>
      <c r="V264" s="7" t="str">
        <f ca="1"/>
        <v>MfDrive</v>
      </c>
    </row>
    <row r="265" spans="20:22" x14ac:dyDescent="0.25">
      <c r="T265" s="7" t="str">
        <f ca="1"/>
        <v>Z6 II</v>
      </c>
      <c r="U265" s="7" t="str">
        <f ca="1"/>
        <v>0x9205</v>
      </c>
      <c r="V265" s="7" t="str">
        <f ca="1"/>
        <v>ChangeAfArea</v>
      </c>
    </row>
    <row r="266" spans="20:22" x14ac:dyDescent="0.25">
      <c r="T266" s="7" t="str">
        <f ca="1"/>
        <v>Z6 II</v>
      </c>
      <c r="U266" s="7" t="str">
        <f ca="1"/>
        <v>0x9206</v>
      </c>
      <c r="V266" s="7" t="str">
        <f ca="1"/>
        <v>AfDriveCancel</v>
      </c>
    </row>
    <row r="267" spans="20:22" x14ac:dyDescent="0.25">
      <c r="T267" s="7" t="str">
        <f ca="1"/>
        <v>Z6 II</v>
      </c>
      <c r="U267" s="7" t="str">
        <f ca="1"/>
        <v>0x9207</v>
      </c>
      <c r="V267" s="7" t="str">
        <f ca="1"/>
        <v>InitiateCaptureRecInMedia</v>
      </c>
    </row>
    <row r="268" spans="20:22" x14ac:dyDescent="0.25">
      <c r="T268" s="7" t="str">
        <f ca="1"/>
        <v>Z6 II</v>
      </c>
      <c r="U268" s="7" t="str">
        <f ca="1"/>
        <v>0x9209</v>
      </c>
      <c r="V268" s="7" t="str">
        <f ca="1"/>
        <v>GetVendorStorageIDs</v>
      </c>
    </row>
    <row r="269" spans="20:22" x14ac:dyDescent="0.25">
      <c r="T269" s="7" t="str">
        <f ca="1"/>
        <v>Z6 II</v>
      </c>
      <c r="U269" s="7" t="str">
        <f ca="1"/>
        <v>0x920A</v>
      </c>
      <c r="V269" s="7" t="str">
        <f ca="1"/>
        <v>StartMovieRecord</v>
      </c>
    </row>
    <row r="270" spans="20:22" x14ac:dyDescent="0.25">
      <c r="T270" s="7" t="str">
        <f ca="1"/>
        <v>Z6 II</v>
      </c>
      <c r="U270" s="7" t="str">
        <f ca="1"/>
        <v>0x920B</v>
      </c>
      <c r="V270" s="7" t="str">
        <f ca="1"/>
        <v>EndMovieRecord</v>
      </c>
    </row>
    <row r="271" spans="20:22" x14ac:dyDescent="0.25">
      <c r="T271" s="7" t="str">
        <f ca="1"/>
        <v>Z6 II</v>
      </c>
      <c r="U271" s="7" t="str">
        <f ca="1"/>
        <v>0x920C</v>
      </c>
      <c r="V271" s="7" t="str">
        <f ca="1"/>
        <v>TerminateCapture</v>
      </c>
    </row>
    <row r="272" spans="20:22" x14ac:dyDescent="0.25">
      <c r="T272" s="7" t="str">
        <f ca="1"/>
        <v>Z6 II</v>
      </c>
      <c r="U272" s="7" t="str">
        <f ca="1"/>
        <v>0x920F</v>
      </c>
      <c r="V272" s="7" t="str">
        <f ca="1"/>
        <v>GetFhdPicture</v>
      </c>
    </row>
    <row r="273" spans="20:22" x14ac:dyDescent="0.25">
      <c r="T273" s="7" t="str">
        <f ca="1"/>
        <v>Z6 II</v>
      </c>
      <c r="U273" s="7" t="str">
        <f ca="1"/>
        <v>0x9400</v>
      </c>
      <c r="V273" s="7" t="str">
        <f ca="1"/>
        <v>GetPartialObjectHighSpeed</v>
      </c>
    </row>
    <row r="274" spans="20:22" x14ac:dyDescent="0.25">
      <c r="T274" s="7" t="str">
        <f ca="1"/>
        <v>Z6 II</v>
      </c>
      <c r="U274" s="7" t="str">
        <f ca="1"/>
        <v>0x9402</v>
      </c>
      <c r="V274" s="7" t="str">
        <f ca="1"/>
        <v>StartSpotWb</v>
      </c>
    </row>
    <row r="275" spans="20:22" x14ac:dyDescent="0.25">
      <c r="T275" s="7" t="str">
        <f ca="1"/>
        <v>Z6 II</v>
      </c>
      <c r="U275" s="7" t="str">
        <f ca="1"/>
        <v>0x9403</v>
      </c>
      <c r="V275" s="7" t="str">
        <f ca="1"/>
        <v>EndSpotWb</v>
      </c>
    </row>
    <row r="276" spans="20:22" x14ac:dyDescent="0.25">
      <c r="T276" s="7" t="str">
        <f ca="1"/>
        <v>Z6 II</v>
      </c>
      <c r="U276" s="7" t="str">
        <f ca="1"/>
        <v>0x9404</v>
      </c>
      <c r="V276" s="7" t="str">
        <f ca="1"/>
        <v>ChangeSpotWbArea</v>
      </c>
    </row>
    <row r="277" spans="20:22" x14ac:dyDescent="0.25">
      <c r="T277" s="7" t="str">
        <f ca="1"/>
        <v>Z6 II</v>
      </c>
      <c r="U277" s="7" t="str">
        <f ca="1"/>
        <v>0x9405</v>
      </c>
      <c r="V277" s="7" t="str">
        <f ca="1"/>
        <v>MeasureSpotWb</v>
      </c>
    </row>
    <row r="278" spans="20:22" x14ac:dyDescent="0.25">
      <c r="T278" s="7" t="str">
        <f ca="1"/>
        <v>Z6 II</v>
      </c>
      <c r="U278" s="7" t="str">
        <f ca="1"/>
        <v>0x9406</v>
      </c>
      <c r="V278" s="7" t="str">
        <f ca="1"/>
        <v>EndSpotWbResultDisp</v>
      </c>
    </row>
    <row r="279" spans="20:22" x14ac:dyDescent="0.25">
      <c r="T279" s="7" t="str">
        <f ca="1"/>
        <v>Z6 II</v>
      </c>
      <c r="U279" s="7" t="str">
        <f ca="1"/>
        <v>0x940C</v>
      </c>
      <c r="V279" s="7" t="str">
        <f ca="1"/>
        <v>CancelImagesInSdram</v>
      </c>
    </row>
    <row r="280" spans="20:22" x14ac:dyDescent="0.25">
      <c r="T280" s="7" t="str">
        <f ca="1"/>
        <v>Z6 II</v>
      </c>
      <c r="U280" s="7" t="str">
        <f ca="1"/>
        <v>0x9414</v>
      </c>
      <c r="V280" s="7" t="str">
        <f ca="1"/>
        <v>GetSBHandles</v>
      </c>
    </row>
    <row r="281" spans="20:22" x14ac:dyDescent="0.25">
      <c r="T281" s="7" t="str">
        <f ca="1"/>
        <v>Z6 II</v>
      </c>
      <c r="U281" s="7" t="str">
        <f ca="1"/>
        <v>0x9415</v>
      </c>
      <c r="V281" s="7" t="str">
        <f ca="1"/>
        <v>GetSBAttrDesc</v>
      </c>
    </row>
    <row r="282" spans="20:22" x14ac:dyDescent="0.25">
      <c r="T282" s="7" t="str">
        <f ca="1"/>
        <v>Z6 II</v>
      </c>
      <c r="U282" s="7" t="str">
        <f ca="1"/>
        <v>0x9416</v>
      </c>
      <c r="V282" s="7" t="str">
        <f ca="1"/>
        <v>GetSBAttrValue</v>
      </c>
    </row>
    <row r="283" spans="20:22" x14ac:dyDescent="0.25">
      <c r="T283" s="7" t="str">
        <f ca="1"/>
        <v>Z6 II</v>
      </c>
      <c r="U283" s="7" t="str">
        <f ca="1"/>
        <v>0x9417</v>
      </c>
      <c r="V283" s="7" t="str">
        <f ca="1"/>
        <v>SetSBAttrValue</v>
      </c>
    </row>
    <row r="284" spans="20:22" x14ac:dyDescent="0.25">
      <c r="T284" s="7" t="str">
        <f ca="1"/>
        <v>Z6 II</v>
      </c>
      <c r="U284" s="7" t="str">
        <f ca="1"/>
        <v>0x9418</v>
      </c>
      <c r="V284" s="7" t="str">
        <f ca="1"/>
        <v>GetSBGroupAttrDesc</v>
      </c>
    </row>
    <row r="285" spans="20:22" x14ac:dyDescent="0.25">
      <c r="T285" s="7" t="str">
        <f ca="1"/>
        <v>Z6 II</v>
      </c>
      <c r="U285" s="7" t="str">
        <f ca="1"/>
        <v>0x9419</v>
      </c>
      <c r="V285" s="7" t="str">
        <f ca="1"/>
        <v>GetSBGroupAttrValue</v>
      </c>
    </row>
    <row r="286" spans="20:22" x14ac:dyDescent="0.25">
      <c r="T286" s="7" t="str">
        <f ca="1"/>
        <v>Z6 II</v>
      </c>
      <c r="U286" s="7" t="str">
        <f ca="1"/>
        <v>0x941A</v>
      </c>
      <c r="V286" s="7" t="str">
        <f ca="1"/>
        <v>SetSBGroupAttrValue</v>
      </c>
    </row>
    <row r="287" spans="20:22" x14ac:dyDescent="0.25">
      <c r="T287" s="7" t="str">
        <f ca="1"/>
        <v>Z6 II</v>
      </c>
      <c r="U287" s="7" t="str">
        <f ca="1"/>
        <v>0x941B</v>
      </c>
      <c r="V287" s="7" t="str">
        <f ca="1"/>
        <v>TestFlash</v>
      </c>
    </row>
    <row r="288" spans="20:22" x14ac:dyDescent="0.25">
      <c r="T288" s="7" t="str">
        <f ca="1"/>
        <v>Z6 II</v>
      </c>
      <c r="U288" s="7" t="str">
        <f ca="1"/>
        <v>0x941C</v>
      </c>
      <c r="V288" s="7" t="str">
        <f ca="1"/>
        <v>GetEventEx</v>
      </c>
    </row>
    <row r="289" spans="20:22" x14ac:dyDescent="0.25">
      <c r="T289" s="7" t="str">
        <f ca="1"/>
        <v>Z6 II</v>
      </c>
      <c r="U289" s="7" t="str">
        <f ca="1"/>
        <v>0x9420</v>
      </c>
      <c r="V289" s="7" t="str">
        <f ca="1"/>
        <v>SaveCameraSetting</v>
      </c>
    </row>
    <row r="290" spans="20:22" x14ac:dyDescent="0.25">
      <c r="T290" s="7" t="str">
        <f ca="1"/>
        <v>Z6 II</v>
      </c>
      <c r="U290" s="7" t="str">
        <f ca="1"/>
        <v>0x9421</v>
      </c>
      <c r="V290" s="7" t="str">
        <f ca="1"/>
        <v>GetObjectSize</v>
      </c>
    </row>
    <row r="291" spans="20:22" x14ac:dyDescent="0.25">
      <c r="T291" s="7" t="str">
        <f ca="1"/>
        <v>Z6 II</v>
      </c>
      <c r="U291" s="7" t="str">
        <f ca="1"/>
        <v>0x9422</v>
      </c>
      <c r="V291" s="7" t="str">
        <f ca="1"/>
        <v>ChangeMonitorOff</v>
      </c>
    </row>
    <row r="292" spans="20:22" x14ac:dyDescent="0.25">
      <c r="T292" s="7" t="str">
        <f ca="1"/>
        <v>Z6 II</v>
      </c>
      <c r="U292" s="7" t="str">
        <f ca="1"/>
        <v>0x9423</v>
      </c>
      <c r="V292" s="7" t="str">
        <f ca="1"/>
        <v>GetLiveViewCompressedSize</v>
      </c>
    </row>
    <row r="293" spans="20:22" x14ac:dyDescent="0.25">
      <c r="T293" s="7" t="str">
        <f ca="1"/>
        <v>Z6 II</v>
      </c>
      <c r="U293" s="7" t="str">
        <f ca="1"/>
        <v>0x9424</v>
      </c>
      <c r="V293" s="7" t="str">
        <f ca="1"/>
        <v>StartTracking</v>
      </c>
    </row>
    <row r="294" spans="20:22" x14ac:dyDescent="0.25">
      <c r="T294" s="7" t="str">
        <f ca="1"/>
        <v>Z6 II</v>
      </c>
      <c r="U294" s="7" t="str">
        <f ca="1"/>
        <v>0x9425</v>
      </c>
      <c r="V294" s="7" t="str">
        <f ca="1"/>
        <v>EndTracking</v>
      </c>
    </row>
    <row r="295" spans="20:22" x14ac:dyDescent="0.25">
      <c r="T295" s="7" t="str">
        <f ca="1"/>
        <v>Z6 II</v>
      </c>
      <c r="U295" s="7" t="str">
        <f ca="1"/>
        <v>0x9426</v>
      </c>
      <c r="V295" s="7" t="str">
        <f ca="1"/>
        <v>ChangeAELock</v>
      </c>
    </row>
    <row r="296" spans="20:22" x14ac:dyDescent="0.25">
      <c r="T296" s="7" t="str">
        <f ca="1"/>
        <v>Z6 II</v>
      </c>
      <c r="U296" s="7" t="str">
        <f ca="1"/>
        <v>0x9428</v>
      </c>
      <c r="V296" s="7" t="str">
        <f ca="1"/>
        <v>GetLiveViewImageEx</v>
      </c>
    </row>
    <row r="297" spans="20:22" x14ac:dyDescent="0.25">
      <c r="T297" s="7" t="str">
        <f ca="1"/>
        <v>Z6 II</v>
      </c>
      <c r="U297" s="7" t="str">
        <f ca="1"/>
        <v>0x9431</v>
      </c>
      <c r="V297" s="7" t="str">
        <f ca="1"/>
        <v>GetPartialObjectEx</v>
      </c>
    </row>
    <row r="298" spans="20:22" x14ac:dyDescent="0.25">
      <c r="T298" s="7" t="str">
        <f ca="1"/>
        <v>Z6 II</v>
      </c>
      <c r="U298" s="7" t="str">
        <f ca="1"/>
        <v>0x9432</v>
      </c>
      <c r="V298" s="7" t="str">
        <f ca="1"/>
        <v>GetManualSettingLensData</v>
      </c>
    </row>
    <row r="299" spans="20:22" x14ac:dyDescent="0.25">
      <c r="T299" s="7" t="str">
        <f ca="1"/>
        <v>Z6 II</v>
      </c>
      <c r="U299" s="7" t="str">
        <f ca="1"/>
        <v>0x9433</v>
      </c>
      <c r="V299" s="7" t="str">
        <f ca="1"/>
        <v>InitiatePixelMapping</v>
      </c>
    </row>
    <row r="300" spans="20:22" x14ac:dyDescent="0.25">
      <c r="T300" s="7" t="str">
        <f ca="1"/>
        <v>Z6 II</v>
      </c>
      <c r="U300" s="7" t="str">
        <f ca="1"/>
        <v>0x9434</v>
      </c>
      <c r="V300" s="7" t="str">
        <f ca="1"/>
        <v>GetObjectsMetaData</v>
      </c>
    </row>
    <row r="301" spans="20:22" x14ac:dyDescent="0.25">
      <c r="T301" s="7" t="str">
        <f ca="1"/>
        <v>Z6 II</v>
      </c>
      <c r="U301" s="7" t="str">
        <f ca="1"/>
        <v>0x9435</v>
      </c>
      <c r="V301" s="7" t="str">
        <f ca="1"/>
        <v>ChangeApplicationMode</v>
      </c>
    </row>
    <row r="302" spans="20:22" x14ac:dyDescent="0.25">
      <c r="T302" s="7" t="str">
        <f ca="1"/>
        <v>Z6 II</v>
      </c>
      <c r="U302" s="7" t="str">
        <f ca="1"/>
        <v>0x9436</v>
      </c>
      <c r="V302" s="7" t="str">
        <f ca="1"/>
        <v>ResetMenu</v>
      </c>
    </row>
    <row r="303" spans="20:22" x14ac:dyDescent="0.25">
      <c r="T303" s="7" t="str">
        <f ca="1"/>
        <v>Z6 II</v>
      </c>
      <c r="U303" s="7" t="str">
        <f ca="1"/>
        <v>0x9801</v>
      </c>
      <c r="V303" s="7" t="str">
        <f ca="1"/>
        <v>GetObjectPropsSupported</v>
      </c>
    </row>
    <row r="304" spans="20:22" x14ac:dyDescent="0.25">
      <c r="T304" s="7" t="str">
        <f ca="1"/>
        <v>Z6 II</v>
      </c>
      <c r="U304" s="7" t="str">
        <f ca="1"/>
        <v>0x9802</v>
      </c>
      <c r="V304" s="7" t="str">
        <f ca="1"/>
        <v>GetObjectPropDesc</v>
      </c>
    </row>
    <row r="305" spans="20:22" x14ac:dyDescent="0.25">
      <c r="T305" s="7" t="str">
        <f ca="1"/>
        <v>Z6 II</v>
      </c>
      <c r="U305" s="7" t="str">
        <f ca="1"/>
        <v>0x9803</v>
      </c>
      <c r="V305" s="7" t="str">
        <f ca="1"/>
        <v>GetObjectPropValue</v>
      </c>
    </row>
    <row r="306" spans="20:22" x14ac:dyDescent="0.25">
      <c r="T306" s="7" t="str">
        <f ca="1"/>
        <v>Z6 II</v>
      </c>
      <c r="U306" s="7" t="str">
        <f ca="1"/>
        <v>0x9805</v>
      </c>
      <c r="V306" s="7" t="str">
        <f ca="1"/>
        <v>GetObjectPropList</v>
      </c>
    </row>
    <row r="307" spans="20:22" x14ac:dyDescent="0.25">
      <c r="T307" s="7" t="str">
        <f ca="1"/>
        <v>Z7 II</v>
      </c>
      <c r="U307" s="7" t="str">
        <f ca="1"/>
        <v>0x1001</v>
      </c>
      <c r="V307" s="7" t="str">
        <f ca="1"/>
        <v>GetDeviceInfo</v>
      </c>
    </row>
    <row r="308" spans="20:22" x14ac:dyDescent="0.25">
      <c r="T308" s="7" t="str">
        <f ca="1"/>
        <v>Z7 II</v>
      </c>
      <c r="U308" s="7" t="str">
        <f ca="1"/>
        <v>0x1002</v>
      </c>
      <c r="V308" s="7" t="str">
        <f ca="1"/>
        <v>OpenSession</v>
      </c>
    </row>
    <row r="309" spans="20:22" x14ac:dyDescent="0.25">
      <c r="T309" s="7" t="str">
        <f ca="1"/>
        <v>Z7 II</v>
      </c>
      <c r="U309" s="7" t="str">
        <f ca="1"/>
        <v>0x1003</v>
      </c>
      <c r="V309" s="7" t="str">
        <f ca="1"/>
        <v>CloseSession</v>
      </c>
    </row>
    <row r="310" spans="20:22" x14ac:dyDescent="0.25">
      <c r="T310" s="7" t="str">
        <f ca="1"/>
        <v>Z7 II</v>
      </c>
      <c r="U310" s="7" t="str">
        <f ca="1"/>
        <v>0x1004</v>
      </c>
      <c r="V310" s="7" t="str">
        <f ca="1"/>
        <v>GetStorageIDs</v>
      </c>
    </row>
    <row r="311" spans="20:22" x14ac:dyDescent="0.25">
      <c r="T311" s="7" t="str">
        <f ca="1"/>
        <v>Z7 II</v>
      </c>
      <c r="U311" s="7" t="str">
        <f ca="1"/>
        <v>0x1005</v>
      </c>
      <c r="V311" s="7" t="str">
        <f ca="1"/>
        <v>GetStorageInfo</v>
      </c>
    </row>
    <row r="312" spans="20:22" x14ac:dyDescent="0.25">
      <c r="T312" s="7" t="str">
        <f ca="1"/>
        <v>Z7 II</v>
      </c>
      <c r="U312" s="7" t="str">
        <f ca="1"/>
        <v>0x1006</v>
      </c>
      <c r="V312" s="7" t="str">
        <f ca="1"/>
        <v>GetNumObjects</v>
      </c>
    </row>
    <row r="313" spans="20:22" x14ac:dyDescent="0.25">
      <c r="T313" s="7" t="str">
        <f ca="1"/>
        <v>Z7 II</v>
      </c>
      <c r="U313" s="7" t="str">
        <f ca="1"/>
        <v>0x1007</v>
      </c>
      <c r="V313" s="7" t="str">
        <f ca="1"/>
        <v>GetObjectHandles</v>
      </c>
    </row>
    <row r="314" spans="20:22" x14ac:dyDescent="0.25">
      <c r="T314" s="7" t="str">
        <f ca="1"/>
        <v>Z7 II</v>
      </c>
      <c r="U314" s="7" t="str">
        <f ca="1"/>
        <v>0x1008</v>
      </c>
      <c r="V314" s="7" t="str">
        <f ca="1"/>
        <v>GetObjectInfo</v>
      </c>
    </row>
    <row r="315" spans="20:22" x14ac:dyDescent="0.25">
      <c r="T315" s="7" t="str">
        <f ca="1"/>
        <v>Z7 II</v>
      </c>
      <c r="U315" s="7" t="str">
        <f ca="1"/>
        <v>0x1009</v>
      </c>
      <c r="V315" s="7" t="str">
        <f ca="1"/>
        <v>GetObject</v>
      </c>
    </row>
    <row r="316" spans="20:22" x14ac:dyDescent="0.25">
      <c r="T316" s="7" t="str">
        <f ca="1"/>
        <v>Z7 II</v>
      </c>
      <c r="U316" s="7" t="str">
        <f ca="1"/>
        <v>0x100A</v>
      </c>
      <c r="V316" s="7" t="str">
        <f ca="1"/>
        <v>GetThumb</v>
      </c>
    </row>
    <row r="317" spans="20:22" x14ac:dyDescent="0.25">
      <c r="T317" s="7" t="str">
        <f ca="1"/>
        <v>Z7 II</v>
      </c>
      <c r="U317" s="7" t="str">
        <f ca="1"/>
        <v>0x100B</v>
      </c>
      <c r="V317" s="7" t="str">
        <f ca="1"/>
        <v>DeleteObject</v>
      </c>
    </row>
    <row r="318" spans="20:22" x14ac:dyDescent="0.25">
      <c r="T318" s="7" t="str">
        <f ca="1"/>
        <v>Z7 II</v>
      </c>
      <c r="U318" s="7" t="str">
        <f ca="1"/>
        <v>0x100C</v>
      </c>
      <c r="V318" s="7" t="str">
        <f ca="1"/>
        <v>SendObjectInfo</v>
      </c>
    </row>
    <row r="319" spans="20:22" x14ac:dyDescent="0.25">
      <c r="T319" s="7" t="str">
        <f ca="1"/>
        <v>Z7 II</v>
      </c>
      <c r="U319" s="7" t="str">
        <f ca="1"/>
        <v>0x100D</v>
      </c>
      <c r="V319" s="7" t="str">
        <f ca="1"/>
        <v>SendObject</v>
      </c>
    </row>
    <row r="320" spans="20:22" x14ac:dyDescent="0.25">
      <c r="T320" s="7" t="str">
        <f ca="1"/>
        <v>Z7 II</v>
      </c>
      <c r="U320" s="7" t="str">
        <f ca="1"/>
        <v>0x100E</v>
      </c>
      <c r="V320" s="7" t="str">
        <f ca="1"/>
        <v>InitiateCapture</v>
      </c>
    </row>
    <row r="321" spans="20:22" x14ac:dyDescent="0.25">
      <c r="T321" s="7" t="str">
        <f ca="1"/>
        <v>Z7 II</v>
      </c>
      <c r="U321" s="7" t="str">
        <f ca="1"/>
        <v>0x100F</v>
      </c>
      <c r="V321" s="7" t="str">
        <f ca="1"/>
        <v>FormatStore</v>
      </c>
    </row>
    <row r="322" spans="20:22" x14ac:dyDescent="0.25">
      <c r="T322" s="7" t="str">
        <f ca="1"/>
        <v>Z7 II</v>
      </c>
      <c r="U322" s="7" t="str">
        <f ca="1"/>
        <v>0x1014</v>
      </c>
      <c r="V322" s="7" t="str">
        <f ca="1"/>
        <v>GetDevicePropDesc</v>
      </c>
    </row>
    <row r="323" spans="20:22" x14ac:dyDescent="0.25">
      <c r="T323" s="7" t="str">
        <f ca="1"/>
        <v>Z7 II</v>
      </c>
      <c r="U323" s="7" t="str">
        <f ca="1"/>
        <v>0x1015</v>
      </c>
      <c r="V323" s="7" t="str">
        <f ca="1"/>
        <v>GetDevicePropValue</v>
      </c>
    </row>
    <row r="324" spans="20:22" x14ac:dyDescent="0.25">
      <c r="T324" s="7" t="str">
        <f ca="1"/>
        <v>Z7 II</v>
      </c>
      <c r="U324" s="7" t="str">
        <f ca="1"/>
        <v>0x1016</v>
      </c>
      <c r="V324" s="7" t="str">
        <f ca="1"/>
        <v>SetDevicePropValue</v>
      </c>
    </row>
    <row r="325" spans="20:22" x14ac:dyDescent="0.25">
      <c r="T325" s="7" t="str">
        <f ca="1"/>
        <v>Z7 II</v>
      </c>
      <c r="U325" s="7" t="str">
        <f ca="1"/>
        <v>0x101B</v>
      </c>
      <c r="V325" s="7" t="str">
        <f ca="1"/>
        <v>GetPartialObject</v>
      </c>
    </row>
    <row r="326" spans="20:22" x14ac:dyDescent="0.25">
      <c r="T326" s="7" t="str">
        <f ca="1"/>
        <v>Z7 II</v>
      </c>
      <c r="U326" s="7" t="str">
        <f ca="1"/>
        <v>0x90C0</v>
      </c>
      <c r="V326" s="7" t="str">
        <f ca="1"/>
        <v>InitiateCaptureRecInSdram</v>
      </c>
    </row>
    <row r="327" spans="20:22" x14ac:dyDescent="0.25">
      <c r="T327" s="7" t="str">
        <f ca="1"/>
        <v>Z7 II</v>
      </c>
      <c r="U327" s="7" t="str">
        <f ca="1"/>
        <v>0x90C1</v>
      </c>
      <c r="V327" s="7" t="str">
        <f ca="1"/>
        <v>AfDrive</v>
      </c>
    </row>
    <row r="328" spans="20:22" x14ac:dyDescent="0.25">
      <c r="T328" s="7" t="str">
        <f ca="1"/>
        <v>Z7 II</v>
      </c>
      <c r="U328" s="7" t="str">
        <f ca="1"/>
        <v>0x90C2</v>
      </c>
      <c r="V328" s="7" t="str">
        <f ca="1"/>
        <v>ChangeCameraMode</v>
      </c>
    </row>
    <row r="329" spans="20:22" x14ac:dyDescent="0.25">
      <c r="T329" s="7" t="str">
        <f ca="1"/>
        <v>Z7 II</v>
      </c>
      <c r="U329" s="7" t="str">
        <f ca="1"/>
        <v>0x90C3</v>
      </c>
      <c r="V329" s="7" t="str">
        <f ca="1"/>
        <v>DeleteImagesInSdram</v>
      </c>
    </row>
    <row r="330" spans="20:22" x14ac:dyDescent="0.25">
      <c r="T330" s="7" t="str">
        <f ca="1"/>
        <v>Z7 II</v>
      </c>
      <c r="U330" s="7" t="str">
        <f ca="1"/>
        <v>0x90C4</v>
      </c>
      <c r="V330" s="7" t="str">
        <f ca="1"/>
        <v>GetLargeThumb</v>
      </c>
    </row>
    <row r="331" spans="20:22" x14ac:dyDescent="0.25">
      <c r="T331" s="7" t="str">
        <f ca="1"/>
        <v>Z7 II</v>
      </c>
      <c r="U331" s="7" t="str">
        <f ca="1"/>
        <v>0x90C7</v>
      </c>
      <c r="V331" s="7" t="str">
        <f ca="1"/>
        <v>GetEvent</v>
      </c>
    </row>
    <row r="332" spans="20:22" x14ac:dyDescent="0.25">
      <c r="T332" s="7" t="str">
        <f ca="1"/>
        <v>Z7 II</v>
      </c>
      <c r="U332" s="7" t="str">
        <f ca="1"/>
        <v>0x90C8</v>
      </c>
      <c r="V332" s="7" t="str">
        <f ca="1"/>
        <v>DeviceReady</v>
      </c>
    </row>
    <row r="333" spans="20:22" x14ac:dyDescent="0.25">
      <c r="T333" s="7" t="str">
        <f ca="1"/>
        <v>Z7 II</v>
      </c>
      <c r="U333" s="7" t="str">
        <f ca="1"/>
        <v>0x90C9</v>
      </c>
      <c r="V333" s="7" t="str">
        <f ca="1"/>
        <v>SetPreWbData</v>
      </c>
    </row>
    <row r="334" spans="20:22" x14ac:dyDescent="0.25">
      <c r="T334" s="7" t="str">
        <f ca="1"/>
        <v>Z7 II</v>
      </c>
      <c r="U334" s="7" t="str">
        <f ca="1"/>
        <v>0x90CA</v>
      </c>
      <c r="V334" s="7" t="str">
        <f ca="1"/>
        <v>GetVendorPropCodes</v>
      </c>
    </row>
    <row r="335" spans="20:22" x14ac:dyDescent="0.25">
      <c r="T335" s="7" t="str">
        <f ca="1"/>
        <v>Z7 II</v>
      </c>
      <c r="U335" s="7" t="str">
        <f ca="1"/>
        <v>0x90CB</v>
      </c>
      <c r="V335" s="7" t="str">
        <f ca="1"/>
        <v>AfAndCaptureRecInSdram</v>
      </c>
    </row>
    <row r="336" spans="20:22" x14ac:dyDescent="0.25">
      <c r="T336" s="7" t="str">
        <f ca="1"/>
        <v>Z7 II</v>
      </c>
      <c r="U336" s="7" t="str">
        <f ca="1"/>
        <v>0x90CC</v>
      </c>
      <c r="V336" s="7" t="str">
        <f ca="1"/>
        <v>GetPicCtrlData</v>
      </c>
    </row>
    <row r="337" spans="20:22" x14ac:dyDescent="0.25">
      <c r="T337" s="7" t="str">
        <f ca="1"/>
        <v>Z7 II</v>
      </c>
      <c r="U337" s="7" t="str">
        <f ca="1"/>
        <v>0x90CD</v>
      </c>
      <c r="V337" s="7" t="str">
        <f ca="1"/>
        <v>SetPicCtrlData</v>
      </c>
    </row>
    <row r="338" spans="20:22" x14ac:dyDescent="0.25">
      <c r="T338" s="7" t="str">
        <f ca="1"/>
        <v>Z7 II</v>
      </c>
      <c r="U338" s="7" t="str">
        <f ca="1"/>
        <v>0x90CE</v>
      </c>
      <c r="V338" s="7" t="str">
        <f ca="1"/>
        <v>DeleteCustomPicCtrl</v>
      </c>
    </row>
    <row r="339" spans="20:22" x14ac:dyDescent="0.25">
      <c r="T339" s="7" t="str">
        <f ca="1"/>
        <v>Z7 II</v>
      </c>
      <c r="U339" s="7" t="str">
        <f ca="1"/>
        <v>0x90CF</v>
      </c>
      <c r="V339" s="7" t="str">
        <f ca="1"/>
        <v>GetPicCtrlCapability</v>
      </c>
    </row>
    <row r="340" spans="20:22" x14ac:dyDescent="0.25">
      <c r="T340" s="7" t="str">
        <f ca="1"/>
        <v>Z7 II</v>
      </c>
      <c r="U340" s="7" t="str">
        <f ca="1"/>
        <v>0x9201</v>
      </c>
      <c r="V340" s="7" t="str">
        <f ca="1"/>
        <v>StartLiveView</v>
      </c>
    </row>
    <row r="341" spans="20:22" x14ac:dyDescent="0.25">
      <c r="T341" s="7" t="str">
        <f ca="1"/>
        <v>Z7 II</v>
      </c>
      <c r="U341" s="7" t="str">
        <f ca="1"/>
        <v>0x9202</v>
      </c>
      <c r="V341" s="7" t="str">
        <f ca="1"/>
        <v>EndLiveView</v>
      </c>
    </row>
    <row r="342" spans="20:22" x14ac:dyDescent="0.25">
      <c r="T342" s="7" t="str">
        <f ca="1"/>
        <v>Z7 II</v>
      </c>
      <c r="U342" s="7" t="str">
        <f ca="1"/>
        <v>0x9203</v>
      </c>
      <c r="V342" s="7" t="str">
        <f ca="1"/>
        <v>GetLiveViewImage</v>
      </c>
    </row>
    <row r="343" spans="20:22" x14ac:dyDescent="0.25">
      <c r="T343" s="7" t="str">
        <f ca="1"/>
        <v>Z7 II</v>
      </c>
      <c r="U343" s="7" t="str">
        <f ca="1"/>
        <v>0x9204</v>
      </c>
      <c r="V343" s="7" t="str">
        <f ca="1"/>
        <v>MfDrive</v>
      </c>
    </row>
    <row r="344" spans="20:22" x14ac:dyDescent="0.25">
      <c r="T344" s="7" t="str">
        <f ca="1"/>
        <v>Z7 II</v>
      </c>
      <c r="U344" s="7" t="str">
        <f ca="1"/>
        <v>0x9205</v>
      </c>
      <c r="V344" s="7" t="str">
        <f ca="1"/>
        <v>ChangeAfArea</v>
      </c>
    </row>
    <row r="345" spans="20:22" x14ac:dyDescent="0.25">
      <c r="T345" s="7" t="str">
        <f ca="1"/>
        <v>Z7 II</v>
      </c>
      <c r="U345" s="7" t="str">
        <f ca="1"/>
        <v>0x9206</v>
      </c>
      <c r="V345" s="7" t="str">
        <f ca="1"/>
        <v>AfDriveCancel</v>
      </c>
    </row>
    <row r="346" spans="20:22" x14ac:dyDescent="0.25">
      <c r="T346" s="7" t="str">
        <f ca="1"/>
        <v>Z7 II</v>
      </c>
      <c r="U346" s="7" t="str">
        <f ca="1"/>
        <v>0x9207</v>
      </c>
      <c r="V346" s="7" t="str">
        <f ca="1"/>
        <v>InitiateCaptureRecInMedia</v>
      </c>
    </row>
    <row r="347" spans="20:22" x14ac:dyDescent="0.25">
      <c r="T347" s="7" t="str">
        <f ca="1"/>
        <v>Z7 II</v>
      </c>
      <c r="U347" s="7" t="str">
        <f ca="1"/>
        <v>0x9209</v>
      </c>
      <c r="V347" s="7" t="str">
        <f ca="1"/>
        <v>GetVendorStorageIDs</v>
      </c>
    </row>
    <row r="348" spans="20:22" x14ac:dyDescent="0.25">
      <c r="T348" s="7" t="str">
        <f ca="1"/>
        <v>Z7 II</v>
      </c>
      <c r="U348" s="7" t="str">
        <f ca="1"/>
        <v>0x920A</v>
      </c>
      <c r="V348" s="7" t="str">
        <f ca="1"/>
        <v>StartMovieRecord</v>
      </c>
    </row>
    <row r="349" spans="20:22" x14ac:dyDescent="0.25">
      <c r="T349" s="7" t="str">
        <f ca="1"/>
        <v>Z7 II</v>
      </c>
      <c r="U349" s="7" t="str">
        <f ca="1"/>
        <v>0x920B</v>
      </c>
      <c r="V349" s="7" t="str">
        <f ca="1"/>
        <v>EndMovieRecord</v>
      </c>
    </row>
    <row r="350" spans="20:22" x14ac:dyDescent="0.25">
      <c r="T350" s="7" t="str">
        <f ca="1"/>
        <v>Z7 II</v>
      </c>
      <c r="U350" s="7" t="str">
        <f ca="1"/>
        <v>0x920C</v>
      </c>
      <c r="V350" s="7" t="str">
        <f ca="1"/>
        <v>TerminateCapture</v>
      </c>
    </row>
    <row r="351" spans="20:22" x14ac:dyDescent="0.25">
      <c r="T351" s="7" t="str">
        <f ca="1"/>
        <v>Z7 II</v>
      </c>
      <c r="U351" s="7" t="str">
        <f ca="1"/>
        <v>0x920F</v>
      </c>
      <c r="V351" s="7" t="str">
        <f ca="1"/>
        <v>GetFhdPicture</v>
      </c>
    </row>
    <row r="352" spans="20:22" x14ac:dyDescent="0.25">
      <c r="T352" s="7" t="str">
        <f ca="1"/>
        <v>Z7 II</v>
      </c>
      <c r="U352" s="7" t="str">
        <f ca="1"/>
        <v>0x9400</v>
      </c>
      <c r="V352" s="7" t="str">
        <f ca="1"/>
        <v>GetPartialObjectHighSpeed</v>
      </c>
    </row>
    <row r="353" spans="20:22" x14ac:dyDescent="0.25">
      <c r="T353" s="7" t="str">
        <f ca="1"/>
        <v>Z7 II</v>
      </c>
      <c r="U353" s="7" t="str">
        <f ca="1"/>
        <v>0x9402</v>
      </c>
      <c r="V353" s="7" t="str">
        <f ca="1"/>
        <v>StartSpotWb</v>
      </c>
    </row>
    <row r="354" spans="20:22" x14ac:dyDescent="0.25">
      <c r="T354" s="7" t="str">
        <f ca="1"/>
        <v>Z7 II</v>
      </c>
      <c r="U354" s="7" t="str">
        <f ca="1"/>
        <v>0x9403</v>
      </c>
      <c r="V354" s="7" t="str">
        <f ca="1"/>
        <v>EndSpotWb</v>
      </c>
    </row>
    <row r="355" spans="20:22" x14ac:dyDescent="0.25">
      <c r="T355" s="7" t="str">
        <f ca="1"/>
        <v>Z7 II</v>
      </c>
      <c r="U355" s="7" t="str">
        <f ca="1"/>
        <v>0x9404</v>
      </c>
      <c r="V355" s="7" t="str">
        <f ca="1"/>
        <v>ChangeSpotWbArea</v>
      </c>
    </row>
    <row r="356" spans="20:22" x14ac:dyDescent="0.25">
      <c r="T356" s="7" t="str">
        <f ca="1"/>
        <v>Z7 II</v>
      </c>
      <c r="U356" s="7" t="str">
        <f ca="1"/>
        <v>0x9405</v>
      </c>
      <c r="V356" s="7" t="str">
        <f ca="1"/>
        <v>MeasureSpotWb</v>
      </c>
    </row>
    <row r="357" spans="20:22" x14ac:dyDescent="0.25">
      <c r="T357" s="7" t="str">
        <f ca="1"/>
        <v>Z7 II</v>
      </c>
      <c r="U357" s="7" t="str">
        <f ca="1"/>
        <v>0x9406</v>
      </c>
      <c r="V357" s="7" t="str">
        <f ca="1"/>
        <v>EndSpotWbResultDisp</v>
      </c>
    </row>
    <row r="358" spans="20:22" x14ac:dyDescent="0.25">
      <c r="T358" s="7" t="str">
        <f ca="1"/>
        <v>Z7 II</v>
      </c>
      <c r="U358" s="7" t="str">
        <f ca="1"/>
        <v>0x940C</v>
      </c>
      <c r="V358" s="7" t="str">
        <f ca="1"/>
        <v>CancelImagesInSdram</v>
      </c>
    </row>
    <row r="359" spans="20:22" x14ac:dyDescent="0.25">
      <c r="T359" s="7" t="str">
        <f ca="1"/>
        <v>Z7 II</v>
      </c>
      <c r="U359" s="7" t="str">
        <f ca="1"/>
        <v>0x9414</v>
      </c>
      <c r="V359" s="7" t="str">
        <f ca="1"/>
        <v>GetSBHandles</v>
      </c>
    </row>
    <row r="360" spans="20:22" x14ac:dyDescent="0.25">
      <c r="T360" s="7" t="str">
        <f ca="1"/>
        <v>Z7 II</v>
      </c>
      <c r="U360" s="7" t="str">
        <f ca="1"/>
        <v>0x9415</v>
      </c>
      <c r="V360" s="7" t="str">
        <f ca="1"/>
        <v>GetSBAttrDesc</v>
      </c>
    </row>
    <row r="361" spans="20:22" x14ac:dyDescent="0.25">
      <c r="T361" s="7" t="str">
        <f ca="1"/>
        <v>Z7 II</v>
      </c>
      <c r="U361" s="7" t="str">
        <f ca="1"/>
        <v>0x9416</v>
      </c>
      <c r="V361" s="7" t="str">
        <f ca="1"/>
        <v>GetSBAttrValue</v>
      </c>
    </row>
    <row r="362" spans="20:22" x14ac:dyDescent="0.25">
      <c r="T362" s="7" t="str">
        <f ca="1"/>
        <v>Z7 II</v>
      </c>
      <c r="U362" s="7" t="str">
        <f ca="1"/>
        <v>0x9417</v>
      </c>
      <c r="V362" s="7" t="str">
        <f ca="1"/>
        <v>SetSBAttrValue</v>
      </c>
    </row>
    <row r="363" spans="20:22" x14ac:dyDescent="0.25">
      <c r="T363" s="7" t="str">
        <f ca="1"/>
        <v>Z7 II</v>
      </c>
      <c r="U363" s="7" t="str">
        <f ca="1"/>
        <v>0x9418</v>
      </c>
      <c r="V363" s="7" t="str">
        <f ca="1"/>
        <v>GetSBGroupAttrDesc</v>
      </c>
    </row>
    <row r="364" spans="20:22" x14ac:dyDescent="0.25">
      <c r="T364" s="7" t="str">
        <f ca="1"/>
        <v>Z7 II</v>
      </c>
      <c r="U364" s="7" t="str">
        <f ca="1"/>
        <v>0x9419</v>
      </c>
      <c r="V364" s="7" t="str">
        <f ca="1"/>
        <v>GetSBGroupAttrValue</v>
      </c>
    </row>
    <row r="365" spans="20:22" x14ac:dyDescent="0.25">
      <c r="T365" s="7" t="str">
        <f ca="1"/>
        <v>Z7 II</v>
      </c>
      <c r="U365" s="7" t="str">
        <f ca="1"/>
        <v>0x941A</v>
      </c>
      <c r="V365" s="7" t="str">
        <f ca="1"/>
        <v>SetSBGroupAttrValue</v>
      </c>
    </row>
    <row r="366" spans="20:22" x14ac:dyDescent="0.25">
      <c r="T366" s="7" t="str">
        <f ca="1"/>
        <v>Z7 II</v>
      </c>
      <c r="U366" s="7" t="str">
        <f ca="1"/>
        <v>0x941B</v>
      </c>
      <c r="V366" s="7" t="str">
        <f ca="1"/>
        <v>TestFlash</v>
      </c>
    </row>
    <row r="367" spans="20:22" x14ac:dyDescent="0.25">
      <c r="T367" s="7" t="str">
        <f ca="1"/>
        <v>Z7 II</v>
      </c>
      <c r="U367" s="7" t="str">
        <f ca="1"/>
        <v>0x941C</v>
      </c>
      <c r="V367" s="7" t="str">
        <f ca="1"/>
        <v>GetEventEx</v>
      </c>
    </row>
    <row r="368" spans="20:22" x14ac:dyDescent="0.25">
      <c r="T368" s="7" t="str">
        <f ca="1"/>
        <v>Z7 II</v>
      </c>
      <c r="U368" s="7" t="str">
        <f ca="1"/>
        <v>0x9420</v>
      </c>
      <c r="V368" s="7" t="str">
        <f ca="1"/>
        <v>SaveCameraSetting</v>
      </c>
    </row>
    <row r="369" spans="20:22" x14ac:dyDescent="0.25">
      <c r="T369" s="7" t="str">
        <f ca="1"/>
        <v>Z7 II</v>
      </c>
      <c r="U369" s="7" t="str">
        <f ca="1"/>
        <v>0x9421</v>
      </c>
      <c r="V369" s="7" t="str">
        <f ca="1"/>
        <v>GetObjectSize</v>
      </c>
    </row>
    <row r="370" spans="20:22" x14ac:dyDescent="0.25">
      <c r="T370" s="7" t="str">
        <f ca="1"/>
        <v>Z7 II</v>
      </c>
      <c r="U370" s="7" t="str">
        <f ca="1"/>
        <v>0x9422</v>
      </c>
      <c r="V370" s="7" t="str">
        <f ca="1"/>
        <v>ChangeMonitorOff</v>
      </c>
    </row>
    <row r="371" spans="20:22" x14ac:dyDescent="0.25">
      <c r="T371" s="7" t="str">
        <f ca="1"/>
        <v>Z7 II</v>
      </c>
      <c r="U371" s="7" t="str">
        <f ca="1"/>
        <v>0x9423</v>
      </c>
      <c r="V371" s="7" t="str">
        <f ca="1"/>
        <v>GetLiveViewCompressedSize</v>
      </c>
    </row>
    <row r="372" spans="20:22" x14ac:dyDescent="0.25">
      <c r="T372" s="7" t="str">
        <f ca="1"/>
        <v>Z7 II</v>
      </c>
      <c r="U372" s="7" t="str">
        <f ca="1"/>
        <v>0x9424</v>
      </c>
      <c r="V372" s="7" t="str">
        <f ca="1"/>
        <v>StartTracking</v>
      </c>
    </row>
    <row r="373" spans="20:22" x14ac:dyDescent="0.25">
      <c r="T373" s="7" t="str">
        <f ca="1"/>
        <v>Z7 II</v>
      </c>
      <c r="U373" s="7" t="str">
        <f ca="1"/>
        <v>0x9425</v>
      </c>
      <c r="V373" s="7" t="str">
        <f ca="1"/>
        <v>EndTracking</v>
      </c>
    </row>
    <row r="374" spans="20:22" x14ac:dyDescent="0.25">
      <c r="T374" s="7" t="str">
        <f ca="1"/>
        <v>Z7 II</v>
      </c>
      <c r="U374" s="7" t="str">
        <f ca="1"/>
        <v>0x9426</v>
      </c>
      <c r="V374" s="7" t="str">
        <f ca="1"/>
        <v>ChangeAELock</v>
      </c>
    </row>
    <row r="375" spans="20:22" x14ac:dyDescent="0.25">
      <c r="T375" s="7" t="str">
        <f ca="1"/>
        <v>Z7 II</v>
      </c>
      <c r="U375" s="7" t="str">
        <f ca="1"/>
        <v>0x9428</v>
      </c>
      <c r="V375" s="7" t="str">
        <f ca="1"/>
        <v>GetLiveViewImageEx</v>
      </c>
    </row>
    <row r="376" spans="20:22" x14ac:dyDescent="0.25">
      <c r="T376" s="7" t="str">
        <f ca="1"/>
        <v>Z7 II</v>
      </c>
      <c r="U376" s="7" t="str">
        <f ca="1"/>
        <v>0x9431</v>
      </c>
      <c r="V376" s="7" t="str">
        <f ca="1"/>
        <v>GetPartialObjectEx</v>
      </c>
    </row>
    <row r="377" spans="20:22" x14ac:dyDescent="0.25">
      <c r="T377" s="7" t="str">
        <f ca="1"/>
        <v>Z7 II</v>
      </c>
      <c r="U377" s="7" t="str">
        <f ca="1"/>
        <v>0x9432</v>
      </c>
      <c r="V377" s="7" t="str">
        <f ca="1"/>
        <v>GetManualSettingLensData</v>
      </c>
    </row>
    <row r="378" spans="20:22" x14ac:dyDescent="0.25">
      <c r="T378" s="7" t="str">
        <f ca="1"/>
        <v>Z7 II</v>
      </c>
      <c r="U378" s="7" t="str">
        <f ca="1"/>
        <v>0x9433</v>
      </c>
      <c r="V378" s="7" t="str">
        <f ca="1"/>
        <v>InitiatePixelMapping</v>
      </c>
    </row>
    <row r="379" spans="20:22" x14ac:dyDescent="0.25">
      <c r="T379" s="7" t="str">
        <f ca="1"/>
        <v>Z7 II</v>
      </c>
      <c r="U379" s="7" t="str">
        <f ca="1"/>
        <v>0x9434</v>
      </c>
      <c r="V379" s="7" t="str">
        <f ca="1"/>
        <v>GetObjectsMetaData</v>
      </c>
    </row>
    <row r="380" spans="20:22" x14ac:dyDescent="0.25">
      <c r="T380" s="7" t="str">
        <f ca="1"/>
        <v>Z7 II</v>
      </c>
      <c r="U380" s="7" t="str">
        <f ca="1"/>
        <v>0x9435</v>
      </c>
      <c r="V380" s="7" t="str">
        <f ca="1"/>
        <v>ChangeApplicationMode</v>
      </c>
    </row>
    <row r="381" spans="20:22" x14ac:dyDescent="0.25">
      <c r="T381" s="7" t="str">
        <f ca="1"/>
        <v>Z7 II</v>
      </c>
      <c r="U381" s="7" t="str">
        <f ca="1"/>
        <v>0x9436</v>
      </c>
      <c r="V381" s="7" t="str">
        <f ca="1"/>
        <v>ResetMenu</v>
      </c>
    </row>
    <row r="382" spans="20:22" x14ac:dyDescent="0.25">
      <c r="T382" s="7" t="str">
        <f ca="1"/>
        <v>Z7 II</v>
      </c>
      <c r="U382" s="7" t="str">
        <f ca="1"/>
        <v>0x9801</v>
      </c>
      <c r="V382" s="7" t="str">
        <f ca="1"/>
        <v>GetObjectPropsSupported</v>
      </c>
    </row>
    <row r="383" spans="20:22" x14ac:dyDescent="0.25">
      <c r="T383" s="7" t="str">
        <f ca="1"/>
        <v>Z7 II</v>
      </c>
      <c r="U383" s="7" t="str">
        <f ca="1"/>
        <v>0x9802</v>
      </c>
      <c r="V383" s="7" t="str">
        <f ca="1"/>
        <v>GetObjectPropDesc</v>
      </c>
    </row>
    <row r="384" spans="20:22" x14ac:dyDescent="0.25">
      <c r="T384" s="7" t="str">
        <f ca="1"/>
        <v>Z7 II</v>
      </c>
      <c r="U384" s="7" t="str">
        <f ca="1"/>
        <v>0x9803</v>
      </c>
      <c r="V384" s="7" t="str">
        <f ca="1"/>
        <v>GetObjectPropValue</v>
      </c>
    </row>
    <row r="385" spans="20:22" x14ac:dyDescent="0.25">
      <c r="T385" s="7" t="str">
        <f ca="1"/>
        <v>Z7 II</v>
      </c>
      <c r="U385" s="7" t="str">
        <f ca="1"/>
        <v>0x9805</v>
      </c>
      <c r="V385" s="7" t="str">
        <f ca="1"/>
        <v>GetObjectPropList</v>
      </c>
    </row>
    <row r="386" spans="20:22" x14ac:dyDescent="0.25">
      <c r="T386" s="7" t="str">
        <f ca="1"/>
        <v>Z50</v>
      </c>
      <c r="U386" s="7" t="str">
        <f ca="1"/>
        <v>0x1001</v>
      </c>
      <c r="V386" s="7" t="str">
        <f ca="1"/>
        <v>GetDeviceInfo</v>
      </c>
    </row>
    <row r="387" spans="20:22" x14ac:dyDescent="0.25">
      <c r="T387" s="7" t="str">
        <f ca="1"/>
        <v>Z50</v>
      </c>
      <c r="U387" s="7" t="str">
        <f ca="1"/>
        <v>0x1002</v>
      </c>
      <c r="V387" s="7" t="str">
        <f ca="1"/>
        <v>OpenSession</v>
      </c>
    </row>
    <row r="388" spans="20:22" x14ac:dyDescent="0.25">
      <c r="T388" s="7" t="str">
        <f ca="1"/>
        <v>Z50</v>
      </c>
      <c r="U388" s="7" t="str">
        <f ca="1"/>
        <v>0x1003</v>
      </c>
      <c r="V388" s="7" t="str">
        <f ca="1"/>
        <v>CloseSession</v>
      </c>
    </row>
    <row r="389" spans="20:22" x14ac:dyDescent="0.25">
      <c r="T389" s="7" t="str">
        <f ca="1"/>
        <v>Z50</v>
      </c>
      <c r="U389" s="7" t="str">
        <f ca="1"/>
        <v>0x1004</v>
      </c>
      <c r="V389" s="7" t="str">
        <f ca="1"/>
        <v>GetStorageIDs</v>
      </c>
    </row>
    <row r="390" spans="20:22" x14ac:dyDescent="0.25">
      <c r="T390" s="7" t="str">
        <f ca="1"/>
        <v>Z50</v>
      </c>
      <c r="U390" s="7" t="str">
        <f ca="1"/>
        <v>0x1005</v>
      </c>
      <c r="V390" s="7" t="str">
        <f ca="1"/>
        <v>GetStorageInfo</v>
      </c>
    </row>
    <row r="391" spans="20:22" x14ac:dyDescent="0.25">
      <c r="T391" s="7" t="str">
        <f ca="1"/>
        <v>Z50</v>
      </c>
      <c r="U391" s="7" t="str">
        <f ca="1"/>
        <v>0x1006</v>
      </c>
      <c r="V391" s="7" t="str">
        <f ca="1"/>
        <v>GetNumObjects</v>
      </c>
    </row>
    <row r="392" spans="20:22" x14ac:dyDescent="0.25">
      <c r="T392" s="7" t="str">
        <f ca="1"/>
        <v>Z50</v>
      </c>
      <c r="U392" s="7" t="str">
        <f ca="1"/>
        <v>0x1007</v>
      </c>
      <c r="V392" s="7" t="str">
        <f ca="1"/>
        <v>GetObjectHandles</v>
      </c>
    </row>
    <row r="393" spans="20:22" x14ac:dyDescent="0.25">
      <c r="T393" s="7" t="str">
        <f ca="1"/>
        <v>Z50</v>
      </c>
      <c r="U393" s="7" t="str">
        <f ca="1"/>
        <v>0x1008</v>
      </c>
      <c r="V393" s="7" t="str">
        <f ca="1"/>
        <v>GetObjectInfo</v>
      </c>
    </row>
    <row r="394" spans="20:22" x14ac:dyDescent="0.25">
      <c r="T394" s="7" t="str">
        <f ca="1"/>
        <v>Z50</v>
      </c>
      <c r="U394" s="7" t="str">
        <f ca="1"/>
        <v>0x1009</v>
      </c>
      <c r="V394" s="7" t="str">
        <f ca="1"/>
        <v>GetObject</v>
      </c>
    </row>
    <row r="395" spans="20:22" x14ac:dyDescent="0.25">
      <c r="T395" s="7" t="str">
        <f ca="1"/>
        <v>Z50</v>
      </c>
      <c r="U395" s="7" t="str">
        <f ca="1"/>
        <v>0x100A</v>
      </c>
      <c r="V395" s="7" t="str">
        <f ca="1"/>
        <v>GetThumb</v>
      </c>
    </row>
    <row r="396" spans="20:22" x14ac:dyDescent="0.25">
      <c r="T396" s="7" t="str">
        <f ca="1"/>
        <v>Z50</v>
      </c>
      <c r="U396" s="7" t="str">
        <f ca="1"/>
        <v>0x100B</v>
      </c>
      <c r="V396" s="7" t="str">
        <f ca="1"/>
        <v>DeleteObject</v>
      </c>
    </row>
    <row r="397" spans="20:22" x14ac:dyDescent="0.25">
      <c r="T397" s="7" t="str">
        <f ca="1"/>
        <v>Z50</v>
      </c>
      <c r="U397" s="7" t="str">
        <f ca="1"/>
        <v>0x100C</v>
      </c>
      <c r="V397" s="7" t="str">
        <f ca="1"/>
        <v>SendObjectInfo</v>
      </c>
    </row>
    <row r="398" spans="20:22" x14ac:dyDescent="0.25">
      <c r="T398" s="7" t="str">
        <f ca="1"/>
        <v>Z50</v>
      </c>
      <c r="U398" s="7" t="str">
        <f ca="1"/>
        <v>0x100D</v>
      </c>
      <c r="V398" s="7" t="str">
        <f ca="1"/>
        <v>SendObject</v>
      </c>
    </row>
    <row r="399" spans="20:22" x14ac:dyDescent="0.25">
      <c r="T399" s="7" t="str">
        <f ca="1"/>
        <v>Z50</v>
      </c>
      <c r="U399" s="7" t="str">
        <f ca="1"/>
        <v>0x100E</v>
      </c>
      <c r="V399" s="7" t="str">
        <f ca="1"/>
        <v>InitiateCapture</v>
      </c>
    </row>
    <row r="400" spans="20:22" x14ac:dyDescent="0.25">
      <c r="T400" s="7" t="str">
        <f ca="1"/>
        <v>Z50</v>
      </c>
      <c r="U400" s="7" t="str">
        <f ca="1"/>
        <v>0x100F</v>
      </c>
      <c r="V400" s="7" t="str">
        <f ca="1"/>
        <v>FormatStore</v>
      </c>
    </row>
    <row r="401" spans="20:22" x14ac:dyDescent="0.25">
      <c r="T401" s="7" t="str">
        <f ca="1"/>
        <v>Z50</v>
      </c>
      <c r="U401" s="7" t="str">
        <f ca="1"/>
        <v>0x1014</v>
      </c>
      <c r="V401" s="7" t="str">
        <f ca="1"/>
        <v>GetDevicePropDesc</v>
      </c>
    </row>
    <row r="402" spans="20:22" x14ac:dyDescent="0.25">
      <c r="T402" s="7" t="str">
        <f ca="1"/>
        <v>Z50</v>
      </c>
      <c r="U402" s="7" t="str">
        <f ca="1"/>
        <v>0x1015</v>
      </c>
      <c r="V402" s="7" t="str">
        <f ca="1"/>
        <v>GetDevicePropValue</v>
      </c>
    </row>
    <row r="403" spans="20:22" x14ac:dyDescent="0.25">
      <c r="T403" s="7" t="str">
        <f ca="1"/>
        <v>Z50</v>
      </c>
      <c r="U403" s="7" t="str">
        <f ca="1"/>
        <v>0x1016</v>
      </c>
      <c r="V403" s="7" t="str">
        <f ca="1"/>
        <v>SetDevicePropValue</v>
      </c>
    </row>
    <row r="404" spans="20:22" x14ac:dyDescent="0.25">
      <c r="T404" s="7" t="str">
        <f ca="1"/>
        <v>Z50</v>
      </c>
      <c r="U404" s="7" t="str">
        <f ca="1"/>
        <v>0x101B</v>
      </c>
      <c r="V404" s="7" t="str">
        <f ca="1"/>
        <v>GetPartialObject</v>
      </c>
    </row>
    <row r="405" spans="20:22" x14ac:dyDescent="0.25">
      <c r="T405" s="7" t="str">
        <f ca="1"/>
        <v>Z50</v>
      </c>
      <c r="U405" s="7" t="str">
        <f ca="1"/>
        <v>0x90C0</v>
      </c>
      <c r="V405" s="7" t="str">
        <f ca="1"/>
        <v>InitiateCaptureRecInSdram</v>
      </c>
    </row>
    <row r="406" spans="20:22" x14ac:dyDescent="0.25">
      <c r="T406" s="7" t="str">
        <f ca="1"/>
        <v>Z50</v>
      </c>
      <c r="U406" s="7" t="str">
        <f ca="1"/>
        <v>0x90C1</v>
      </c>
      <c r="V406" s="7" t="str">
        <f ca="1"/>
        <v>AfDrive</v>
      </c>
    </row>
    <row r="407" spans="20:22" x14ac:dyDescent="0.25">
      <c r="T407" s="7" t="str">
        <f ca="1"/>
        <v>Z50</v>
      </c>
      <c r="U407" s="7" t="str">
        <f ca="1"/>
        <v>0x90C2</v>
      </c>
      <c r="V407" s="7" t="str">
        <f ca="1"/>
        <v>ChangeCameraMode</v>
      </c>
    </row>
    <row r="408" spans="20:22" x14ac:dyDescent="0.25">
      <c r="T408" s="7" t="str">
        <f ca="1"/>
        <v>Z50</v>
      </c>
      <c r="U408" s="7" t="str">
        <f ca="1"/>
        <v>0x90C3</v>
      </c>
      <c r="V408" s="7" t="str">
        <f ca="1"/>
        <v>DeleteImagesInSdram</v>
      </c>
    </row>
    <row r="409" spans="20:22" x14ac:dyDescent="0.25">
      <c r="T409" s="7" t="str">
        <f ca="1"/>
        <v>Z50</v>
      </c>
      <c r="U409" s="7" t="str">
        <f ca="1"/>
        <v>0x90C4</v>
      </c>
      <c r="V409" s="7" t="str">
        <f ca="1"/>
        <v>GetLargeThumb</v>
      </c>
    </row>
    <row r="410" spans="20:22" x14ac:dyDescent="0.25">
      <c r="T410" s="7" t="str">
        <f ca="1"/>
        <v>Z50</v>
      </c>
      <c r="U410" s="7" t="str">
        <f ca="1"/>
        <v>0x90C7</v>
      </c>
      <c r="V410" s="7" t="str">
        <f ca="1"/>
        <v>GetEvent</v>
      </c>
    </row>
    <row r="411" spans="20:22" x14ac:dyDescent="0.25">
      <c r="T411" s="7" t="str">
        <f ca="1"/>
        <v>Z50</v>
      </c>
      <c r="U411" s="7" t="str">
        <f ca="1"/>
        <v>0x90C8</v>
      </c>
      <c r="V411" s="7" t="str">
        <f ca="1"/>
        <v>DeviceReady</v>
      </c>
    </row>
    <row r="412" spans="20:22" x14ac:dyDescent="0.25">
      <c r="T412" s="7" t="str">
        <f ca="1"/>
        <v>Z50</v>
      </c>
      <c r="U412" s="7" t="str">
        <f ca="1"/>
        <v>0x90C9</v>
      </c>
      <c r="V412" s="7" t="str">
        <f ca="1"/>
        <v>SetPreWbData</v>
      </c>
    </row>
    <row r="413" spans="20:22" x14ac:dyDescent="0.25">
      <c r="T413" s="7" t="str">
        <f ca="1"/>
        <v>Z50</v>
      </c>
      <c r="U413" s="7" t="str">
        <f ca="1"/>
        <v>0x90CA</v>
      </c>
      <c r="V413" s="7" t="str">
        <f ca="1"/>
        <v>GetVendorPropCodes</v>
      </c>
    </row>
    <row r="414" spans="20:22" x14ac:dyDescent="0.25">
      <c r="T414" s="7" t="str">
        <f ca="1"/>
        <v>Z50</v>
      </c>
      <c r="U414" s="7" t="str">
        <f ca="1"/>
        <v>0x90CB</v>
      </c>
      <c r="V414" s="7" t="str">
        <f ca="1"/>
        <v>AfAndCaptureRecInSdram</v>
      </c>
    </row>
    <row r="415" spans="20:22" x14ac:dyDescent="0.25">
      <c r="T415" s="7" t="str">
        <f ca="1"/>
        <v>Z50</v>
      </c>
      <c r="U415" s="7" t="str">
        <f ca="1"/>
        <v>0x90CC</v>
      </c>
      <c r="V415" s="7" t="str">
        <f ca="1"/>
        <v>GetPicCtrlData</v>
      </c>
    </row>
    <row r="416" spans="20:22" x14ac:dyDescent="0.25">
      <c r="T416" s="7" t="str">
        <f ca="1"/>
        <v>Z50</v>
      </c>
      <c r="U416" s="7" t="str">
        <f ca="1"/>
        <v>0x90CD</v>
      </c>
      <c r="V416" s="7" t="str">
        <f ca="1"/>
        <v>SetPicCtrlData</v>
      </c>
    </row>
    <row r="417" spans="20:22" x14ac:dyDescent="0.25">
      <c r="T417" s="7" t="str">
        <f ca="1"/>
        <v>Z50</v>
      </c>
      <c r="U417" s="7" t="str">
        <f ca="1"/>
        <v>0x90CE</v>
      </c>
      <c r="V417" s="7" t="str">
        <f ca="1"/>
        <v>DeleteCustomPicCtrl</v>
      </c>
    </row>
    <row r="418" spans="20:22" x14ac:dyDescent="0.25">
      <c r="T418" s="7" t="str">
        <f ca="1"/>
        <v>Z50</v>
      </c>
      <c r="U418" s="7" t="str">
        <f ca="1"/>
        <v>0x90CF</v>
      </c>
      <c r="V418" s="7" t="str">
        <f ca="1"/>
        <v>GetPicCtrlCapability</v>
      </c>
    </row>
    <row r="419" spans="20:22" x14ac:dyDescent="0.25">
      <c r="T419" s="7" t="str">
        <f ca="1"/>
        <v>Z50</v>
      </c>
      <c r="U419" s="7" t="str">
        <f ca="1"/>
        <v>0x9201</v>
      </c>
      <c r="V419" s="7" t="str">
        <f ca="1"/>
        <v>StartLiveView</v>
      </c>
    </row>
    <row r="420" spans="20:22" x14ac:dyDescent="0.25">
      <c r="T420" s="7" t="str">
        <f ca="1"/>
        <v>Z50</v>
      </c>
      <c r="U420" s="7" t="str">
        <f ca="1"/>
        <v>0x9202</v>
      </c>
      <c r="V420" s="7" t="str">
        <f ca="1"/>
        <v>EndLiveView</v>
      </c>
    </row>
    <row r="421" spans="20:22" x14ac:dyDescent="0.25">
      <c r="T421" s="7" t="str">
        <f ca="1"/>
        <v>Z50</v>
      </c>
      <c r="U421" s="7" t="str">
        <f ca="1"/>
        <v>0x9203</v>
      </c>
      <c r="V421" s="7" t="str">
        <f ca="1"/>
        <v>GetLiveViewImage</v>
      </c>
    </row>
    <row r="422" spans="20:22" x14ac:dyDescent="0.25">
      <c r="T422" s="7" t="str">
        <f ca="1"/>
        <v>Z50</v>
      </c>
      <c r="U422" s="7" t="str">
        <f ca="1"/>
        <v>0x9204</v>
      </c>
      <c r="V422" s="7" t="str">
        <f ca="1"/>
        <v>MfDrive</v>
      </c>
    </row>
    <row r="423" spans="20:22" x14ac:dyDescent="0.25">
      <c r="T423" s="7" t="str">
        <f ca="1"/>
        <v>Z50</v>
      </c>
      <c r="U423" s="7" t="str">
        <f ca="1"/>
        <v>0x9205</v>
      </c>
      <c r="V423" s="7" t="str">
        <f ca="1"/>
        <v>ChangeAfArea</v>
      </c>
    </row>
    <row r="424" spans="20:22" x14ac:dyDescent="0.25">
      <c r="T424" s="7" t="str">
        <f ca="1"/>
        <v>Z50</v>
      </c>
      <c r="U424" s="7" t="str">
        <f ca="1"/>
        <v>0x9206</v>
      </c>
      <c r="V424" s="7" t="str">
        <f ca="1"/>
        <v>AfDriveCancel</v>
      </c>
    </row>
    <row r="425" spans="20:22" x14ac:dyDescent="0.25">
      <c r="T425" s="7" t="str">
        <f ca="1"/>
        <v>Z50</v>
      </c>
      <c r="U425" s="7" t="str">
        <f ca="1"/>
        <v>0x9207</v>
      </c>
      <c r="V425" s="7" t="str">
        <f ca="1"/>
        <v>InitiateCaptureRecInMedia</v>
      </c>
    </row>
    <row r="426" spans="20:22" x14ac:dyDescent="0.25">
      <c r="T426" s="7" t="str">
        <f ca="1"/>
        <v>Z50</v>
      </c>
      <c r="U426" s="7" t="str">
        <f ca="1"/>
        <v>0x9209</v>
      </c>
      <c r="V426" s="7" t="str">
        <f ca="1"/>
        <v>GetVendorStorageIDs</v>
      </c>
    </row>
    <row r="427" spans="20:22" x14ac:dyDescent="0.25">
      <c r="T427" s="7" t="str">
        <f ca="1"/>
        <v>Z50</v>
      </c>
      <c r="U427" s="7" t="str">
        <f ca="1"/>
        <v>0x920A</v>
      </c>
      <c r="V427" s="7" t="str">
        <f ca="1"/>
        <v>StartMovieRecord</v>
      </c>
    </row>
    <row r="428" spans="20:22" x14ac:dyDescent="0.25">
      <c r="T428" s="7" t="str">
        <f ca="1"/>
        <v>Z50</v>
      </c>
      <c r="U428" s="7" t="str">
        <f ca="1"/>
        <v>0x920B</v>
      </c>
      <c r="V428" s="7" t="str">
        <f ca="1"/>
        <v>EndMovieRecord</v>
      </c>
    </row>
    <row r="429" spans="20:22" x14ac:dyDescent="0.25">
      <c r="T429" s="7" t="str">
        <f ca="1"/>
        <v>Z50</v>
      </c>
      <c r="U429" s="7" t="str">
        <f ca="1"/>
        <v>0x920C</v>
      </c>
      <c r="V429" s="7" t="str">
        <f ca="1"/>
        <v>TerminateCapture</v>
      </c>
    </row>
    <row r="430" spans="20:22" x14ac:dyDescent="0.25">
      <c r="T430" s="7" t="str">
        <f ca="1"/>
        <v>Z50</v>
      </c>
      <c r="U430" s="7" t="str">
        <f ca="1"/>
        <v>0x920F</v>
      </c>
      <c r="V430" s="7" t="str">
        <f ca="1"/>
        <v>GetFhdPicture</v>
      </c>
    </row>
    <row r="431" spans="20:22" x14ac:dyDescent="0.25">
      <c r="T431" s="7" t="str">
        <f ca="1"/>
        <v>Z50</v>
      </c>
      <c r="U431" s="7" t="str">
        <f ca="1"/>
        <v>0x9400</v>
      </c>
      <c r="V431" s="7" t="str">
        <f ca="1"/>
        <v>GetPartialObjectHighSpeed</v>
      </c>
    </row>
    <row r="432" spans="20:22" x14ac:dyDescent="0.25">
      <c r="T432" s="7" t="str">
        <f ca="1"/>
        <v>Z50</v>
      </c>
      <c r="U432" s="7" t="str">
        <f ca="1"/>
        <v>0x9402</v>
      </c>
      <c r="V432" s="7" t="str">
        <f ca="1"/>
        <v>StartSpotWb</v>
      </c>
    </row>
    <row r="433" spans="20:22" x14ac:dyDescent="0.25">
      <c r="T433" s="7" t="str">
        <f ca="1"/>
        <v>Z50</v>
      </c>
      <c r="U433" s="7" t="str">
        <f ca="1"/>
        <v>0x9403</v>
      </c>
      <c r="V433" s="7" t="str">
        <f ca="1"/>
        <v>EndSpotWb</v>
      </c>
    </row>
    <row r="434" spans="20:22" x14ac:dyDescent="0.25">
      <c r="T434" s="7" t="str">
        <f ca="1"/>
        <v>Z50</v>
      </c>
      <c r="U434" s="7" t="str">
        <f ca="1"/>
        <v>0x9404</v>
      </c>
      <c r="V434" s="7" t="str">
        <f ca="1"/>
        <v>ChangeSpotWbArea</v>
      </c>
    </row>
    <row r="435" spans="20:22" x14ac:dyDescent="0.25">
      <c r="T435" s="7" t="str">
        <f ca="1"/>
        <v>Z50</v>
      </c>
      <c r="U435" s="7" t="str">
        <f ca="1"/>
        <v>0x9405</v>
      </c>
      <c r="V435" s="7" t="str">
        <f ca="1"/>
        <v>MeasureSpotWb</v>
      </c>
    </row>
    <row r="436" spans="20:22" x14ac:dyDescent="0.25">
      <c r="T436" s="7" t="str">
        <f ca="1"/>
        <v>Z50</v>
      </c>
      <c r="U436" s="7" t="str">
        <f ca="1"/>
        <v>0x9406</v>
      </c>
      <c r="V436" s="7" t="str">
        <f ca="1"/>
        <v>EndSpotWbResultDisp</v>
      </c>
    </row>
    <row r="437" spans="20:22" x14ac:dyDescent="0.25">
      <c r="T437" s="7" t="str">
        <f ca="1"/>
        <v>Z50</v>
      </c>
      <c r="U437" s="7" t="str">
        <f ca="1"/>
        <v>0x940C</v>
      </c>
      <c r="V437" s="7" t="str">
        <f ca="1"/>
        <v>CancelImagesInSdram</v>
      </c>
    </row>
    <row r="438" spans="20:22" x14ac:dyDescent="0.25">
      <c r="T438" s="7" t="str">
        <f ca="1"/>
        <v>Z50</v>
      </c>
      <c r="U438" s="7" t="str">
        <f ca="1"/>
        <v>0x941C</v>
      </c>
      <c r="V438" s="7" t="str">
        <f ca="1"/>
        <v>GetEventEx</v>
      </c>
    </row>
    <row r="439" spans="20:22" x14ac:dyDescent="0.25">
      <c r="T439" s="7" t="str">
        <f ca="1"/>
        <v>Z50</v>
      </c>
      <c r="U439" s="7" t="str">
        <f ca="1"/>
        <v>0x9420</v>
      </c>
      <c r="V439" s="7" t="str">
        <f ca="1"/>
        <v>SaveCameraSetting</v>
      </c>
    </row>
    <row r="440" spans="20:22" x14ac:dyDescent="0.25">
      <c r="T440" s="7" t="str">
        <f ca="1"/>
        <v>Z50</v>
      </c>
      <c r="U440" s="7" t="str">
        <f ca="1"/>
        <v>0x9421</v>
      </c>
      <c r="V440" s="7" t="str">
        <f ca="1"/>
        <v>GetObjectSize</v>
      </c>
    </row>
    <row r="441" spans="20:22" x14ac:dyDescent="0.25">
      <c r="T441" s="7" t="str">
        <f ca="1"/>
        <v>Z50</v>
      </c>
      <c r="U441" s="7" t="str">
        <f ca="1"/>
        <v>0x9423</v>
      </c>
      <c r="V441" s="7" t="str">
        <f ca="1"/>
        <v>GetLiveViewCompressedSize</v>
      </c>
    </row>
    <row r="442" spans="20:22" x14ac:dyDescent="0.25">
      <c r="T442" s="7" t="str">
        <f ca="1"/>
        <v>Z50</v>
      </c>
      <c r="U442" s="7" t="str">
        <f ca="1"/>
        <v>0x9424</v>
      </c>
      <c r="V442" s="7" t="str">
        <f ca="1"/>
        <v>StartTracking</v>
      </c>
    </row>
    <row r="443" spans="20:22" x14ac:dyDescent="0.25">
      <c r="T443" s="7" t="str">
        <f ca="1"/>
        <v>Z50</v>
      </c>
      <c r="U443" s="7" t="str">
        <f ca="1"/>
        <v>0x9425</v>
      </c>
      <c r="V443" s="7" t="str">
        <f ca="1"/>
        <v>EndTracking</v>
      </c>
    </row>
    <row r="444" spans="20:22" x14ac:dyDescent="0.25">
      <c r="T444" s="7" t="str">
        <f ca="1"/>
        <v>Z50</v>
      </c>
      <c r="U444" s="7" t="str">
        <f ca="1"/>
        <v>0x9426</v>
      </c>
      <c r="V444" s="7" t="str">
        <f ca="1"/>
        <v>ChangeAELock</v>
      </c>
    </row>
    <row r="445" spans="20:22" x14ac:dyDescent="0.25">
      <c r="T445" s="7" t="str">
        <f ca="1"/>
        <v>Z50</v>
      </c>
      <c r="U445" s="7" t="str">
        <f ca="1"/>
        <v>0x9428</v>
      </c>
      <c r="V445" s="7" t="str">
        <f ca="1"/>
        <v>GetLiveViewImageEx</v>
      </c>
    </row>
    <row r="446" spans="20:22" x14ac:dyDescent="0.25">
      <c r="T446" s="7" t="str">
        <f ca="1"/>
        <v>Z50</v>
      </c>
      <c r="U446" s="7" t="str">
        <f ca="1"/>
        <v>0x9431</v>
      </c>
      <c r="V446" s="7" t="str">
        <f ca="1"/>
        <v>GetPartialObjectEx</v>
      </c>
    </row>
    <row r="447" spans="20:22" x14ac:dyDescent="0.25">
      <c r="T447" s="7" t="str">
        <f ca="1"/>
        <v>Z50</v>
      </c>
      <c r="U447" s="7" t="str">
        <f ca="1"/>
        <v>0x9464</v>
      </c>
      <c r="V447" s="7" t="str">
        <f ca="1"/>
        <v>PowerZoomDrive</v>
      </c>
    </row>
    <row r="448" spans="20:22" x14ac:dyDescent="0.25">
      <c r="T448" s="7" t="str">
        <f ca="1"/>
        <v>Z50</v>
      </c>
      <c r="U448" s="7" t="str">
        <f ca="1"/>
        <v>0x9801</v>
      </c>
      <c r="V448" s="7" t="str">
        <f ca="1"/>
        <v>GetObjectPropsSupported</v>
      </c>
    </row>
    <row r="449" spans="20:22" x14ac:dyDescent="0.25">
      <c r="T449" s="7" t="str">
        <f ca="1"/>
        <v>Z50</v>
      </c>
      <c r="U449" s="7" t="str">
        <f ca="1"/>
        <v>0x9802</v>
      </c>
      <c r="V449" s="7" t="str">
        <f ca="1"/>
        <v>GetObjectPropDesc</v>
      </c>
    </row>
    <row r="450" spans="20:22" x14ac:dyDescent="0.25">
      <c r="T450" s="7" t="str">
        <f ca="1"/>
        <v>Z50</v>
      </c>
      <c r="U450" s="7" t="str">
        <f ca="1"/>
        <v>0x9803</v>
      </c>
      <c r="V450" s="7" t="str">
        <f ca="1"/>
        <v>GetObjectPropValue</v>
      </c>
    </row>
    <row r="451" spans="20:22" x14ac:dyDescent="0.25">
      <c r="T451" s="7" t="str">
        <f ca="1"/>
        <v>Z50</v>
      </c>
      <c r="U451" s="7" t="str">
        <f ca="1"/>
        <v>0x9805</v>
      </c>
      <c r="V451" s="7" t="str">
        <f ca="1"/>
        <v>GetObjectPropList</v>
      </c>
    </row>
    <row r="452" spans="20:22" x14ac:dyDescent="0.25">
      <c r="T452" s="7" t="str">
        <f ca="1"/>
        <v>Z6</v>
      </c>
      <c r="U452" s="7" t="str">
        <f ca="1"/>
        <v>0x1001</v>
      </c>
      <c r="V452" s="7" t="str">
        <f ca="1"/>
        <v>GetDeviceInfo</v>
      </c>
    </row>
    <row r="453" spans="20:22" x14ac:dyDescent="0.25">
      <c r="T453" s="7" t="str">
        <f ca="1"/>
        <v>Z6</v>
      </c>
      <c r="U453" s="7" t="str">
        <f ca="1"/>
        <v>0x1002</v>
      </c>
      <c r="V453" s="7" t="str">
        <f ca="1"/>
        <v>OpenSession</v>
      </c>
    </row>
    <row r="454" spans="20:22" x14ac:dyDescent="0.25">
      <c r="T454" s="7" t="str">
        <f ca="1"/>
        <v>Z6</v>
      </c>
      <c r="U454" s="7" t="str">
        <f ca="1"/>
        <v>0x1003</v>
      </c>
      <c r="V454" s="7" t="str">
        <f ca="1"/>
        <v>CloseSession</v>
      </c>
    </row>
    <row r="455" spans="20:22" x14ac:dyDescent="0.25">
      <c r="T455" s="7" t="str">
        <f ca="1"/>
        <v>Z6</v>
      </c>
      <c r="U455" s="7" t="str">
        <f ca="1"/>
        <v>0x1004</v>
      </c>
      <c r="V455" s="7" t="str">
        <f ca="1"/>
        <v>GetStorageIDs</v>
      </c>
    </row>
    <row r="456" spans="20:22" x14ac:dyDescent="0.25">
      <c r="T456" s="7" t="str">
        <f ca="1"/>
        <v>Z6</v>
      </c>
      <c r="U456" s="7" t="str">
        <f ca="1"/>
        <v>0x1005</v>
      </c>
      <c r="V456" s="7" t="str">
        <f ca="1"/>
        <v>GetStorageInfo</v>
      </c>
    </row>
    <row r="457" spans="20:22" x14ac:dyDescent="0.25">
      <c r="T457" s="7" t="str">
        <f ca="1"/>
        <v>Z6</v>
      </c>
      <c r="U457" s="7" t="str">
        <f ca="1"/>
        <v>0x1006</v>
      </c>
      <c r="V457" s="7" t="str">
        <f ca="1"/>
        <v>GetNumObjects</v>
      </c>
    </row>
    <row r="458" spans="20:22" x14ac:dyDescent="0.25">
      <c r="T458" s="7" t="str">
        <f ca="1"/>
        <v>Z6</v>
      </c>
      <c r="U458" s="7" t="str">
        <f ca="1"/>
        <v>0x1007</v>
      </c>
      <c r="V458" s="7" t="str">
        <f ca="1"/>
        <v>GetObjectHandles</v>
      </c>
    </row>
    <row r="459" spans="20:22" x14ac:dyDescent="0.25">
      <c r="T459" s="7" t="str">
        <f ca="1"/>
        <v>Z6</v>
      </c>
      <c r="U459" s="7" t="str">
        <f ca="1"/>
        <v>0x1008</v>
      </c>
      <c r="V459" s="7" t="str">
        <f ca="1"/>
        <v>GetObjectInfo</v>
      </c>
    </row>
    <row r="460" spans="20:22" x14ac:dyDescent="0.25">
      <c r="T460" s="7" t="str">
        <f ca="1"/>
        <v>Z6</v>
      </c>
      <c r="U460" s="7" t="str">
        <f ca="1"/>
        <v>0x1009</v>
      </c>
      <c r="V460" s="7" t="str">
        <f ca="1"/>
        <v>GetObject</v>
      </c>
    </row>
    <row r="461" spans="20:22" x14ac:dyDescent="0.25">
      <c r="T461" s="7" t="str">
        <f ca="1"/>
        <v>Z6</v>
      </c>
      <c r="U461" s="7" t="str">
        <f ca="1"/>
        <v>0x100A</v>
      </c>
      <c r="V461" s="7" t="str">
        <f ca="1"/>
        <v>GetThumb</v>
      </c>
    </row>
    <row r="462" spans="20:22" x14ac:dyDescent="0.25">
      <c r="T462" s="7" t="str">
        <f ca="1"/>
        <v>Z6</v>
      </c>
      <c r="U462" s="7" t="str">
        <f ca="1"/>
        <v>0x100B</v>
      </c>
      <c r="V462" s="7" t="str">
        <f ca="1"/>
        <v>DeleteObject</v>
      </c>
    </row>
    <row r="463" spans="20:22" x14ac:dyDescent="0.25">
      <c r="T463" s="7" t="str">
        <f ca="1"/>
        <v>Z6</v>
      </c>
      <c r="U463" s="7" t="str">
        <f ca="1"/>
        <v>0x100C</v>
      </c>
      <c r="V463" s="7" t="str">
        <f ca="1"/>
        <v>SendObjectInfo</v>
      </c>
    </row>
    <row r="464" spans="20:22" x14ac:dyDescent="0.25">
      <c r="T464" s="7" t="str">
        <f ca="1"/>
        <v>Z6</v>
      </c>
      <c r="U464" s="7" t="str">
        <f ca="1"/>
        <v>0x100D</v>
      </c>
      <c r="V464" s="7" t="str">
        <f ca="1"/>
        <v>SendObject</v>
      </c>
    </row>
    <row r="465" spans="20:22" x14ac:dyDescent="0.25">
      <c r="T465" s="7" t="str">
        <f ca="1"/>
        <v>Z6</v>
      </c>
      <c r="U465" s="7" t="str">
        <f ca="1"/>
        <v>0x100E</v>
      </c>
      <c r="V465" s="7" t="str">
        <f ca="1"/>
        <v>InitiateCapture</v>
      </c>
    </row>
    <row r="466" spans="20:22" x14ac:dyDescent="0.25">
      <c r="T466" s="7" t="str">
        <f ca="1"/>
        <v>Z6</v>
      </c>
      <c r="U466" s="7" t="str">
        <f ca="1"/>
        <v>0x100F</v>
      </c>
      <c r="V466" s="7" t="str">
        <f ca="1"/>
        <v>FormatStore</v>
      </c>
    </row>
    <row r="467" spans="20:22" x14ac:dyDescent="0.25">
      <c r="T467" s="7" t="str">
        <f ca="1"/>
        <v>Z6</v>
      </c>
      <c r="U467" s="7" t="str">
        <f ca="1"/>
        <v>0x1014</v>
      </c>
      <c r="V467" s="7" t="str">
        <f ca="1"/>
        <v>GetDevicePropDesc</v>
      </c>
    </row>
    <row r="468" spans="20:22" x14ac:dyDescent="0.25">
      <c r="T468" s="7" t="str">
        <f ca="1"/>
        <v>Z6</v>
      </c>
      <c r="U468" s="7" t="str">
        <f ca="1"/>
        <v>0x1015</v>
      </c>
      <c r="V468" s="7" t="str">
        <f ca="1"/>
        <v>GetDevicePropValue</v>
      </c>
    </row>
    <row r="469" spans="20:22" x14ac:dyDescent="0.25">
      <c r="T469" s="7" t="str">
        <f ca="1"/>
        <v>Z6</v>
      </c>
      <c r="U469" s="7" t="str">
        <f ca="1"/>
        <v>0x1016</v>
      </c>
      <c r="V469" s="7" t="str">
        <f ca="1"/>
        <v>SetDevicePropValue</v>
      </c>
    </row>
    <row r="470" spans="20:22" x14ac:dyDescent="0.25">
      <c r="T470" s="7" t="str">
        <f ca="1"/>
        <v>Z6</v>
      </c>
      <c r="U470" s="7" t="str">
        <f ca="1"/>
        <v>0x101B</v>
      </c>
      <c r="V470" s="7" t="str">
        <f ca="1"/>
        <v>GetPartialObject</v>
      </c>
    </row>
    <row r="471" spans="20:22" x14ac:dyDescent="0.25">
      <c r="T471" s="7" t="str">
        <f ca="1"/>
        <v>Z6</v>
      </c>
      <c r="U471" s="7" t="str">
        <f ca="1"/>
        <v>0x90C0</v>
      </c>
      <c r="V471" s="7" t="str">
        <f ca="1"/>
        <v>InitiateCaptureRecInSdram</v>
      </c>
    </row>
    <row r="472" spans="20:22" x14ac:dyDescent="0.25">
      <c r="T472" s="7" t="str">
        <f ca="1"/>
        <v>Z6</v>
      </c>
      <c r="U472" s="7" t="str">
        <f ca="1"/>
        <v>0x90C1</v>
      </c>
      <c r="V472" s="7" t="str">
        <f ca="1"/>
        <v>AfDrive</v>
      </c>
    </row>
    <row r="473" spans="20:22" x14ac:dyDescent="0.25">
      <c r="T473" s="7" t="str">
        <f ca="1"/>
        <v>Z6</v>
      </c>
      <c r="U473" s="7" t="str">
        <f ca="1"/>
        <v>0x90C2</v>
      </c>
      <c r="V473" s="7" t="str">
        <f ca="1"/>
        <v>ChangeCameraMode</v>
      </c>
    </row>
    <row r="474" spans="20:22" x14ac:dyDescent="0.25">
      <c r="T474" s="7" t="str">
        <f ca="1"/>
        <v>Z6</v>
      </c>
      <c r="U474" s="7" t="str">
        <f ca="1"/>
        <v>0x90C3</v>
      </c>
      <c r="V474" s="7" t="str">
        <f ca="1"/>
        <v>DeleteImagesInSdram</v>
      </c>
    </row>
    <row r="475" spans="20:22" x14ac:dyDescent="0.25">
      <c r="T475" s="7" t="str">
        <f ca="1"/>
        <v>Z6</v>
      </c>
      <c r="U475" s="7" t="str">
        <f ca="1"/>
        <v>0x90C4</v>
      </c>
      <c r="V475" s="7" t="str">
        <f ca="1"/>
        <v>GetLargeThumb</v>
      </c>
    </row>
    <row r="476" spans="20:22" x14ac:dyDescent="0.25">
      <c r="T476" s="7" t="str">
        <f ca="1"/>
        <v>Z6</v>
      </c>
      <c r="U476" s="7" t="str">
        <f ca="1"/>
        <v>0x90C7</v>
      </c>
      <c r="V476" s="7" t="str">
        <f ca="1"/>
        <v>GetEvent</v>
      </c>
    </row>
    <row r="477" spans="20:22" x14ac:dyDescent="0.25">
      <c r="T477" s="7" t="str">
        <f ca="1"/>
        <v>Z6</v>
      </c>
      <c r="U477" s="7" t="str">
        <f ca="1"/>
        <v>0x90C8</v>
      </c>
      <c r="V477" s="7" t="str">
        <f ca="1"/>
        <v>DeviceReady</v>
      </c>
    </row>
    <row r="478" spans="20:22" x14ac:dyDescent="0.25">
      <c r="T478" s="7" t="str">
        <f ca="1"/>
        <v>Z6</v>
      </c>
      <c r="U478" s="7" t="str">
        <f ca="1"/>
        <v>0x90C9</v>
      </c>
      <c r="V478" s="7" t="str">
        <f ca="1"/>
        <v>SetPreWbData</v>
      </c>
    </row>
    <row r="479" spans="20:22" x14ac:dyDescent="0.25">
      <c r="T479" s="7" t="str">
        <f ca="1"/>
        <v>Z6</v>
      </c>
      <c r="U479" s="7" t="str">
        <f ca="1"/>
        <v>0x90CA</v>
      </c>
      <c r="V479" s="7" t="str">
        <f ca="1"/>
        <v>GetVendorPropCodes</v>
      </c>
    </row>
    <row r="480" spans="20:22" x14ac:dyDescent="0.25">
      <c r="T480" s="7" t="str">
        <f ca="1"/>
        <v>Z6</v>
      </c>
      <c r="U480" s="7" t="str">
        <f ca="1"/>
        <v>0x90CB</v>
      </c>
      <c r="V480" s="7" t="str">
        <f ca="1"/>
        <v>AfAndCaptureRecInSdram</v>
      </c>
    </row>
    <row r="481" spans="20:22" x14ac:dyDescent="0.25">
      <c r="T481" s="7" t="str">
        <f ca="1"/>
        <v>Z6</v>
      </c>
      <c r="U481" s="7" t="str">
        <f ca="1"/>
        <v>0x90CC</v>
      </c>
      <c r="V481" s="7" t="str">
        <f ca="1"/>
        <v>GetPicCtrlData</v>
      </c>
    </row>
    <row r="482" spans="20:22" x14ac:dyDescent="0.25">
      <c r="T482" s="7" t="str">
        <f ca="1"/>
        <v>Z6</v>
      </c>
      <c r="U482" s="7" t="str">
        <f ca="1"/>
        <v>0x90CD</v>
      </c>
      <c r="V482" s="7" t="str">
        <f ca="1"/>
        <v>SetPicCtrlData</v>
      </c>
    </row>
    <row r="483" spans="20:22" x14ac:dyDescent="0.25">
      <c r="T483" s="7" t="str">
        <f ca="1"/>
        <v>Z6</v>
      </c>
      <c r="U483" s="7" t="str">
        <f ca="1"/>
        <v>0x90CE</v>
      </c>
      <c r="V483" s="7" t="str">
        <f ca="1"/>
        <v>DeleteCustomPicCtrl</v>
      </c>
    </row>
    <row r="484" spans="20:22" x14ac:dyDescent="0.25">
      <c r="T484" s="7" t="str">
        <f ca="1"/>
        <v>Z6</v>
      </c>
      <c r="U484" s="7" t="str">
        <f ca="1"/>
        <v>0x90CF</v>
      </c>
      <c r="V484" s="7" t="str">
        <f ca="1"/>
        <v>GetPicCtrlCapability</v>
      </c>
    </row>
    <row r="485" spans="20:22" x14ac:dyDescent="0.25">
      <c r="T485" s="7" t="str">
        <f ca="1"/>
        <v>Z6</v>
      </c>
      <c r="U485" s="7" t="str">
        <f ca="1"/>
        <v>0x9201</v>
      </c>
      <c r="V485" s="7" t="str">
        <f ca="1"/>
        <v>StartLiveView</v>
      </c>
    </row>
    <row r="486" spans="20:22" x14ac:dyDescent="0.25">
      <c r="T486" s="7" t="str">
        <f ca="1"/>
        <v>Z6</v>
      </c>
      <c r="U486" s="7" t="str">
        <f ca="1"/>
        <v>0x9202</v>
      </c>
      <c r="V486" s="7" t="str">
        <f ca="1"/>
        <v>EndLiveView</v>
      </c>
    </row>
    <row r="487" spans="20:22" x14ac:dyDescent="0.25">
      <c r="T487" s="7" t="str">
        <f ca="1"/>
        <v>Z6</v>
      </c>
      <c r="U487" s="7" t="str">
        <f ca="1"/>
        <v>0x9203</v>
      </c>
      <c r="V487" s="7" t="str">
        <f ca="1"/>
        <v>GetLiveViewImage</v>
      </c>
    </row>
    <row r="488" spans="20:22" x14ac:dyDescent="0.25">
      <c r="T488" s="7" t="str">
        <f ca="1"/>
        <v>Z6</v>
      </c>
      <c r="U488" s="7" t="str">
        <f ca="1"/>
        <v>0x9204</v>
      </c>
      <c r="V488" s="7" t="str">
        <f ca="1"/>
        <v>MfDrive</v>
      </c>
    </row>
    <row r="489" spans="20:22" x14ac:dyDescent="0.25">
      <c r="T489" s="7" t="str">
        <f ca="1"/>
        <v>Z6</v>
      </c>
      <c r="U489" s="7" t="str">
        <f ca="1"/>
        <v>0x9205</v>
      </c>
      <c r="V489" s="7" t="str">
        <f ca="1"/>
        <v>ChangeAfArea</v>
      </c>
    </row>
    <row r="490" spans="20:22" x14ac:dyDescent="0.25">
      <c r="T490" s="7" t="str">
        <f ca="1"/>
        <v>Z6</v>
      </c>
      <c r="U490" s="7" t="str">
        <f ca="1"/>
        <v>0x9206</v>
      </c>
      <c r="V490" s="7" t="str">
        <f ca="1"/>
        <v>AfDriveCancel</v>
      </c>
    </row>
    <row r="491" spans="20:22" x14ac:dyDescent="0.25">
      <c r="T491" s="7" t="str">
        <f ca="1"/>
        <v>Z6</v>
      </c>
      <c r="U491" s="7" t="str">
        <f ca="1"/>
        <v>0x9207</v>
      </c>
      <c r="V491" s="7" t="str">
        <f ca="1"/>
        <v>InitiateCaptureRecInMedia</v>
      </c>
    </row>
    <row r="492" spans="20:22" x14ac:dyDescent="0.25">
      <c r="T492" s="7" t="str">
        <f ca="1"/>
        <v>Z6</v>
      </c>
      <c r="U492" s="7" t="str">
        <f ca="1"/>
        <v>0x9209</v>
      </c>
      <c r="V492" s="7" t="str">
        <f ca="1"/>
        <v>GetVendorStorageIDs</v>
      </c>
    </row>
    <row r="493" spans="20:22" x14ac:dyDescent="0.25">
      <c r="T493" s="7" t="str">
        <f ca="1"/>
        <v>Z6</v>
      </c>
      <c r="U493" s="7" t="str">
        <f ca="1"/>
        <v>0x920A</v>
      </c>
      <c r="V493" s="7" t="str">
        <f ca="1"/>
        <v>StartMovieRecord</v>
      </c>
    </row>
    <row r="494" spans="20:22" x14ac:dyDescent="0.25">
      <c r="T494" s="7" t="str">
        <f ca="1"/>
        <v>Z6</v>
      </c>
      <c r="U494" s="7" t="str">
        <f ca="1"/>
        <v>0x920B</v>
      </c>
      <c r="V494" s="7" t="str">
        <f ca="1"/>
        <v>EndMovieRecord</v>
      </c>
    </row>
    <row r="495" spans="20:22" x14ac:dyDescent="0.25">
      <c r="T495" s="7" t="str">
        <f ca="1"/>
        <v>Z6</v>
      </c>
      <c r="U495" s="7" t="str">
        <f ca="1"/>
        <v>0x920C</v>
      </c>
      <c r="V495" s="7" t="str">
        <f ca="1"/>
        <v>TerminateCapture</v>
      </c>
    </row>
    <row r="496" spans="20:22" x14ac:dyDescent="0.25">
      <c r="T496" s="7" t="str">
        <f ca="1"/>
        <v>Z6</v>
      </c>
      <c r="U496" s="7" t="str">
        <f ca="1"/>
        <v>0x920F</v>
      </c>
      <c r="V496" s="7" t="str">
        <f ca="1"/>
        <v>GetFhdPicture</v>
      </c>
    </row>
    <row r="497" spans="20:22" x14ac:dyDescent="0.25">
      <c r="T497" s="7" t="str">
        <f ca="1"/>
        <v>Z6</v>
      </c>
      <c r="U497" s="7" t="str">
        <f ca="1"/>
        <v>0x9400</v>
      </c>
      <c r="V497" s="7" t="str">
        <f ca="1"/>
        <v>GetPartialObjectHighSpeed</v>
      </c>
    </row>
    <row r="498" spans="20:22" x14ac:dyDescent="0.25">
      <c r="T498" s="7" t="str">
        <f ca="1"/>
        <v>Z6</v>
      </c>
      <c r="U498" s="7" t="str">
        <f ca="1"/>
        <v>0x9402</v>
      </c>
      <c r="V498" s="7" t="str">
        <f ca="1"/>
        <v>StartSpotWb</v>
      </c>
    </row>
    <row r="499" spans="20:22" x14ac:dyDescent="0.25">
      <c r="T499" s="7" t="str">
        <f ca="1"/>
        <v>Z6</v>
      </c>
      <c r="U499" s="7" t="str">
        <f ca="1"/>
        <v>0x9403</v>
      </c>
      <c r="V499" s="7" t="str">
        <f ca="1"/>
        <v>EndSpotWb</v>
      </c>
    </row>
    <row r="500" spans="20:22" x14ac:dyDescent="0.25">
      <c r="T500" s="7" t="str">
        <f ca="1"/>
        <v>Z6</v>
      </c>
      <c r="U500" s="7" t="str">
        <f ca="1"/>
        <v>0x9404</v>
      </c>
      <c r="V500" s="7" t="str">
        <f ca="1"/>
        <v>ChangeSpotWbArea</v>
      </c>
    </row>
    <row r="501" spans="20:22" x14ac:dyDescent="0.25">
      <c r="T501" s="7" t="str">
        <f ca="1"/>
        <v>Z6</v>
      </c>
      <c r="U501" s="7" t="str">
        <f ca="1"/>
        <v>0x9405</v>
      </c>
      <c r="V501" s="7" t="str">
        <f ca="1"/>
        <v>MeasureSpotWb</v>
      </c>
    </row>
    <row r="502" spans="20:22" x14ac:dyDescent="0.25">
      <c r="T502" s="7" t="str">
        <f ca="1"/>
        <v>Z6</v>
      </c>
      <c r="U502" s="7" t="str">
        <f ca="1"/>
        <v>0x9406</v>
      </c>
      <c r="V502" s="7" t="str">
        <f ca="1"/>
        <v>EndSpotWbResultDisp</v>
      </c>
    </row>
    <row r="503" spans="20:22" x14ac:dyDescent="0.25">
      <c r="T503" s="7" t="str">
        <f ca="1"/>
        <v>Z6</v>
      </c>
      <c r="U503" s="7" t="str">
        <f ca="1"/>
        <v>0x940C</v>
      </c>
      <c r="V503" s="7" t="str">
        <f ca="1"/>
        <v>CancelImagesInSdram</v>
      </c>
    </row>
    <row r="504" spans="20:22" x14ac:dyDescent="0.25">
      <c r="T504" s="7" t="str">
        <f ca="1"/>
        <v>Z6</v>
      </c>
      <c r="U504" s="7" t="str">
        <f ca="1"/>
        <v>0x9414</v>
      </c>
      <c r="V504" s="7" t="str">
        <f ca="1"/>
        <v>GetSBHandles</v>
      </c>
    </row>
    <row r="505" spans="20:22" x14ac:dyDescent="0.25">
      <c r="T505" s="7" t="str">
        <f ca="1"/>
        <v>Z6</v>
      </c>
      <c r="U505" s="7" t="str">
        <f ca="1"/>
        <v>0x9415</v>
      </c>
      <c r="V505" s="7" t="str">
        <f ca="1"/>
        <v>GetSBAttrDesc</v>
      </c>
    </row>
    <row r="506" spans="20:22" x14ac:dyDescent="0.25">
      <c r="T506" s="7" t="str">
        <f ca="1"/>
        <v>Z6</v>
      </c>
      <c r="U506" s="7" t="str">
        <f ca="1"/>
        <v>0x9416</v>
      </c>
      <c r="V506" s="7" t="str">
        <f ca="1"/>
        <v>GetSBAttrValue</v>
      </c>
    </row>
    <row r="507" spans="20:22" x14ac:dyDescent="0.25">
      <c r="T507" s="7" t="str">
        <f ca="1"/>
        <v>Z6</v>
      </c>
      <c r="U507" s="7" t="str">
        <f ca="1"/>
        <v>0x9417</v>
      </c>
      <c r="V507" s="7" t="str">
        <f ca="1"/>
        <v>SetSBAttrValue</v>
      </c>
    </row>
    <row r="508" spans="20:22" x14ac:dyDescent="0.25">
      <c r="T508" s="7" t="str">
        <f ca="1"/>
        <v>Z6</v>
      </c>
      <c r="U508" s="7" t="str">
        <f ca="1"/>
        <v>0x9418</v>
      </c>
      <c r="V508" s="7" t="str">
        <f ca="1"/>
        <v>GetSBGroupAttrDesc</v>
      </c>
    </row>
    <row r="509" spans="20:22" x14ac:dyDescent="0.25">
      <c r="T509" s="7" t="str">
        <f ca="1"/>
        <v>Z6</v>
      </c>
      <c r="U509" s="7" t="str">
        <f ca="1"/>
        <v>0x9419</v>
      </c>
      <c r="V509" s="7" t="str">
        <f ca="1"/>
        <v>GetSBGroupAttrValue</v>
      </c>
    </row>
    <row r="510" spans="20:22" x14ac:dyDescent="0.25">
      <c r="T510" s="7" t="str">
        <f ca="1"/>
        <v>Z6</v>
      </c>
      <c r="U510" s="7" t="str">
        <f ca="1"/>
        <v>0x941A</v>
      </c>
      <c r="V510" s="7" t="str">
        <f ca="1"/>
        <v>SetSBGroupAttrValue</v>
      </c>
    </row>
    <row r="511" spans="20:22" x14ac:dyDescent="0.25">
      <c r="T511" s="7" t="str">
        <f ca="1"/>
        <v>Z6</v>
      </c>
      <c r="U511" s="7" t="str">
        <f ca="1"/>
        <v>0x941B</v>
      </c>
      <c r="V511" s="7" t="str">
        <f ca="1"/>
        <v>TestFlash</v>
      </c>
    </row>
    <row r="512" spans="20:22" x14ac:dyDescent="0.25">
      <c r="T512" s="7" t="str">
        <f ca="1"/>
        <v>Z6</v>
      </c>
      <c r="U512" s="7" t="str">
        <f ca="1"/>
        <v>0x941C</v>
      </c>
      <c r="V512" s="7" t="str">
        <f ca="1"/>
        <v>GetEventEx</v>
      </c>
    </row>
    <row r="513" spans="20:22" x14ac:dyDescent="0.25">
      <c r="T513" s="7" t="str">
        <f ca="1"/>
        <v>Z6</v>
      </c>
      <c r="U513" s="7" t="str">
        <f ca="1"/>
        <v>0x9420</v>
      </c>
      <c r="V513" s="7" t="str">
        <f ca="1"/>
        <v>SaveCameraSetting</v>
      </c>
    </row>
    <row r="514" spans="20:22" x14ac:dyDescent="0.25">
      <c r="T514" s="7" t="str">
        <f ca="1"/>
        <v>Z6</v>
      </c>
      <c r="U514" s="7" t="str">
        <f ca="1"/>
        <v>0x9421</v>
      </c>
      <c r="V514" s="7" t="str">
        <f ca="1"/>
        <v>GetObjectSize</v>
      </c>
    </row>
    <row r="515" spans="20:22" x14ac:dyDescent="0.25">
      <c r="T515" s="7" t="str">
        <f ca="1"/>
        <v>Z6</v>
      </c>
      <c r="U515" s="7" t="str">
        <f ca="1"/>
        <v>0x9423</v>
      </c>
      <c r="V515" s="7" t="str">
        <f ca="1"/>
        <v>GetLiveViewCompressedSize</v>
      </c>
    </row>
    <row r="516" spans="20:22" x14ac:dyDescent="0.25">
      <c r="T516" s="7" t="str">
        <f ca="1"/>
        <v>Z6</v>
      </c>
      <c r="U516" s="7" t="str">
        <f ca="1"/>
        <v>0x9424</v>
      </c>
      <c r="V516" s="7" t="str">
        <f ca="1"/>
        <v>StartTracking</v>
      </c>
    </row>
    <row r="517" spans="20:22" x14ac:dyDescent="0.25">
      <c r="T517" s="7" t="str">
        <f ca="1"/>
        <v>Z6</v>
      </c>
      <c r="U517" s="7" t="str">
        <f ca="1"/>
        <v>0x9425</v>
      </c>
      <c r="V517" s="7" t="str">
        <f ca="1"/>
        <v>EndTracking</v>
      </c>
    </row>
    <row r="518" spans="20:22" x14ac:dyDescent="0.25">
      <c r="T518" s="7" t="str">
        <f ca="1"/>
        <v>Z6</v>
      </c>
      <c r="U518" s="7" t="str">
        <f ca="1"/>
        <v>0x9426</v>
      </c>
      <c r="V518" s="7" t="str">
        <f ca="1"/>
        <v>ChangeAELock</v>
      </c>
    </row>
    <row r="519" spans="20:22" x14ac:dyDescent="0.25">
      <c r="T519" s="7" t="str">
        <f ca="1"/>
        <v>Z6</v>
      </c>
      <c r="U519" s="7" t="str">
        <f ca="1"/>
        <v>0x9428</v>
      </c>
      <c r="V519" s="7" t="str">
        <f ca="1"/>
        <v>GetLiveViewImageEx</v>
      </c>
    </row>
    <row r="520" spans="20:22" x14ac:dyDescent="0.25">
      <c r="T520" s="7" t="str">
        <f ca="1"/>
        <v>Z6</v>
      </c>
      <c r="U520" s="7" t="str">
        <f ca="1"/>
        <v>0x9431</v>
      </c>
      <c r="V520" s="7" t="str">
        <f ca="1"/>
        <v>GetPartialObjectEx</v>
      </c>
    </row>
    <row r="521" spans="20:22" x14ac:dyDescent="0.25">
      <c r="T521" s="7" t="str">
        <f ca="1"/>
        <v>Z6</v>
      </c>
      <c r="U521" s="7" t="str">
        <f ca="1"/>
        <v>0x9432</v>
      </c>
      <c r="V521" s="7" t="str">
        <f ca="1"/>
        <v>GetManualSettingLensData</v>
      </c>
    </row>
    <row r="522" spans="20:22" x14ac:dyDescent="0.25">
      <c r="T522" s="7" t="str">
        <f ca="1"/>
        <v>Z6</v>
      </c>
      <c r="U522" s="7" t="str">
        <f ca="1"/>
        <v>0x9801</v>
      </c>
      <c r="V522" s="7" t="str">
        <f ca="1"/>
        <v>GetObjectPropsSupported</v>
      </c>
    </row>
    <row r="523" spans="20:22" x14ac:dyDescent="0.25">
      <c r="T523" s="7" t="str">
        <f ca="1"/>
        <v>Z6</v>
      </c>
      <c r="U523" s="7" t="str">
        <f ca="1"/>
        <v>0x9802</v>
      </c>
      <c r="V523" s="7" t="str">
        <f ca="1"/>
        <v>GetObjectPropDesc</v>
      </c>
    </row>
    <row r="524" spans="20:22" x14ac:dyDescent="0.25">
      <c r="T524" s="7" t="str">
        <f ca="1"/>
        <v>Z6</v>
      </c>
      <c r="U524" s="7" t="str">
        <f ca="1"/>
        <v>0x9803</v>
      </c>
      <c r="V524" s="7" t="str">
        <f ca="1"/>
        <v>GetObjectPropValue</v>
      </c>
    </row>
    <row r="525" spans="20:22" x14ac:dyDescent="0.25">
      <c r="T525" s="7" t="str">
        <f ca="1"/>
        <v>Z6</v>
      </c>
      <c r="U525" s="7" t="str">
        <f ca="1"/>
        <v>0x9805</v>
      </c>
      <c r="V525" s="7" t="str">
        <f ca="1"/>
        <v>GetObjectPropList</v>
      </c>
    </row>
    <row r="526" spans="20:22" x14ac:dyDescent="0.25">
      <c r="T526" s="7" t="str">
        <f ca="1"/>
        <v>Z7</v>
      </c>
      <c r="U526" s="7" t="str">
        <f ca="1"/>
        <v>0x1001</v>
      </c>
      <c r="V526" s="7" t="str">
        <f ca="1"/>
        <v>GetDeviceInfo</v>
      </c>
    </row>
    <row r="527" spans="20:22" x14ac:dyDescent="0.25">
      <c r="T527" s="7" t="str">
        <f ca="1"/>
        <v>Z7</v>
      </c>
      <c r="U527" s="7" t="str">
        <f ca="1"/>
        <v>0x1002</v>
      </c>
      <c r="V527" s="7" t="str">
        <f ca="1"/>
        <v>OpenSession</v>
      </c>
    </row>
    <row r="528" spans="20:22" x14ac:dyDescent="0.25">
      <c r="T528" s="7" t="str">
        <f ca="1"/>
        <v>Z7</v>
      </c>
      <c r="U528" s="7" t="str">
        <f ca="1"/>
        <v>0x1003</v>
      </c>
      <c r="V528" s="7" t="str">
        <f ca="1"/>
        <v>CloseSession</v>
      </c>
    </row>
    <row r="529" spans="20:22" x14ac:dyDescent="0.25">
      <c r="T529" s="7" t="str">
        <f ca="1"/>
        <v>Z7</v>
      </c>
      <c r="U529" s="7" t="str">
        <f ca="1"/>
        <v>0x1004</v>
      </c>
      <c r="V529" s="7" t="str">
        <f ca="1"/>
        <v>GetStorageIDs</v>
      </c>
    </row>
    <row r="530" spans="20:22" x14ac:dyDescent="0.25">
      <c r="T530" s="7" t="str">
        <f ca="1"/>
        <v>Z7</v>
      </c>
      <c r="U530" s="7" t="str">
        <f ca="1"/>
        <v>0x1005</v>
      </c>
      <c r="V530" s="7" t="str">
        <f ca="1"/>
        <v>GetStorageInfo</v>
      </c>
    </row>
    <row r="531" spans="20:22" x14ac:dyDescent="0.25">
      <c r="T531" s="7" t="str">
        <f ca="1"/>
        <v>Z7</v>
      </c>
      <c r="U531" s="7" t="str">
        <f ca="1"/>
        <v>0x1006</v>
      </c>
      <c r="V531" s="7" t="str">
        <f ca="1"/>
        <v>GetNumObjects</v>
      </c>
    </row>
    <row r="532" spans="20:22" x14ac:dyDescent="0.25">
      <c r="T532" s="7" t="str">
        <f ca="1"/>
        <v>Z7</v>
      </c>
      <c r="U532" s="7" t="str">
        <f ca="1"/>
        <v>0x1007</v>
      </c>
      <c r="V532" s="7" t="str">
        <f ca="1"/>
        <v>GetObjectHandles</v>
      </c>
    </row>
    <row r="533" spans="20:22" x14ac:dyDescent="0.25">
      <c r="T533" s="7" t="str">
        <f ca="1"/>
        <v>Z7</v>
      </c>
      <c r="U533" s="7" t="str">
        <f ca="1"/>
        <v>0x1008</v>
      </c>
      <c r="V533" s="7" t="str">
        <f ca="1"/>
        <v>GetObjectInfo</v>
      </c>
    </row>
    <row r="534" spans="20:22" x14ac:dyDescent="0.25">
      <c r="T534" s="7" t="str">
        <f ca="1"/>
        <v>Z7</v>
      </c>
      <c r="U534" s="7" t="str">
        <f ca="1"/>
        <v>0x1009</v>
      </c>
      <c r="V534" s="7" t="str">
        <f ca="1"/>
        <v>GetObject</v>
      </c>
    </row>
    <row r="535" spans="20:22" x14ac:dyDescent="0.25">
      <c r="T535" s="7" t="str">
        <f ca="1"/>
        <v>Z7</v>
      </c>
      <c r="U535" s="7" t="str">
        <f ca="1"/>
        <v>0x100A</v>
      </c>
      <c r="V535" s="7" t="str">
        <f ca="1"/>
        <v>GetThumb</v>
      </c>
    </row>
    <row r="536" spans="20:22" x14ac:dyDescent="0.25">
      <c r="T536" s="7" t="str">
        <f ca="1"/>
        <v>Z7</v>
      </c>
      <c r="U536" s="7" t="str">
        <f ca="1"/>
        <v>0x100B</v>
      </c>
      <c r="V536" s="7" t="str">
        <f ca="1"/>
        <v>DeleteObject</v>
      </c>
    </row>
    <row r="537" spans="20:22" x14ac:dyDescent="0.25">
      <c r="T537" s="7" t="str">
        <f ca="1"/>
        <v>Z7</v>
      </c>
      <c r="U537" s="7" t="str">
        <f ca="1"/>
        <v>0x100C</v>
      </c>
      <c r="V537" s="7" t="str">
        <f ca="1"/>
        <v>SendObjectInfo</v>
      </c>
    </row>
    <row r="538" spans="20:22" x14ac:dyDescent="0.25">
      <c r="T538" s="7" t="str">
        <f ca="1"/>
        <v>Z7</v>
      </c>
      <c r="U538" s="7" t="str">
        <f ca="1"/>
        <v>0x100D</v>
      </c>
      <c r="V538" s="7" t="str">
        <f ca="1"/>
        <v>SendObject</v>
      </c>
    </row>
    <row r="539" spans="20:22" x14ac:dyDescent="0.25">
      <c r="T539" s="7" t="str">
        <f ca="1"/>
        <v>Z7</v>
      </c>
      <c r="U539" s="7" t="str">
        <f ca="1"/>
        <v>0x100E</v>
      </c>
      <c r="V539" s="7" t="str">
        <f ca="1"/>
        <v>InitiateCapture</v>
      </c>
    </row>
    <row r="540" spans="20:22" x14ac:dyDescent="0.25">
      <c r="T540" s="7" t="str">
        <f ca="1"/>
        <v>Z7</v>
      </c>
      <c r="U540" s="7" t="str">
        <f ca="1"/>
        <v>0x100F</v>
      </c>
      <c r="V540" s="7" t="str">
        <f ca="1"/>
        <v>FormatStore</v>
      </c>
    </row>
    <row r="541" spans="20:22" x14ac:dyDescent="0.25">
      <c r="T541" s="7" t="str">
        <f ca="1"/>
        <v>Z7</v>
      </c>
      <c r="U541" s="7" t="str">
        <f ca="1"/>
        <v>0x1014</v>
      </c>
      <c r="V541" s="7" t="str">
        <f ca="1"/>
        <v>GetDevicePropDesc</v>
      </c>
    </row>
    <row r="542" spans="20:22" x14ac:dyDescent="0.25">
      <c r="T542" s="7" t="str">
        <f ca="1"/>
        <v>Z7</v>
      </c>
      <c r="U542" s="7" t="str">
        <f ca="1"/>
        <v>0x1015</v>
      </c>
      <c r="V542" s="7" t="str">
        <f ca="1"/>
        <v>GetDevicePropValue</v>
      </c>
    </row>
    <row r="543" spans="20:22" x14ac:dyDescent="0.25">
      <c r="T543" s="7" t="str">
        <f ca="1"/>
        <v>Z7</v>
      </c>
      <c r="U543" s="7" t="str">
        <f ca="1"/>
        <v>0x1016</v>
      </c>
      <c r="V543" s="7" t="str">
        <f ca="1"/>
        <v>SetDevicePropValue</v>
      </c>
    </row>
    <row r="544" spans="20:22" x14ac:dyDescent="0.25">
      <c r="T544" s="7" t="str">
        <f ca="1"/>
        <v>Z7</v>
      </c>
      <c r="U544" s="7" t="str">
        <f ca="1"/>
        <v>0x101B</v>
      </c>
      <c r="V544" s="7" t="str">
        <f ca="1"/>
        <v>GetPartialObject</v>
      </c>
    </row>
    <row r="545" spans="20:22" x14ac:dyDescent="0.25">
      <c r="T545" s="7" t="str">
        <f ca="1"/>
        <v>Z7</v>
      </c>
      <c r="U545" s="7" t="str">
        <f ca="1"/>
        <v>0x90C0</v>
      </c>
      <c r="V545" s="7" t="str">
        <f ca="1"/>
        <v>InitiateCaptureRecInSdram</v>
      </c>
    </row>
    <row r="546" spans="20:22" x14ac:dyDescent="0.25">
      <c r="T546" s="7" t="str">
        <f ca="1"/>
        <v>Z7</v>
      </c>
      <c r="U546" s="7" t="str">
        <f ca="1"/>
        <v>0x90C1</v>
      </c>
      <c r="V546" s="7" t="str">
        <f ca="1"/>
        <v>AfDrive</v>
      </c>
    </row>
    <row r="547" spans="20:22" x14ac:dyDescent="0.25">
      <c r="T547" s="7" t="str">
        <f ca="1"/>
        <v>Z7</v>
      </c>
      <c r="U547" s="7" t="str">
        <f ca="1"/>
        <v>0x90C2</v>
      </c>
      <c r="V547" s="7" t="str">
        <f ca="1"/>
        <v>ChangeCameraMode</v>
      </c>
    </row>
    <row r="548" spans="20:22" x14ac:dyDescent="0.25">
      <c r="T548" s="7" t="str">
        <f ca="1"/>
        <v>Z7</v>
      </c>
      <c r="U548" s="7" t="str">
        <f ca="1"/>
        <v>0x90C3</v>
      </c>
      <c r="V548" s="7" t="str">
        <f ca="1"/>
        <v>DeleteImagesInSdram</v>
      </c>
    </row>
    <row r="549" spans="20:22" x14ac:dyDescent="0.25">
      <c r="T549" s="7" t="str">
        <f ca="1"/>
        <v>Z7</v>
      </c>
      <c r="U549" s="7" t="str">
        <f ca="1"/>
        <v>0x90C4</v>
      </c>
      <c r="V549" s="7" t="str">
        <f ca="1"/>
        <v>GetLargeThumb</v>
      </c>
    </row>
    <row r="550" spans="20:22" x14ac:dyDescent="0.25">
      <c r="T550" s="7" t="str">
        <f ca="1"/>
        <v>Z7</v>
      </c>
      <c r="U550" s="7" t="str">
        <f ca="1"/>
        <v>0x90C7</v>
      </c>
      <c r="V550" s="7" t="str">
        <f ca="1"/>
        <v>GetEvent</v>
      </c>
    </row>
    <row r="551" spans="20:22" x14ac:dyDescent="0.25">
      <c r="T551" s="7" t="str">
        <f ca="1"/>
        <v>Z7</v>
      </c>
      <c r="U551" s="7" t="str">
        <f ca="1"/>
        <v>0x90C8</v>
      </c>
      <c r="V551" s="7" t="str">
        <f ca="1"/>
        <v>DeviceReady</v>
      </c>
    </row>
    <row r="552" spans="20:22" x14ac:dyDescent="0.25">
      <c r="T552" s="7" t="str">
        <f ca="1"/>
        <v>Z7</v>
      </c>
      <c r="U552" s="7" t="str">
        <f ca="1"/>
        <v>0x90C9</v>
      </c>
      <c r="V552" s="7" t="str">
        <f ca="1"/>
        <v>SetPreWbData</v>
      </c>
    </row>
    <row r="553" spans="20:22" x14ac:dyDescent="0.25">
      <c r="T553" s="7" t="str">
        <f ca="1"/>
        <v>Z7</v>
      </c>
      <c r="U553" s="7" t="str">
        <f ca="1"/>
        <v>0x90CA</v>
      </c>
      <c r="V553" s="7" t="str">
        <f ca="1"/>
        <v>GetVendorPropCodes</v>
      </c>
    </row>
    <row r="554" spans="20:22" x14ac:dyDescent="0.25">
      <c r="T554" s="7" t="str">
        <f ca="1"/>
        <v>Z7</v>
      </c>
      <c r="U554" s="7" t="str">
        <f ca="1"/>
        <v>0x90CB</v>
      </c>
      <c r="V554" s="7" t="str">
        <f ca="1"/>
        <v>AfAndCaptureRecInSdram</v>
      </c>
    </row>
    <row r="555" spans="20:22" x14ac:dyDescent="0.25">
      <c r="T555" s="7" t="str">
        <f ca="1"/>
        <v>Z7</v>
      </c>
      <c r="U555" s="7" t="str">
        <f ca="1"/>
        <v>0x90CC</v>
      </c>
      <c r="V555" s="7" t="str">
        <f ca="1"/>
        <v>GetPicCtrlData</v>
      </c>
    </row>
    <row r="556" spans="20:22" x14ac:dyDescent="0.25">
      <c r="T556" s="7" t="str">
        <f ca="1"/>
        <v>Z7</v>
      </c>
      <c r="U556" s="7" t="str">
        <f ca="1"/>
        <v>0x90CD</v>
      </c>
      <c r="V556" s="7" t="str">
        <f ca="1"/>
        <v>SetPicCtrlData</v>
      </c>
    </row>
    <row r="557" spans="20:22" x14ac:dyDescent="0.25">
      <c r="T557" s="7" t="str">
        <f ca="1"/>
        <v>Z7</v>
      </c>
      <c r="U557" s="7" t="str">
        <f ca="1"/>
        <v>0x90CE</v>
      </c>
      <c r="V557" s="7" t="str">
        <f ca="1"/>
        <v>DeleteCustomPicCtrl</v>
      </c>
    </row>
    <row r="558" spans="20:22" x14ac:dyDescent="0.25">
      <c r="T558" s="7" t="str">
        <f ca="1"/>
        <v>Z7</v>
      </c>
      <c r="U558" s="7" t="str">
        <f ca="1"/>
        <v>0x90CF</v>
      </c>
      <c r="V558" s="7" t="str">
        <f ca="1"/>
        <v>GetPicCtrlCapability</v>
      </c>
    </row>
    <row r="559" spans="20:22" x14ac:dyDescent="0.25">
      <c r="T559" s="7" t="str">
        <f ca="1"/>
        <v>Z7</v>
      </c>
      <c r="U559" s="7" t="str">
        <f ca="1"/>
        <v>0x9201</v>
      </c>
      <c r="V559" s="7" t="str">
        <f ca="1"/>
        <v>StartLiveView</v>
      </c>
    </row>
    <row r="560" spans="20:22" x14ac:dyDescent="0.25">
      <c r="T560" s="7" t="str">
        <f ca="1"/>
        <v>Z7</v>
      </c>
      <c r="U560" s="7" t="str">
        <f ca="1"/>
        <v>0x9202</v>
      </c>
      <c r="V560" s="7" t="str">
        <f ca="1"/>
        <v>EndLiveView</v>
      </c>
    </row>
    <row r="561" spans="20:22" x14ac:dyDescent="0.25">
      <c r="T561" s="7" t="str">
        <f ca="1"/>
        <v>Z7</v>
      </c>
      <c r="U561" s="7" t="str">
        <f ca="1"/>
        <v>0x9203</v>
      </c>
      <c r="V561" s="7" t="str">
        <f ca="1"/>
        <v>GetLiveViewImage</v>
      </c>
    </row>
    <row r="562" spans="20:22" x14ac:dyDescent="0.25">
      <c r="T562" s="7" t="str">
        <f ca="1"/>
        <v>Z7</v>
      </c>
      <c r="U562" s="7" t="str">
        <f ca="1"/>
        <v>0x9204</v>
      </c>
      <c r="V562" s="7" t="str">
        <f ca="1"/>
        <v>MfDrive</v>
      </c>
    </row>
    <row r="563" spans="20:22" x14ac:dyDescent="0.25">
      <c r="T563" s="7" t="str">
        <f ca="1"/>
        <v>Z7</v>
      </c>
      <c r="U563" s="7" t="str">
        <f ca="1"/>
        <v>0x9205</v>
      </c>
      <c r="V563" s="7" t="str">
        <f ca="1"/>
        <v>ChangeAfArea</v>
      </c>
    </row>
    <row r="564" spans="20:22" x14ac:dyDescent="0.25">
      <c r="T564" s="7" t="str">
        <f ca="1"/>
        <v>Z7</v>
      </c>
      <c r="U564" s="7" t="str">
        <f ca="1"/>
        <v>0x9206</v>
      </c>
      <c r="V564" s="7" t="str">
        <f ca="1"/>
        <v>AfDriveCancel</v>
      </c>
    </row>
    <row r="565" spans="20:22" x14ac:dyDescent="0.25">
      <c r="T565" s="7" t="str">
        <f ca="1"/>
        <v>Z7</v>
      </c>
      <c r="U565" s="7" t="str">
        <f ca="1"/>
        <v>0x9207</v>
      </c>
      <c r="V565" s="7" t="str">
        <f ca="1"/>
        <v>InitiateCaptureRecInMedia</v>
      </c>
    </row>
    <row r="566" spans="20:22" x14ac:dyDescent="0.25">
      <c r="T566" s="7" t="str">
        <f ca="1"/>
        <v>Z7</v>
      </c>
      <c r="U566" s="7" t="str">
        <f ca="1"/>
        <v>0x9209</v>
      </c>
      <c r="V566" s="7" t="str">
        <f ca="1"/>
        <v>GetVendorStorageIDs</v>
      </c>
    </row>
    <row r="567" spans="20:22" x14ac:dyDescent="0.25">
      <c r="T567" s="7" t="str">
        <f ca="1"/>
        <v>Z7</v>
      </c>
      <c r="U567" s="7" t="str">
        <f ca="1"/>
        <v>0x920A</v>
      </c>
      <c r="V567" s="7" t="str">
        <f ca="1"/>
        <v>StartMovieRecord</v>
      </c>
    </row>
    <row r="568" spans="20:22" x14ac:dyDescent="0.25">
      <c r="T568" s="7" t="str">
        <f ca="1"/>
        <v>Z7</v>
      </c>
      <c r="U568" s="7" t="str">
        <f ca="1"/>
        <v>0x920B</v>
      </c>
      <c r="V568" s="7" t="str">
        <f ca="1"/>
        <v>EndMovieRecord</v>
      </c>
    </row>
    <row r="569" spans="20:22" x14ac:dyDescent="0.25">
      <c r="T569" s="7" t="str">
        <f ca="1"/>
        <v>Z7</v>
      </c>
      <c r="U569" s="7" t="str">
        <f ca="1"/>
        <v>0x920C</v>
      </c>
      <c r="V569" s="7" t="str">
        <f ca="1"/>
        <v>TerminateCapture</v>
      </c>
    </row>
    <row r="570" spans="20:22" x14ac:dyDescent="0.25">
      <c r="T570" s="7" t="str">
        <f ca="1"/>
        <v>Z7</v>
      </c>
      <c r="U570" s="7" t="str">
        <f ca="1"/>
        <v>0x920F</v>
      </c>
      <c r="V570" s="7" t="str">
        <f ca="1"/>
        <v>GetFhdPicture</v>
      </c>
    </row>
    <row r="571" spans="20:22" x14ac:dyDescent="0.25">
      <c r="T571" s="7" t="str">
        <f ca="1"/>
        <v>Z7</v>
      </c>
      <c r="U571" s="7" t="str">
        <f ca="1"/>
        <v>0x9400</v>
      </c>
      <c r="V571" s="7" t="str">
        <f ca="1"/>
        <v>GetPartialObjectHighSpeed</v>
      </c>
    </row>
    <row r="572" spans="20:22" x14ac:dyDescent="0.25">
      <c r="T572" s="7" t="str">
        <f ca="1"/>
        <v>Z7</v>
      </c>
      <c r="U572" s="7" t="str">
        <f ca="1"/>
        <v>0x9402</v>
      </c>
      <c r="V572" s="7" t="str">
        <f ca="1"/>
        <v>StartSpotWb</v>
      </c>
    </row>
    <row r="573" spans="20:22" x14ac:dyDescent="0.25">
      <c r="T573" s="7" t="str">
        <f ca="1"/>
        <v>Z7</v>
      </c>
      <c r="U573" s="7" t="str">
        <f ca="1"/>
        <v>0x9403</v>
      </c>
      <c r="V573" s="7" t="str">
        <f ca="1"/>
        <v>EndSpotWb</v>
      </c>
    </row>
    <row r="574" spans="20:22" x14ac:dyDescent="0.25">
      <c r="T574" s="7" t="str">
        <f ca="1"/>
        <v>Z7</v>
      </c>
      <c r="U574" s="7" t="str">
        <f ca="1"/>
        <v>0x9404</v>
      </c>
      <c r="V574" s="7" t="str">
        <f ca="1"/>
        <v>ChangeSpotWbArea</v>
      </c>
    </row>
    <row r="575" spans="20:22" x14ac:dyDescent="0.25">
      <c r="T575" s="7" t="str">
        <f ca="1"/>
        <v>Z7</v>
      </c>
      <c r="U575" s="7" t="str">
        <f ca="1"/>
        <v>0x9405</v>
      </c>
      <c r="V575" s="7" t="str">
        <f ca="1"/>
        <v>MeasureSpotWb</v>
      </c>
    </row>
    <row r="576" spans="20:22" x14ac:dyDescent="0.25">
      <c r="T576" s="7" t="str">
        <f ca="1"/>
        <v>Z7</v>
      </c>
      <c r="U576" s="7" t="str">
        <f ca="1"/>
        <v>0x9406</v>
      </c>
      <c r="V576" s="7" t="str">
        <f ca="1"/>
        <v>EndSpotWbResultDisp</v>
      </c>
    </row>
    <row r="577" spans="20:22" x14ac:dyDescent="0.25">
      <c r="T577" s="7" t="str">
        <f ca="1"/>
        <v>Z7</v>
      </c>
      <c r="U577" s="7" t="str">
        <f ca="1"/>
        <v>0x940C</v>
      </c>
      <c r="V577" s="7" t="str">
        <f ca="1"/>
        <v>CancelImagesInSdram</v>
      </c>
    </row>
    <row r="578" spans="20:22" x14ac:dyDescent="0.25">
      <c r="T578" s="7" t="str">
        <f ca="1"/>
        <v>Z7</v>
      </c>
      <c r="U578" s="7" t="str">
        <f ca="1"/>
        <v>0x9414</v>
      </c>
      <c r="V578" s="7" t="str">
        <f ca="1"/>
        <v>GetSBHandles</v>
      </c>
    </row>
    <row r="579" spans="20:22" x14ac:dyDescent="0.25">
      <c r="T579" s="7" t="str">
        <f ca="1"/>
        <v>Z7</v>
      </c>
      <c r="U579" s="7" t="str">
        <f ca="1"/>
        <v>0x9415</v>
      </c>
      <c r="V579" s="7" t="str">
        <f ca="1"/>
        <v>GetSBAttrDesc</v>
      </c>
    </row>
    <row r="580" spans="20:22" x14ac:dyDescent="0.25">
      <c r="T580" s="7" t="str">
        <f ca="1"/>
        <v>Z7</v>
      </c>
      <c r="U580" s="7" t="str">
        <f ca="1"/>
        <v>0x9416</v>
      </c>
      <c r="V580" s="7" t="str">
        <f ca="1"/>
        <v>GetSBAttrValue</v>
      </c>
    </row>
    <row r="581" spans="20:22" x14ac:dyDescent="0.25">
      <c r="T581" s="7" t="str">
        <f ca="1"/>
        <v>Z7</v>
      </c>
      <c r="U581" s="7" t="str">
        <f ca="1"/>
        <v>0x9417</v>
      </c>
      <c r="V581" s="7" t="str">
        <f ca="1"/>
        <v>SetSBAttrValue</v>
      </c>
    </row>
    <row r="582" spans="20:22" x14ac:dyDescent="0.25">
      <c r="T582" s="7" t="str">
        <f ca="1"/>
        <v>Z7</v>
      </c>
      <c r="U582" s="7" t="str">
        <f ca="1"/>
        <v>0x9418</v>
      </c>
      <c r="V582" s="7" t="str">
        <f ca="1"/>
        <v>GetSBGroupAttrDesc</v>
      </c>
    </row>
    <row r="583" spans="20:22" x14ac:dyDescent="0.25">
      <c r="T583" s="7" t="str">
        <f ca="1"/>
        <v>Z7</v>
      </c>
      <c r="U583" s="7" t="str">
        <f ca="1"/>
        <v>0x9419</v>
      </c>
      <c r="V583" s="7" t="str">
        <f ca="1"/>
        <v>GetSBGroupAttrValue</v>
      </c>
    </row>
    <row r="584" spans="20:22" x14ac:dyDescent="0.25">
      <c r="T584" s="7" t="str">
        <f ca="1"/>
        <v>Z7</v>
      </c>
      <c r="U584" s="7" t="str">
        <f ca="1"/>
        <v>0x941A</v>
      </c>
      <c r="V584" s="7" t="str">
        <f ca="1"/>
        <v>SetSBGroupAttrValue</v>
      </c>
    </row>
    <row r="585" spans="20:22" x14ac:dyDescent="0.25">
      <c r="T585" s="7" t="str">
        <f ca="1"/>
        <v>Z7</v>
      </c>
      <c r="U585" s="7" t="str">
        <f ca="1"/>
        <v>0x941B</v>
      </c>
      <c r="V585" s="7" t="str">
        <f ca="1"/>
        <v>TestFlash</v>
      </c>
    </row>
    <row r="586" spans="20:22" x14ac:dyDescent="0.25">
      <c r="T586" s="7" t="str">
        <f ca="1"/>
        <v>Z7</v>
      </c>
      <c r="U586" s="7" t="str">
        <f ca="1"/>
        <v>0x941C</v>
      </c>
      <c r="V586" s="7" t="str">
        <f ca="1"/>
        <v>GetEventEx</v>
      </c>
    </row>
    <row r="587" spans="20:22" x14ac:dyDescent="0.25">
      <c r="T587" s="7" t="str">
        <f ca="1"/>
        <v>Z7</v>
      </c>
      <c r="U587" s="7" t="str">
        <f ca="1"/>
        <v>0x9420</v>
      </c>
      <c r="V587" s="7" t="str">
        <f ca="1"/>
        <v>SaveCameraSetting</v>
      </c>
    </row>
    <row r="588" spans="20:22" x14ac:dyDescent="0.25">
      <c r="T588" s="7" t="str">
        <f ca="1"/>
        <v>Z7</v>
      </c>
      <c r="U588" s="7" t="str">
        <f ca="1"/>
        <v>0x9421</v>
      </c>
      <c r="V588" s="7" t="str">
        <f ca="1"/>
        <v>GetObjectSize</v>
      </c>
    </row>
    <row r="589" spans="20:22" x14ac:dyDescent="0.25">
      <c r="T589" s="7" t="str">
        <f ca="1"/>
        <v>Z7</v>
      </c>
      <c r="U589" s="7" t="str">
        <f ca="1"/>
        <v>0x9423</v>
      </c>
      <c r="V589" s="7" t="str">
        <f ca="1"/>
        <v>GetLiveViewCompressedSize</v>
      </c>
    </row>
    <row r="590" spans="20:22" x14ac:dyDescent="0.25">
      <c r="T590" s="7" t="str">
        <f ca="1"/>
        <v>Z7</v>
      </c>
      <c r="U590" s="7" t="str">
        <f ca="1"/>
        <v>0x9424</v>
      </c>
      <c r="V590" s="7" t="str">
        <f ca="1"/>
        <v>StartTracking</v>
      </c>
    </row>
    <row r="591" spans="20:22" x14ac:dyDescent="0.25">
      <c r="T591" s="7" t="str">
        <f ca="1"/>
        <v>Z7</v>
      </c>
      <c r="U591" s="7" t="str">
        <f ca="1"/>
        <v>0x9425</v>
      </c>
      <c r="V591" s="7" t="str">
        <f ca="1"/>
        <v>EndTracking</v>
      </c>
    </row>
    <row r="592" spans="20:22" x14ac:dyDescent="0.25">
      <c r="T592" s="7" t="str">
        <f ca="1"/>
        <v>Z7</v>
      </c>
      <c r="U592" s="7" t="str">
        <f ca="1"/>
        <v>0x9426</v>
      </c>
      <c r="V592" s="7" t="str">
        <f ca="1"/>
        <v>ChangeAELock</v>
      </c>
    </row>
    <row r="593" spans="20:22" x14ac:dyDescent="0.25">
      <c r="T593" s="7" t="str">
        <f ca="1"/>
        <v>Z7</v>
      </c>
      <c r="U593" s="7" t="str">
        <f ca="1"/>
        <v>0x9428</v>
      </c>
      <c r="V593" s="7" t="str">
        <f ca="1"/>
        <v>GetLiveViewImageEx</v>
      </c>
    </row>
    <row r="594" spans="20:22" x14ac:dyDescent="0.25">
      <c r="T594" s="7" t="str">
        <f ca="1"/>
        <v>Z7</v>
      </c>
      <c r="U594" s="7" t="str">
        <f ca="1"/>
        <v>0x9431</v>
      </c>
      <c r="V594" s="7" t="str">
        <f ca="1"/>
        <v>GetPartialObjectEx</v>
      </c>
    </row>
    <row r="595" spans="20:22" x14ac:dyDescent="0.25">
      <c r="T595" s="7" t="str">
        <f ca="1"/>
        <v>Z7</v>
      </c>
      <c r="U595" s="7" t="str">
        <f ca="1"/>
        <v>0x9432</v>
      </c>
      <c r="V595" s="7" t="str">
        <f ca="1"/>
        <v>GetManualSettingLensData</v>
      </c>
    </row>
    <row r="596" spans="20:22" x14ac:dyDescent="0.25">
      <c r="T596" s="7" t="str">
        <f ca="1"/>
        <v>Z7</v>
      </c>
      <c r="U596" s="7" t="str">
        <f ca="1"/>
        <v>0x9801</v>
      </c>
      <c r="V596" s="7" t="str">
        <f ca="1"/>
        <v>GetObjectPropsSupported</v>
      </c>
    </row>
    <row r="597" spans="20:22" x14ac:dyDescent="0.25">
      <c r="T597" s="7" t="str">
        <f ca="1"/>
        <v>Z7</v>
      </c>
      <c r="U597" s="7" t="str">
        <f ca="1"/>
        <v>0x9802</v>
      </c>
      <c r="V597" s="7" t="str">
        <f ca="1"/>
        <v>GetObjectPropDesc</v>
      </c>
    </row>
    <row r="598" spans="20:22" x14ac:dyDescent="0.25">
      <c r="T598" s="7" t="str">
        <f ca="1"/>
        <v>Z7</v>
      </c>
      <c r="U598" s="7" t="str">
        <f ca="1"/>
        <v>0x9803</v>
      </c>
      <c r="V598" s="7" t="str">
        <f ca="1"/>
        <v>GetObjectPropValue</v>
      </c>
    </row>
    <row r="599" spans="20:22" x14ac:dyDescent="0.25">
      <c r="T599" s="7" t="str">
        <f ca="1"/>
        <v>Z7</v>
      </c>
      <c r="U599" s="7" t="str">
        <f ca="1"/>
        <v>0x9805</v>
      </c>
      <c r="V599" s="7" t="str">
        <f ca="1"/>
        <v>GetObjectPropList</v>
      </c>
    </row>
    <row r="600" spans="20:22" x14ac:dyDescent="0.25">
      <c r="T600" s="7" t="str">
        <f ca="1"/>
        <v>Z5</v>
      </c>
      <c r="U600" s="7" t="str">
        <f ca="1"/>
        <v>0x1001</v>
      </c>
      <c r="V600" s="7" t="str">
        <f ca="1"/>
        <v>GetDeviceInfo</v>
      </c>
    </row>
    <row r="601" spans="20:22" x14ac:dyDescent="0.25">
      <c r="T601" s="7" t="str">
        <f ca="1"/>
        <v>Z5</v>
      </c>
      <c r="U601" s="7" t="str">
        <f ca="1"/>
        <v>0x1002</v>
      </c>
      <c r="V601" s="7" t="str">
        <f ca="1"/>
        <v>OpenSession</v>
      </c>
    </row>
    <row r="602" spans="20:22" x14ac:dyDescent="0.25">
      <c r="T602" s="7" t="str">
        <f ca="1"/>
        <v>Z5</v>
      </c>
      <c r="U602" s="7" t="str">
        <f ca="1"/>
        <v>0x1003</v>
      </c>
      <c r="V602" s="7" t="str">
        <f ca="1"/>
        <v>CloseSession</v>
      </c>
    </row>
    <row r="603" spans="20:22" x14ac:dyDescent="0.25">
      <c r="T603" s="7" t="str">
        <f ca="1"/>
        <v>Z5</v>
      </c>
      <c r="U603" s="7" t="str">
        <f ca="1"/>
        <v>0x1004</v>
      </c>
      <c r="V603" s="7" t="str">
        <f ca="1"/>
        <v>GetStorageIDs</v>
      </c>
    </row>
    <row r="604" spans="20:22" x14ac:dyDescent="0.25">
      <c r="T604" s="7" t="str">
        <f ca="1"/>
        <v>Z5</v>
      </c>
      <c r="U604" s="7" t="str">
        <f ca="1"/>
        <v>0x1005</v>
      </c>
      <c r="V604" s="7" t="str">
        <f ca="1"/>
        <v>GetStorageInfo</v>
      </c>
    </row>
    <row r="605" spans="20:22" x14ac:dyDescent="0.25">
      <c r="T605" s="7" t="str">
        <f ca="1"/>
        <v>Z5</v>
      </c>
      <c r="U605" s="7" t="str">
        <f ca="1"/>
        <v>0x1006</v>
      </c>
      <c r="V605" s="7" t="str">
        <f ca="1"/>
        <v>GetNumObjects</v>
      </c>
    </row>
    <row r="606" spans="20:22" x14ac:dyDescent="0.25">
      <c r="T606" s="7" t="str">
        <f ca="1"/>
        <v>Z5</v>
      </c>
      <c r="U606" s="7" t="str">
        <f ca="1"/>
        <v>0x1007</v>
      </c>
      <c r="V606" s="7" t="str">
        <f ca="1"/>
        <v>GetObjectHandles</v>
      </c>
    </row>
    <row r="607" spans="20:22" x14ac:dyDescent="0.25">
      <c r="T607" s="7" t="str">
        <f ca="1"/>
        <v>Z5</v>
      </c>
      <c r="U607" s="7" t="str">
        <f ca="1"/>
        <v>0x1008</v>
      </c>
      <c r="V607" s="7" t="str">
        <f ca="1"/>
        <v>GetObjectInfo</v>
      </c>
    </row>
    <row r="608" spans="20:22" x14ac:dyDescent="0.25">
      <c r="T608" s="7" t="str">
        <f ca="1"/>
        <v>Z5</v>
      </c>
      <c r="U608" s="7" t="str">
        <f ca="1"/>
        <v>0x1009</v>
      </c>
      <c r="V608" s="7" t="str">
        <f ca="1"/>
        <v>GetObject</v>
      </c>
    </row>
    <row r="609" spans="20:22" x14ac:dyDescent="0.25">
      <c r="T609" s="7" t="str">
        <f ca="1"/>
        <v>Z5</v>
      </c>
      <c r="U609" s="7" t="str">
        <f ca="1"/>
        <v>0x100A</v>
      </c>
      <c r="V609" s="7" t="str">
        <f ca="1"/>
        <v>GetThumb</v>
      </c>
    </row>
    <row r="610" spans="20:22" x14ac:dyDescent="0.25">
      <c r="T610" s="7" t="str">
        <f ca="1"/>
        <v>Z5</v>
      </c>
      <c r="U610" s="7" t="str">
        <f ca="1"/>
        <v>0x100B</v>
      </c>
      <c r="V610" s="7" t="str">
        <f ca="1"/>
        <v>DeleteObject</v>
      </c>
    </row>
    <row r="611" spans="20:22" x14ac:dyDescent="0.25">
      <c r="T611" s="7" t="str">
        <f ca="1"/>
        <v>Z5</v>
      </c>
      <c r="U611" s="7" t="str">
        <f ca="1"/>
        <v>0x100C</v>
      </c>
      <c r="V611" s="7" t="str">
        <f ca="1"/>
        <v>SendObjectInfo</v>
      </c>
    </row>
    <row r="612" spans="20:22" x14ac:dyDescent="0.25">
      <c r="T612" s="7" t="str">
        <f ca="1"/>
        <v>Z5</v>
      </c>
      <c r="U612" s="7" t="str">
        <f ca="1"/>
        <v>0x100D</v>
      </c>
      <c r="V612" s="7" t="str">
        <f ca="1"/>
        <v>SendObject</v>
      </c>
    </row>
    <row r="613" spans="20:22" x14ac:dyDescent="0.25">
      <c r="T613" s="7" t="str">
        <f ca="1"/>
        <v>Z5</v>
      </c>
      <c r="U613" s="7" t="str">
        <f ca="1"/>
        <v>0x100E</v>
      </c>
      <c r="V613" s="7" t="str">
        <f ca="1"/>
        <v>InitiateCapture</v>
      </c>
    </row>
    <row r="614" spans="20:22" x14ac:dyDescent="0.25">
      <c r="T614" s="7" t="str">
        <f ca="1"/>
        <v>Z5</v>
      </c>
      <c r="U614" s="7" t="str">
        <f ca="1"/>
        <v>0x100F</v>
      </c>
      <c r="V614" s="7" t="str">
        <f ca="1"/>
        <v>FormatStore</v>
      </c>
    </row>
    <row r="615" spans="20:22" x14ac:dyDescent="0.25">
      <c r="T615" s="7" t="str">
        <f ca="1"/>
        <v>Z5</v>
      </c>
      <c r="U615" s="7" t="str">
        <f ca="1"/>
        <v>0x1014</v>
      </c>
      <c r="V615" s="7" t="str">
        <f ca="1"/>
        <v>GetDevicePropDesc</v>
      </c>
    </row>
    <row r="616" spans="20:22" x14ac:dyDescent="0.25">
      <c r="T616" s="7" t="str">
        <f ca="1"/>
        <v>Z5</v>
      </c>
      <c r="U616" s="7" t="str">
        <f ca="1"/>
        <v>0x1015</v>
      </c>
      <c r="V616" s="7" t="str">
        <f ca="1"/>
        <v>GetDevicePropValue</v>
      </c>
    </row>
    <row r="617" spans="20:22" x14ac:dyDescent="0.25">
      <c r="T617" s="7" t="str">
        <f ca="1"/>
        <v>Z5</v>
      </c>
      <c r="U617" s="7" t="str">
        <f ca="1"/>
        <v>0x1016</v>
      </c>
      <c r="V617" s="7" t="str">
        <f ca="1"/>
        <v>SetDevicePropValue</v>
      </c>
    </row>
    <row r="618" spans="20:22" x14ac:dyDescent="0.25">
      <c r="T618" s="7" t="str">
        <f ca="1"/>
        <v>Z5</v>
      </c>
      <c r="U618" s="7" t="str">
        <f ca="1"/>
        <v>0x101B</v>
      </c>
      <c r="V618" s="7" t="str">
        <f ca="1"/>
        <v>GetPartialObject</v>
      </c>
    </row>
    <row r="619" spans="20:22" x14ac:dyDescent="0.25">
      <c r="T619" s="7" t="str">
        <f ca="1"/>
        <v>Z5</v>
      </c>
      <c r="U619" s="7" t="str">
        <f ca="1"/>
        <v>0x90C0</v>
      </c>
      <c r="V619" s="7" t="str">
        <f ca="1"/>
        <v>InitiateCaptureRecInSdram</v>
      </c>
    </row>
    <row r="620" spans="20:22" x14ac:dyDescent="0.25">
      <c r="T620" s="7" t="str">
        <f ca="1"/>
        <v>Z5</v>
      </c>
      <c r="U620" s="7" t="str">
        <f ca="1"/>
        <v>0x90C1</v>
      </c>
      <c r="V620" s="7" t="str">
        <f ca="1"/>
        <v>AfDrive</v>
      </c>
    </row>
    <row r="621" spans="20:22" x14ac:dyDescent="0.25">
      <c r="T621" s="7" t="str">
        <f ca="1"/>
        <v>Z5</v>
      </c>
      <c r="U621" s="7" t="str">
        <f ca="1"/>
        <v>0x90C2</v>
      </c>
      <c r="V621" s="7" t="str">
        <f ca="1"/>
        <v>ChangeCameraMode</v>
      </c>
    </row>
    <row r="622" spans="20:22" x14ac:dyDescent="0.25">
      <c r="T622" s="7" t="str">
        <f ca="1"/>
        <v>Z5</v>
      </c>
      <c r="U622" s="7" t="str">
        <f ca="1"/>
        <v>0x90C3</v>
      </c>
      <c r="V622" s="7" t="str">
        <f ca="1"/>
        <v>DeleteImagesInSdram</v>
      </c>
    </row>
    <row r="623" spans="20:22" x14ac:dyDescent="0.25">
      <c r="T623" s="7" t="str">
        <f ca="1"/>
        <v>Z5</v>
      </c>
      <c r="U623" s="7" t="str">
        <f ca="1"/>
        <v>0x90C4</v>
      </c>
      <c r="V623" s="7" t="str">
        <f ca="1"/>
        <v>GetLargeThumb</v>
      </c>
    </row>
    <row r="624" spans="20:22" x14ac:dyDescent="0.25">
      <c r="T624" s="7" t="str">
        <f ca="1"/>
        <v>Z5</v>
      </c>
      <c r="U624" s="7" t="str">
        <f ca="1"/>
        <v>0x90C7</v>
      </c>
      <c r="V624" s="7" t="str">
        <f ca="1"/>
        <v>GetEvent</v>
      </c>
    </row>
    <row r="625" spans="20:22" x14ac:dyDescent="0.25">
      <c r="T625" s="7" t="str">
        <f ca="1"/>
        <v>Z5</v>
      </c>
      <c r="U625" s="7" t="str">
        <f ca="1"/>
        <v>0x90C8</v>
      </c>
      <c r="V625" s="7" t="str">
        <f ca="1"/>
        <v>DeviceReady</v>
      </c>
    </row>
    <row r="626" spans="20:22" x14ac:dyDescent="0.25">
      <c r="T626" s="7" t="str">
        <f ca="1"/>
        <v>Z5</v>
      </c>
      <c r="U626" s="7" t="str">
        <f ca="1"/>
        <v>0x90C9</v>
      </c>
      <c r="V626" s="7" t="str">
        <f ca="1"/>
        <v>SetPreWbData</v>
      </c>
    </row>
    <row r="627" spans="20:22" x14ac:dyDescent="0.25">
      <c r="T627" s="7" t="str">
        <f ca="1"/>
        <v>Z5</v>
      </c>
      <c r="U627" s="7" t="str">
        <f ca="1"/>
        <v>0x90CA</v>
      </c>
      <c r="V627" s="7" t="str">
        <f ca="1"/>
        <v>GetVendorPropCodes</v>
      </c>
    </row>
    <row r="628" spans="20:22" x14ac:dyDescent="0.25">
      <c r="T628" s="7" t="str">
        <f ca="1"/>
        <v>Z5</v>
      </c>
      <c r="U628" s="7" t="str">
        <f ca="1"/>
        <v>0x90CB</v>
      </c>
      <c r="V628" s="7" t="str">
        <f ca="1"/>
        <v>AfAndCaptureRecInSdram</v>
      </c>
    </row>
    <row r="629" spans="20:22" x14ac:dyDescent="0.25">
      <c r="T629" s="7" t="str">
        <f ca="1"/>
        <v>Z5</v>
      </c>
      <c r="U629" s="7" t="str">
        <f ca="1"/>
        <v>0x90CC</v>
      </c>
      <c r="V629" s="7" t="str">
        <f ca="1"/>
        <v>GetPicCtrlData</v>
      </c>
    </row>
    <row r="630" spans="20:22" x14ac:dyDescent="0.25">
      <c r="T630" s="7" t="str">
        <f ca="1"/>
        <v>Z5</v>
      </c>
      <c r="U630" s="7" t="str">
        <f ca="1"/>
        <v>0x90CD</v>
      </c>
      <c r="V630" s="7" t="str">
        <f ca="1"/>
        <v>SetPicCtrlData</v>
      </c>
    </row>
    <row r="631" spans="20:22" x14ac:dyDescent="0.25">
      <c r="T631" s="7" t="str">
        <f ca="1"/>
        <v>Z5</v>
      </c>
      <c r="U631" s="7" t="str">
        <f ca="1"/>
        <v>0x90CE</v>
      </c>
      <c r="V631" s="7" t="str">
        <f ca="1"/>
        <v>DeleteCustomPicCtrl</v>
      </c>
    </row>
    <row r="632" spans="20:22" x14ac:dyDescent="0.25">
      <c r="T632" s="7" t="str">
        <f ca="1"/>
        <v>Z5</v>
      </c>
      <c r="U632" s="7" t="str">
        <f ca="1"/>
        <v>0x90CF</v>
      </c>
      <c r="V632" s="7" t="str">
        <f ca="1"/>
        <v>GetPicCtrlCapability</v>
      </c>
    </row>
    <row r="633" spans="20:22" x14ac:dyDescent="0.25">
      <c r="T633" s="7" t="str">
        <f ca="1"/>
        <v>Z5</v>
      </c>
      <c r="U633" s="7" t="str">
        <f ca="1"/>
        <v>0x9201</v>
      </c>
      <c r="V633" s="7" t="str">
        <f ca="1"/>
        <v>StartLiveView</v>
      </c>
    </row>
    <row r="634" spans="20:22" x14ac:dyDescent="0.25">
      <c r="T634" s="7" t="str">
        <f ca="1"/>
        <v>Z5</v>
      </c>
      <c r="U634" s="7" t="str">
        <f ca="1"/>
        <v>0x9202</v>
      </c>
      <c r="V634" s="7" t="str">
        <f ca="1"/>
        <v>EndLiveView</v>
      </c>
    </row>
    <row r="635" spans="20:22" x14ac:dyDescent="0.25">
      <c r="T635" s="7" t="str">
        <f ca="1"/>
        <v>Z5</v>
      </c>
      <c r="U635" s="7" t="str">
        <f ca="1"/>
        <v>0x9203</v>
      </c>
      <c r="V635" s="7" t="str">
        <f ca="1"/>
        <v>GetLiveViewImage</v>
      </c>
    </row>
    <row r="636" spans="20:22" x14ac:dyDescent="0.25">
      <c r="T636" s="7" t="str">
        <f ca="1"/>
        <v>Z5</v>
      </c>
      <c r="U636" s="7" t="str">
        <f ca="1"/>
        <v>0x9204</v>
      </c>
      <c r="V636" s="7" t="str">
        <f ca="1"/>
        <v>MfDrive</v>
      </c>
    </row>
    <row r="637" spans="20:22" x14ac:dyDescent="0.25">
      <c r="T637" s="7" t="str">
        <f ca="1"/>
        <v>Z5</v>
      </c>
      <c r="U637" s="7" t="str">
        <f ca="1"/>
        <v>0x9205</v>
      </c>
      <c r="V637" s="7" t="str">
        <f ca="1"/>
        <v>ChangeAfArea</v>
      </c>
    </row>
    <row r="638" spans="20:22" x14ac:dyDescent="0.25">
      <c r="T638" s="7" t="str">
        <f ca="1"/>
        <v>Z5</v>
      </c>
      <c r="U638" s="7" t="str">
        <f ca="1"/>
        <v>0x9206</v>
      </c>
      <c r="V638" s="7" t="str">
        <f ca="1"/>
        <v>AfDriveCancel</v>
      </c>
    </row>
    <row r="639" spans="20:22" x14ac:dyDescent="0.25">
      <c r="T639" s="7" t="str">
        <f ca="1"/>
        <v>Z5</v>
      </c>
      <c r="U639" s="7" t="str">
        <f ca="1"/>
        <v>0x9207</v>
      </c>
      <c r="V639" s="7" t="str">
        <f ca="1"/>
        <v>InitiateCaptureRecInMedia</v>
      </c>
    </row>
    <row r="640" spans="20:22" x14ac:dyDescent="0.25">
      <c r="T640" s="7" t="str">
        <f ca="1"/>
        <v>Z5</v>
      </c>
      <c r="U640" s="7" t="str">
        <f ca="1"/>
        <v>0x9209</v>
      </c>
      <c r="V640" s="7" t="str">
        <f ca="1"/>
        <v>GetVendorStorageIDs</v>
      </c>
    </row>
    <row r="641" spans="20:22" x14ac:dyDescent="0.25">
      <c r="T641" s="7" t="str">
        <f ca="1"/>
        <v>Z5</v>
      </c>
      <c r="U641" s="7" t="str">
        <f ca="1"/>
        <v>0x920A</v>
      </c>
      <c r="V641" s="7" t="str">
        <f ca="1"/>
        <v>StartMovieRecord</v>
      </c>
    </row>
    <row r="642" spans="20:22" x14ac:dyDescent="0.25">
      <c r="T642" s="7" t="str">
        <f ca="1"/>
        <v>Z5</v>
      </c>
      <c r="U642" s="7" t="str">
        <f ca="1"/>
        <v>0x920B</v>
      </c>
      <c r="V642" s="7" t="str">
        <f ca="1"/>
        <v>EndMovieRecord</v>
      </c>
    </row>
    <row r="643" spans="20:22" x14ac:dyDescent="0.25">
      <c r="T643" s="7" t="str">
        <f ca="1"/>
        <v>Z5</v>
      </c>
      <c r="U643" s="7" t="str">
        <f ca="1"/>
        <v>0x920C</v>
      </c>
      <c r="V643" s="7" t="str">
        <f ca="1"/>
        <v>TerminateCapture</v>
      </c>
    </row>
    <row r="644" spans="20:22" x14ac:dyDescent="0.25">
      <c r="T644" s="7" t="str">
        <f ca="1"/>
        <v>Z5</v>
      </c>
      <c r="U644" s="7" t="str">
        <f ca="1"/>
        <v>0x920F</v>
      </c>
      <c r="V644" s="7" t="str">
        <f ca="1"/>
        <v>GetFhdPicture</v>
      </c>
    </row>
    <row r="645" spans="20:22" x14ac:dyDescent="0.25">
      <c r="T645" s="7" t="str">
        <f ca="1"/>
        <v>Z5</v>
      </c>
      <c r="U645" s="7" t="str">
        <f ca="1"/>
        <v>0x9400</v>
      </c>
      <c r="V645" s="7" t="str">
        <f ca="1"/>
        <v>GetPartialObjectHighSpeed</v>
      </c>
    </row>
    <row r="646" spans="20:22" x14ac:dyDescent="0.25">
      <c r="T646" s="7" t="str">
        <f ca="1"/>
        <v>Z5</v>
      </c>
      <c r="U646" s="7" t="str">
        <f ca="1"/>
        <v>0x9402</v>
      </c>
      <c r="V646" s="7" t="str">
        <f ca="1"/>
        <v>StartSpotWb</v>
      </c>
    </row>
    <row r="647" spans="20:22" x14ac:dyDescent="0.25">
      <c r="T647" s="7" t="str">
        <f ca="1"/>
        <v>Z5</v>
      </c>
      <c r="U647" s="7" t="str">
        <f ca="1"/>
        <v>0x9403</v>
      </c>
      <c r="V647" s="7" t="str">
        <f ca="1"/>
        <v>EndSpotWb</v>
      </c>
    </row>
    <row r="648" spans="20:22" x14ac:dyDescent="0.25">
      <c r="T648" s="7" t="str">
        <f ca="1"/>
        <v>Z5</v>
      </c>
      <c r="U648" s="7" t="str">
        <f ca="1"/>
        <v>0x9404</v>
      </c>
      <c r="V648" s="7" t="str">
        <f ca="1"/>
        <v>ChangeSpotWbArea</v>
      </c>
    </row>
    <row r="649" spans="20:22" x14ac:dyDescent="0.25">
      <c r="T649" s="7" t="str">
        <f ca="1"/>
        <v>Z5</v>
      </c>
      <c r="U649" s="7" t="str">
        <f ca="1"/>
        <v>0x9405</v>
      </c>
      <c r="V649" s="7" t="str">
        <f ca="1"/>
        <v>MeasureSpotWb</v>
      </c>
    </row>
    <row r="650" spans="20:22" x14ac:dyDescent="0.25">
      <c r="T650" s="7" t="str">
        <f ca="1"/>
        <v>Z5</v>
      </c>
      <c r="U650" s="7" t="str">
        <f ca="1"/>
        <v>0x9406</v>
      </c>
      <c r="V650" s="7" t="str">
        <f ca="1"/>
        <v>EndSpotWbResultDisp</v>
      </c>
    </row>
    <row r="651" spans="20:22" x14ac:dyDescent="0.25">
      <c r="T651" s="7" t="str">
        <f ca="1"/>
        <v>Z5</v>
      </c>
      <c r="U651" s="7" t="str">
        <f ca="1"/>
        <v>0x940C</v>
      </c>
      <c r="V651" s="7" t="str">
        <f ca="1"/>
        <v>CancelImagesInSdram</v>
      </c>
    </row>
    <row r="652" spans="20:22" x14ac:dyDescent="0.25">
      <c r="T652" s="7" t="str">
        <f ca="1"/>
        <v>Z5</v>
      </c>
      <c r="U652" s="7" t="str">
        <f ca="1"/>
        <v>0x9414</v>
      </c>
      <c r="V652" s="7" t="str">
        <f ca="1"/>
        <v>GetSBHandles</v>
      </c>
    </row>
    <row r="653" spans="20:22" x14ac:dyDescent="0.25">
      <c r="T653" s="7" t="str">
        <f ca="1"/>
        <v>Z5</v>
      </c>
      <c r="U653" s="7" t="str">
        <f ca="1"/>
        <v>0x9415</v>
      </c>
      <c r="V653" s="7" t="str">
        <f ca="1"/>
        <v>GetSBAttrDesc</v>
      </c>
    </row>
    <row r="654" spans="20:22" x14ac:dyDescent="0.25">
      <c r="T654" s="7" t="str">
        <f ca="1"/>
        <v>Z5</v>
      </c>
      <c r="U654" s="7" t="str">
        <f ca="1"/>
        <v>0x9416</v>
      </c>
      <c r="V654" s="7" t="str">
        <f ca="1"/>
        <v>GetSBAttrValue</v>
      </c>
    </row>
    <row r="655" spans="20:22" x14ac:dyDescent="0.25">
      <c r="T655" s="7" t="str">
        <f ca="1"/>
        <v>Z5</v>
      </c>
      <c r="U655" s="7" t="str">
        <f ca="1"/>
        <v>0x9417</v>
      </c>
      <c r="V655" s="7" t="str">
        <f ca="1"/>
        <v>SetSBAttrValue</v>
      </c>
    </row>
    <row r="656" spans="20:22" x14ac:dyDescent="0.25">
      <c r="T656" s="7" t="str">
        <f ca="1"/>
        <v>Z5</v>
      </c>
      <c r="U656" s="7" t="str">
        <f ca="1"/>
        <v>0x9418</v>
      </c>
      <c r="V656" s="7" t="str">
        <f ca="1"/>
        <v>GetSBGroupAttrDesc</v>
      </c>
    </row>
    <row r="657" spans="20:22" x14ac:dyDescent="0.25">
      <c r="T657" s="7" t="str">
        <f ca="1"/>
        <v>Z5</v>
      </c>
      <c r="U657" s="7" t="str">
        <f ca="1"/>
        <v>0x9419</v>
      </c>
      <c r="V657" s="7" t="str">
        <f ca="1"/>
        <v>GetSBGroupAttrValue</v>
      </c>
    </row>
    <row r="658" spans="20:22" x14ac:dyDescent="0.25">
      <c r="T658" s="7" t="str">
        <f ca="1"/>
        <v>Z5</v>
      </c>
      <c r="U658" s="7" t="str">
        <f ca="1"/>
        <v>0x941A</v>
      </c>
      <c r="V658" s="7" t="str">
        <f ca="1"/>
        <v>SetSBGroupAttrValue</v>
      </c>
    </row>
    <row r="659" spans="20:22" x14ac:dyDescent="0.25">
      <c r="T659" s="7" t="str">
        <f ca="1"/>
        <v>Z5</v>
      </c>
      <c r="U659" s="7" t="str">
        <f ca="1"/>
        <v>0x941B</v>
      </c>
      <c r="V659" s="7" t="str">
        <f ca="1"/>
        <v>TestFlash</v>
      </c>
    </row>
    <row r="660" spans="20:22" x14ac:dyDescent="0.25">
      <c r="T660" s="7" t="str">
        <f ca="1"/>
        <v>Z5</v>
      </c>
      <c r="U660" s="7" t="str">
        <f ca="1"/>
        <v>0x941C</v>
      </c>
      <c r="V660" s="7" t="str">
        <f ca="1"/>
        <v>GetEventEx</v>
      </c>
    </row>
    <row r="661" spans="20:22" x14ac:dyDescent="0.25">
      <c r="T661" s="7" t="str">
        <f ca="1"/>
        <v>Z5</v>
      </c>
      <c r="U661" s="7" t="str">
        <f ca="1"/>
        <v>0x9420</v>
      </c>
      <c r="V661" s="7" t="str">
        <f ca="1"/>
        <v>SaveCameraSetting</v>
      </c>
    </row>
    <row r="662" spans="20:22" x14ac:dyDescent="0.25">
      <c r="T662" s="7" t="str">
        <f ca="1"/>
        <v>Z5</v>
      </c>
      <c r="U662" s="7" t="str">
        <f ca="1"/>
        <v>0x9421</v>
      </c>
      <c r="V662" s="7" t="str">
        <f ca="1"/>
        <v>GetObjectSize</v>
      </c>
    </row>
    <row r="663" spans="20:22" x14ac:dyDescent="0.25">
      <c r="T663" s="7" t="str">
        <f ca="1"/>
        <v>Z5</v>
      </c>
      <c r="U663" s="7" t="str">
        <f ca="1"/>
        <v>0x9422</v>
      </c>
      <c r="V663" s="7" t="str">
        <f ca="1"/>
        <v>ChangeMonitorOff</v>
      </c>
    </row>
    <row r="664" spans="20:22" x14ac:dyDescent="0.25">
      <c r="T664" s="7" t="str">
        <f ca="1"/>
        <v>Z5</v>
      </c>
      <c r="U664" s="7" t="str">
        <f ca="1"/>
        <v>0x9423</v>
      </c>
      <c r="V664" s="7" t="str">
        <f ca="1"/>
        <v>GetLiveViewCompressedSize</v>
      </c>
    </row>
    <row r="665" spans="20:22" x14ac:dyDescent="0.25">
      <c r="T665" s="7" t="str">
        <f ca="1"/>
        <v>Z5</v>
      </c>
      <c r="U665" s="7" t="str">
        <f ca="1"/>
        <v>0x9424</v>
      </c>
      <c r="V665" s="7" t="str">
        <f ca="1"/>
        <v>StartTracking</v>
      </c>
    </row>
    <row r="666" spans="20:22" x14ac:dyDescent="0.25">
      <c r="T666" s="7" t="str">
        <f ca="1"/>
        <v>Z5</v>
      </c>
      <c r="U666" s="7" t="str">
        <f ca="1"/>
        <v>0x9425</v>
      </c>
      <c r="V666" s="7" t="str">
        <f ca="1"/>
        <v>EndTracking</v>
      </c>
    </row>
    <row r="667" spans="20:22" x14ac:dyDescent="0.25">
      <c r="T667" s="7" t="str">
        <f ca="1"/>
        <v>Z5</v>
      </c>
      <c r="U667" s="7" t="str">
        <f ca="1"/>
        <v>0x9426</v>
      </c>
      <c r="V667" s="7" t="str">
        <f ca="1"/>
        <v>ChangeAELock</v>
      </c>
    </row>
    <row r="668" spans="20:22" x14ac:dyDescent="0.25">
      <c r="T668" s="7" t="str">
        <f ca="1"/>
        <v>Z5</v>
      </c>
      <c r="U668" s="7" t="str">
        <f ca="1"/>
        <v>0x9428</v>
      </c>
      <c r="V668" s="7" t="str">
        <f ca="1"/>
        <v>GetLiveViewImageEx</v>
      </c>
    </row>
    <row r="669" spans="20:22" x14ac:dyDescent="0.25">
      <c r="T669" s="7" t="str">
        <f ca="1"/>
        <v>Z5</v>
      </c>
      <c r="U669" s="7" t="str">
        <f ca="1"/>
        <v>0x9431</v>
      </c>
      <c r="V669" s="7" t="str">
        <f ca="1"/>
        <v>GetPartialObjectEx</v>
      </c>
    </row>
    <row r="670" spans="20:22" x14ac:dyDescent="0.25">
      <c r="T670" s="7" t="str">
        <f ca="1"/>
        <v>Z5</v>
      </c>
      <c r="U670" s="7" t="str">
        <f ca="1"/>
        <v>0x9432</v>
      </c>
      <c r="V670" s="7" t="str">
        <f ca="1"/>
        <v>GetManualSettingLensData</v>
      </c>
    </row>
    <row r="671" spans="20:22" x14ac:dyDescent="0.25">
      <c r="T671" s="7" t="str">
        <f ca="1"/>
        <v>Z5</v>
      </c>
      <c r="U671" s="7" t="str">
        <f ca="1"/>
        <v>0x9433</v>
      </c>
      <c r="V671" s="7" t="str">
        <f ca="1"/>
        <v>InitiatePixelMapping</v>
      </c>
    </row>
    <row r="672" spans="20:22" x14ac:dyDescent="0.25">
      <c r="T672" s="7" t="str">
        <f ca="1"/>
        <v>Z5</v>
      </c>
      <c r="U672" s="7" t="str">
        <f ca="1"/>
        <v>0x9434</v>
      </c>
      <c r="V672" s="7" t="str">
        <f ca="1"/>
        <v>GetObjectsMetaData</v>
      </c>
    </row>
    <row r="673" spans="20:22" x14ac:dyDescent="0.25">
      <c r="T673" s="7" t="str">
        <f ca="1"/>
        <v>Z5</v>
      </c>
      <c r="U673" s="7" t="str">
        <f ca="1"/>
        <v>0x9801</v>
      </c>
      <c r="V673" s="7" t="str">
        <f ca="1"/>
        <v>GetObjectPropsSupported</v>
      </c>
    </row>
    <row r="674" spans="20:22" x14ac:dyDescent="0.25">
      <c r="T674" s="7" t="str">
        <f ca="1"/>
        <v>Z5</v>
      </c>
      <c r="U674" s="7" t="str">
        <f ca="1"/>
        <v>0x9802</v>
      </c>
      <c r="V674" s="7" t="str">
        <f ca="1"/>
        <v>GetObjectPropDesc</v>
      </c>
    </row>
    <row r="675" spans="20:22" x14ac:dyDescent="0.25">
      <c r="T675" s="7" t="str">
        <f ca="1"/>
        <v>Z5</v>
      </c>
      <c r="U675" s="7" t="str">
        <f ca="1"/>
        <v>0x9803</v>
      </c>
      <c r="V675" s="7" t="str">
        <f ca="1"/>
        <v>GetObjectPropValue</v>
      </c>
    </row>
    <row r="676" spans="20:22" x14ac:dyDescent="0.25">
      <c r="T676" s="7" t="str">
        <f ca="1"/>
        <v>Z5</v>
      </c>
      <c r="U676" s="7" t="str">
        <f ca="1"/>
        <v>0x9805</v>
      </c>
      <c r="V676" s="7" t="str">
        <f ca="1"/>
        <v>GetObjectPropList</v>
      </c>
    </row>
    <row r="677" spans="20:22" x14ac:dyDescent="0.25">
      <c r="T677" s="7" t="str">
        <f ca="1"/>
        <v>D6</v>
      </c>
      <c r="U677" s="7" t="str">
        <f ca="1"/>
        <v>0x1001</v>
      </c>
      <c r="V677" s="7" t="str">
        <f ca="1"/>
        <v>GetDeviceInfo</v>
      </c>
    </row>
    <row r="678" spans="20:22" x14ac:dyDescent="0.25">
      <c r="T678" s="7" t="str">
        <f ca="1"/>
        <v>D6</v>
      </c>
      <c r="U678" s="7" t="str">
        <f ca="1"/>
        <v>0x1002</v>
      </c>
      <c r="V678" s="7" t="str">
        <f ca="1"/>
        <v>OpenSession</v>
      </c>
    </row>
    <row r="679" spans="20:22" x14ac:dyDescent="0.25">
      <c r="T679" s="7" t="str">
        <f ca="1"/>
        <v>D6</v>
      </c>
      <c r="U679" s="7" t="str">
        <f ca="1"/>
        <v>0x1003</v>
      </c>
      <c r="V679" s="7" t="str">
        <f ca="1"/>
        <v>CloseSession</v>
      </c>
    </row>
    <row r="680" spans="20:22" x14ac:dyDescent="0.25">
      <c r="T680" s="7" t="str">
        <f ca="1"/>
        <v>D6</v>
      </c>
      <c r="U680" s="7" t="str">
        <f ca="1"/>
        <v>0x1004</v>
      </c>
      <c r="V680" s="7" t="str">
        <f ca="1"/>
        <v>GetStorageIDs</v>
      </c>
    </row>
    <row r="681" spans="20:22" x14ac:dyDescent="0.25">
      <c r="T681" s="7" t="str">
        <f ca="1"/>
        <v>D6</v>
      </c>
      <c r="U681" s="7" t="str">
        <f ca="1"/>
        <v>0x1005</v>
      </c>
      <c r="V681" s="7" t="str">
        <f ca="1"/>
        <v>GetStorageInfo</v>
      </c>
    </row>
    <row r="682" spans="20:22" x14ac:dyDescent="0.25">
      <c r="T682" s="7" t="str">
        <f ca="1"/>
        <v>D6</v>
      </c>
      <c r="U682" s="7" t="str">
        <f ca="1"/>
        <v>0x1006</v>
      </c>
      <c r="V682" s="7" t="str">
        <f ca="1"/>
        <v>GetNumObjects</v>
      </c>
    </row>
    <row r="683" spans="20:22" x14ac:dyDescent="0.25">
      <c r="T683" s="7" t="str">
        <f ca="1"/>
        <v>D6</v>
      </c>
      <c r="U683" s="7" t="str">
        <f ca="1"/>
        <v>0x1007</v>
      </c>
      <c r="V683" s="7" t="str">
        <f ca="1"/>
        <v>GetObjectHandles</v>
      </c>
    </row>
    <row r="684" spans="20:22" x14ac:dyDescent="0.25">
      <c r="T684" s="7" t="str">
        <f ca="1"/>
        <v>D6</v>
      </c>
      <c r="U684" s="7" t="str">
        <f ca="1"/>
        <v>0x1008</v>
      </c>
      <c r="V684" s="7" t="str">
        <f ca="1"/>
        <v>GetObjectInfo</v>
      </c>
    </row>
    <row r="685" spans="20:22" x14ac:dyDescent="0.25">
      <c r="T685" s="7" t="str">
        <f ca="1"/>
        <v>D6</v>
      </c>
      <c r="U685" s="7" t="str">
        <f ca="1"/>
        <v>0x1009</v>
      </c>
      <c r="V685" s="7" t="str">
        <f ca="1"/>
        <v>GetObject</v>
      </c>
    </row>
    <row r="686" spans="20:22" x14ac:dyDescent="0.25">
      <c r="T686" s="7" t="str">
        <f ca="1"/>
        <v>D6</v>
      </c>
      <c r="U686" s="7" t="str">
        <f ca="1"/>
        <v>0x100A</v>
      </c>
      <c r="V686" s="7" t="str">
        <f ca="1"/>
        <v>GetThumb</v>
      </c>
    </row>
    <row r="687" spans="20:22" x14ac:dyDescent="0.25">
      <c r="T687" s="7" t="str">
        <f ca="1"/>
        <v>D6</v>
      </c>
      <c r="U687" s="7" t="str">
        <f ca="1"/>
        <v>0x100B</v>
      </c>
      <c r="V687" s="7" t="str">
        <f ca="1"/>
        <v>DeleteObject</v>
      </c>
    </row>
    <row r="688" spans="20:22" x14ac:dyDescent="0.25">
      <c r="T688" s="7" t="str">
        <f ca="1"/>
        <v>D6</v>
      </c>
      <c r="U688" s="7" t="str">
        <f ca="1"/>
        <v>0x100C</v>
      </c>
      <c r="V688" s="7" t="str">
        <f ca="1"/>
        <v>SendObjectInfo</v>
      </c>
    </row>
    <row r="689" spans="20:22" x14ac:dyDescent="0.25">
      <c r="T689" s="7" t="str">
        <f ca="1"/>
        <v>D6</v>
      </c>
      <c r="U689" s="7" t="str">
        <f ca="1"/>
        <v>0x100D</v>
      </c>
      <c r="V689" s="7" t="str">
        <f ca="1"/>
        <v>SendObject</v>
      </c>
    </row>
    <row r="690" spans="20:22" x14ac:dyDescent="0.25">
      <c r="T690" s="7" t="str">
        <f ca="1"/>
        <v>D6</v>
      </c>
      <c r="U690" s="7" t="str">
        <f ca="1"/>
        <v>0x100E</v>
      </c>
      <c r="V690" s="7" t="str">
        <f ca="1"/>
        <v>InitiateCapture</v>
      </c>
    </row>
    <row r="691" spans="20:22" x14ac:dyDescent="0.25">
      <c r="T691" s="7" t="str">
        <f ca="1"/>
        <v>D6</v>
      </c>
      <c r="U691" s="7" t="str">
        <f ca="1"/>
        <v>0x100F</v>
      </c>
      <c r="V691" s="7" t="str">
        <f ca="1"/>
        <v>FormatStore</v>
      </c>
    </row>
    <row r="692" spans="20:22" x14ac:dyDescent="0.25">
      <c r="T692" s="7" t="str">
        <f ca="1"/>
        <v>D6</v>
      </c>
      <c r="U692" s="7" t="str">
        <f ca="1"/>
        <v>0x1014</v>
      </c>
      <c r="V692" s="7" t="str">
        <f ca="1"/>
        <v>GetDevicePropDesc</v>
      </c>
    </row>
    <row r="693" spans="20:22" x14ac:dyDescent="0.25">
      <c r="T693" s="7" t="str">
        <f ca="1"/>
        <v>D6</v>
      </c>
      <c r="U693" s="7" t="str">
        <f ca="1"/>
        <v>0x1015</v>
      </c>
      <c r="V693" s="7" t="str">
        <f ca="1"/>
        <v>GetDevicePropValue</v>
      </c>
    </row>
    <row r="694" spans="20:22" x14ac:dyDescent="0.25">
      <c r="T694" s="7" t="str">
        <f ca="1"/>
        <v>D6</v>
      </c>
      <c r="U694" s="7" t="str">
        <f ca="1"/>
        <v>0x1016</v>
      </c>
      <c r="V694" s="7" t="str">
        <f ca="1"/>
        <v>SetDevicePropValue</v>
      </c>
    </row>
    <row r="695" spans="20:22" x14ac:dyDescent="0.25">
      <c r="T695" s="7" t="str">
        <f ca="1"/>
        <v>D6</v>
      </c>
      <c r="U695" s="7" t="str">
        <f ca="1"/>
        <v>0x101B</v>
      </c>
      <c r="V695" s="7" t="str">
        <f ca="1"/>
        <v>GetPartialObject</v>
      </c>
    </row>
    <row r="696" spans="20:22" x14ac:dyDescent="0.25">
      <c r="T696" s="7" t="str">
        <f ca="1"/>
        <v>D6</v>
      </c>
      <c r="U696" s="7" t="str">
        <f ca="1"/>
        <v>0x90C0</v>
      </c>
      <c r="V696" s="7" t="str">
        <f ca="1"/>
        <v>InitiateCaptureRecInSdram</v>
      </c>
    </row>
    <row r="697" spans="20:22" x14ac:dyDescent="0.25">
      <c r="T697" s="7" t="str">
        <f ca="1"/>
        <v>D6</v>
      </c>
      <c r="U697" s="7" t="str">
        <f ca="1"/>
        <v>0x90C1</v>
      </c>
      <c r="V697" s="7" t="str">
        <f ca="1"/>
        <v>AfDrive</v>
      </c>
    </row>
    <row r="698" spans="20:22" x14ac:dyDescent="0.25">
      <c r="T698" s="7" t="str">
        <f ca="1"/>
        <v>D6</v>
      </c>
      <c r="U698" s="7" t="str">
        <f ca="1"/>
        <v>0x90C2</v>
      </c>
      <c r="V698" s="7" t="str">
        <f ca="1"/>
        <v>ChangeCameraMode</v>
      </c>
    </row>
    <row r="699" spans="20:22" x14ac:dyDescent="0.25">
      <c r="T699" s="7" t="str">
        <f ca="1"/>
        <v>D6</v>
      </c>
      <c r="U699" s="7" t="str">
        <f ca="1"/>
        <v>0x90C3</v>
      </c>
      <c r="V699" s="7" t="str">
        <f ca="1"/>
        <v>DeleteImagesInSdram</v>
      </c>
    </row>
    <row r="700" spans="20:22" x14ac:dyDescent="0.25">
      <c r="T700" s="7" t="str">
        <f ca="1"/>
        <v>D6</v>
      </c>
      <c r="U700" s="7" t="str">
        <f ca="1"/>
        <v>0x90C4</v>
      </c>
      <c r="V700" s="7" t="str">
        <f ca="1"/>
        <v>GetLargeThumb</v>
      </c>
    </row>
    <row r="701" spans="20:22" x14ac:dyDescent="0.25">
      <c r="T701" s="7" t="str">
        <f ca="1"/>
        <v>D6</v>
      </c>
      <c r="U701" s="7" t="str">
        <f ca="1"/>
        <v>0x90C7</v>
      </c>
      <c r="V701" s="7" t="str">
        <f ca="1"/>
        <v>GetEvent</v>
      </c>
    </row>
    <row r="702" spans="20:22" x14ac:dyDescent="0.25">
      <c r="T702" s="7" t="str">
        <f ca="1"/>
        <v>D6</v>
      </c>
      <c r="U702" s="7" t="str">
        <f ca="1"/>
        <v>0x90C8</v>
      </c>
      <c r="V702" s="7" t="str">
        <f ca="1"/>
        <v>DeviceReady</v>
      </c>
    </row>
    <row r="703" spans="20:22" x14ac:dyDescent="0.25">
      <c r="T703" s="7" t="str">
        <f ca="1"/>
        <v>D6</v>
      </c>
      <c r="U703" s="7" t="str">
        <f ca="1"/>
        <v>0x90C9</v>
      </c>
      <c r="V703" s="7" t="str">
        <f ca="1"/>
        <v>SetPreWbData</v>
      </c>
    </row>
    <row r="704" spans="20:22" x14ac:dyDescent="0.25">
      <c r="T704" s="7" t="str">
        <f ca="1"/>
        <v>D6</v>
      </c>
      <c r="U704" s="7" t="str">
        <f ca="1"/>
        <v>0x90CA</v>
      </c>
      <c r="V704" s="7" t="str">
        <f ca="1"/>
        <v>GetVendorPropCodes</v>
      </c>
    </row>
    <row r="705" spans="20:22" x14ac:dyDescent="0.25">
      <c r="T705" s="7" t="str">
        <f ca="1"/>
        <v>D6</v>
      </c>
      <c r="U705" s="7" t="str">
        <f ca="1"/>
        <v>0x90CB</v>
      </c>
      <c r="V705" s="7" t="str">
        <f ca="1"/>
        <v>AfAndCaptureRecInSdram</v>
      </c>
    </row>
    <row r="706" spans="20:22" x14ac:dyDescent="0.25">
      <c r="T706" s="7" t="str">
        <f ca="1"/>
        <v>D6</v>
      </c>
      <c r="U706" s="7" t="str">
        <f ca="1"/>
        <v>0x90CC</v>
      </c>
      <c r="V706" s="7" t="str">
        <f ca="1"/>
        <v>GetPicCtrlData</v>
      </c>
    </row>
    <row r="707" spans="20:22" x14ac:dyDescent="0.25">
      <c r="T707" s="7" t="str">
        <f ca="1"/>
        <v>D6</v>
      </c>
      <c r="U707" s="7" t="str">
        <f ca="1"/>
        <v>0x90CD</v>
      </c>
      <c r="V707" s="7" t="str">
        <f ca="1"/>
        <v>SetPicCtrlData</v>
      </c>
    </row>
    <row r="708" spans="20:22" x14ac:dyDescent="0.25">
      <c r="T708" s="7" t="str">
        <f ca="1"/>
        <v>D6</v>
      </c>
      <c r="U708" s="7" t="str">
        <f ca="1"/>
        <v>0x90CE</v>
      </c>
      <c r="V708" s="7" t="str">
        <f ca="1"/>
        <v>DeleteCustomPicCtrl</v>
      </c>
    </row>
    <row r="709" spans="20:22" x14ac:dyDescent="0.25">
      <c r="T709" s="7" t="str">
        <f ca="1"/>
        <v>D6</v>
      </c>
      <c r="U709" s="7" t="str">
        <f ca="1"/>
        <v>0x90CF</v>
      </c>
      <c r="V709" s="7" t="str">
        <f ca="1"/>
        <v>GetPicCtrlCapability</v>
      </c>
    </row>
    <row r="710" spans="20:22" x14ac:dyDescent="0.25">
      <c r="T710" s="7" t="str">
        <f ca="1"/>
        <v>D6</v>
      </c>
      <c r="U710" s="7" t="str">
        <f ca="1"/>
        <v>0x9201</v>
      </c>
      <c r="V710" s="7" t="str">
        <f ca="1"/>
        <v>StartLiveView</v>
      </c>
    </row>
    <row r="711" spans="20:22" x14ac:dyDescent="0.25">
      <c r="T711" s="7" t="str">
        <f ca="1"/>
        <v>D6</v>
      </c>
      <c r="U711" s="7" t="str">
        <f ca="1"/>
        <v>0x9202</v>
      </c>
      <c r="V711" s="7" t="str">
        <f ca="1"/>
        <v>EndLiveView</v>
      </c>
    </row>
    <row r="712" spans="20:22" x14ac:dyDescent="0.25">
      <c r="T712" s="7" t="str">
        <f ca="1"/>
        <v>D6</v>
      </c>
      <c r="U712" s="7" t="str">
        <f ca="1"/>
        <v>0x9203</v>
      </c>
      <c r="V712" s="7" t="str">
        <f ca="1"/>
        <v>GetLiveViewImage</v>
      </c>
    </row>
    <row r="713" spans="20:22" x14ac:dyDescent="0.25">
      <c r="T713" s="7" t="str">
        <f ca="1"/>
        <v>D6</v>
      </c>
      <c r="U713" s="7" t="str">
        <f ca="1"/>
        <v>0x9204</v>
      </c>
      <c r="V713" s="7" t="str">
        <f ca="1"/>
        <v>MfDrive</v>
      </c>
    </row>
    <row r="714" spans="20:22" x14ac:dyDescent="0.25">
      <c r="T714" s="7" t="str">
        <f ca="1"/>
        <v>D6</v>
      </c>
      <c r="U714" s="7" t="str">
        <f ca="1"/>
        <v>0x9205</v>
      </c>
      <c r="V714" s="7" t="str">
        <f ca="1"/>
        <v>ChangeAfArea</v>
      </c>
    </row>
    <row r="715" spans="20:22" x14ac:dyDescent="0.25">
      <c r="T715" s="7" t="str">
        <f ca="1"/>
        <v>D6</v>
      </c>
      <c r="U715" s="7" t="str">
        <f ca="1"/>
        <v>0x9206</v>
      </c>
      <c r="V715" s="7" t="str">
        <f ca="1"/>
        <v>AfDriveCancel</v>
      </c>
    </row>
    <row r="716" spans="20:22" x14ac:dyDescent="0.25">
      <c r="T716" s="7" t="str">
        <f ca="1"/>
        <v>D6</v>
      </c>
      <c r="U716" s="7" t="str">
        <f ca="1"/>
        <v>0x9207</v>
      </c>
      <c r="V716" s="7" t="str">
        <f ca="1"/>
        <v>InitiateCaptureRecInMedia</v>
      </c>
    </row>
    <row r="717" spans="20:22" x14ac:dyDescent="0.25">
      <c r="T717" s="7" t="str">
        <f ca="1"/>
        <v>D6</v>
      </c>
      <c r="U717" s="7" t="str">
        <f ca="1"/>
        <v>0x9209</v>
      </c>
      <c r="V717" s="7" t="str">
        <f ca="1"/>
        <v>GetVendorStorageIDs</v>
      </c>
    </row>
    <row r="718" spans="20:22" x14ac:dyDescent="0.25">
      <c r="T718" s="7" t="str">
        <f ca="1"/>
        <v>D6</v>
      </c>
      <c r="U718" s="7" t="str">
        <f ca="1"/>
        <v>0x920A</v>
      </c>
      <c r="V718" s="7" t="str">
        <f ca="1"/>
        <v>StartMovieRecord</v>
      </c>
    </row>
    <row r="719" spans="20:22" x14ac:dyDescent="0.25">
      <c r="T719" s="7" t="str">
        <f ca="1"/>
        <v>D6</v>
      </c>
      <c r="U719" s="7" t="str">
        <f ca="1"/>
        <v>0x920B</v>
      </c>
      <c r="V719" s="7" t="str">
        <f ca="1"/>
        <v>EndMovieRecord</v>
      </c>
    </row>
    <row r="720" spans="20:22" x14ac:dyDescent="0.25">
      <c r="T720" s="7" t="str">
        <f ca="1"/>
        <v>D6</v>
      </c>
      <c r="U720" s="7" t="str">
        <f ca="1"/>
        <v>0x920C</v>
      </c>
      <c r="V720" s="7" t="str">
        <f ca="1"/>
        <v>TerminateCapture</v>
      </c>
    </row>
    <row r="721" spans="20:22" x14ac:dyDescent="0.25">
      <c r="T721" s="7" t="str">
        <f ca="1"/>
        <v>D6</v>
      </c>
      <c r="U721" s="7" t="str">
        <f ca="1"/>
        <v>0x920F</v>
      </c>
      <c r="V721" s="7" t="str">
        <f ca="1"/>
        <v>GetFhdPicture</v>
      </c>
    </row>
    <row r="722" spans="20:22" x14ac:dyDescent="0.25">
      <c r="T722" s="7" t="str">
        <f ca="1"/>
        <v>D6</v>
      </c>
      <c r="U722" s="7" t="str">
        <f ca="1"/>
        <v>0x9400</v>
      </c>
      <c r="V722" s="7" t="str">
        <f ca="1"/>
        <v>GetPartialObjectHighSpeed</v>
      </c>
    </row>
    <row r="723" spans="20:22" x14ac:dyDescent="0.25">
      <c r="T723" s="7" t="str">
        <f ca="1"/>
        <v>D6</v>
      </c>
      <c r="U723" s="7" t="str">
        <f ca="1"/>
        <v>0x9401</v>
      </c>
      <c r="V723" s="7" t="str">
        <f ca="1"/>
        <v>GetIPTCInfo</v>
      </c>
    </row>
    <row r="724" spans="20:22" x14ac:dyDescent="0.25">
      <c r="T724" s="7" t="str">
        <f ca="1"/>
        <v>D6</v>
      </c>
      <c r="U724" s="7" t="str">
        <f ca="1"/>
        <v>0x9402</v>
      </c>
      <c r="V724" s="7" t="str">
        <f ca="1"/>
        <v>StartSpotWb</v>
      </c>
    </row>
    <row r="725" spans="20:22" x14ac:dyDescent="0.25">
      <c r="T725" s="7" t="str">
        <f ca="1"/>
        <v>D6</v>
      </c>
      <c r="U725" s="7" t="str">
        <f ca="1"/>
        <v>0x9403</v>
      </c>
      <c r="V725" s="7" t="str">
        <f ca="1"/>
        <v>EndSpotWb</v>
      </c>
    </row>
    <row r="726" spans="20:22" x14ac:dyDescent="0.25">
      <c r="T726" s="7" t="str">
        <f ca="1"/>
        <v>D6</v>
      </c>
      <c r="U726" s="7" t="str">
        <f ca="1"/>
        <v>0x9404</v>
      </c>
      <c r="V726" s="7" t="str">
        <f ca="1"/>
        <v>ChangeSpotWbArea</v>
      </c>
    </row>
    <row r="727" spans="20:22" x14ac:dyDescent="0.25">
      <c r="T727" s="7" t="str">
        <f ca="1"/>
        <v>D6</v>
      </c>
      <c r="U727" s="7" t="str">
        <f ca="1"/>
        <v>0x9405</v>
      </c>
      <c r="V727" s="7" t="str">
        <f ca="1"/>
        <v>MeasureSpotWb</v>
      </c>
    </row>
    <row r="728" spans="20:22" x14ac:dyDescent="0.25">
      <c r="T728" s="7" t="str">
        <f ca="1"/>
        <v>D6</v>
      </c>
      <c r="U728" s="7" t="str">
        <f ca="1"/>
        <v>0x9406</v>
      </c>
      <c r="V728" s="7" t="str">
        <f ca="1"/>
        <v>EndSpotWbResultDisp</v>
      </c>
    </row>
    <row r="729" spans="20:22" x14ac:dyDescent="0.25">
      <c r="T729" s="7" t="str">
        <f ca="1"/>
        <v>D6</v>
      </c>
      <c r="U729" s="7" t="str">
        <f ca="1"/>
        <v>0x940C</v>
      </c>
      <c r="V729" s="7" t="str">
        <f ca="1"/>
        <v>CancelImagesInSdram</v>
      </c>
    </row>
    <row r="730" spans="20:22" x14ac:dyDescent="0.25">
      <c r="T730" s="7" t="str">
        <f ca="1"/>
        <v>D6</v>
      </c>
      <c r="U730" s="7" t="str">
        <f ca="1"/>
        <v>0x9412</v>
      </c>
      <c r="V730" s="7" t="str">
        <f ca="1"/>
        <v>GetIPTCPresetInfo</v>
      </c>
    </row>
    <row r="731" spans="20:22" x14ac:dyDescent="0.25">
      <c r="T731" s="7" t="str">
        <f ca="1"/>
        <v>D6</v>
      </c>
      <c r="U731" s="7" t="str">
        <f ca="1"/>
        <v>0x9413</v>
      </c>
      <c r="V731" s="7" t="str">
        <f ca="1"/>
        <v>SetIPTCPresetInfo</v>
      </c>
    </row>
    <row r="732" spans="20:22" x14ac:dyDescent="0.25">
      <c r="T732" s="7" t="str">
        <f ca="1"/>
        <v>D6</v>
      </c>
      <c r="U732" s="7" t="str">
        <f ca="1"/>
        <v>0x9414</v>
      </c>
      <c r="V732" s="7" t="str">
        <f ca="1"/>
        <v>GetSBHandles</v>
      </c>
    </row>
    <row r="733" spans="20:22" x14ac:dyDescent="0.25">
      <c r="T733" s="7" t="str">
        <f ca="1"/>
        <v>D6</v>
      </c>
      <c r="U733" s="7" t="str">
        <f ca="1"/>
        <v>0x9415</v>
      </c>
      <c r="V733" s="7" t="str">
        <f ca="1"/>
        <v>GetSBAttrDesc</v>
      </c>
    </row>
    <row r="734" spans="20:22" x14ac:dyDescent="0.25">
      <c r="T734" s="7" t="str">
        <f ca="1"/>
        <v>D6</v>
      </c>
      <c r="U734" s="7" t="str">
        <f ca="1"/>
        <v>0x9416</v>
      </c>
      <c r="V734" s="7" t="str">
        <f ca="1"/>
        <v>GetSBAttrValue</v>
      </c>
    </row>
    <row r="735" spans="20:22" x14ac:dyDescent="0.25">
      <c r="T735" s="7" t="str">
        <f ca="1"/>
        <v>D6</v>
      </c>
      <c r="U735" s="7" t="str">
        <f ca="1"/>
        <v>0x9417</v>
      </c>
      <c r="V735" s="7" t="str">
        <f ca="1"/>
        <v>SetSBAttrValue</v>
      </c>
    </row>
    <row r="736" spans="20:22" x14ac:dyDescent="0.25">
      <c r="T736" s="7" t="str">
        <f ca="1"/>
        <v>D6</v>
      </c>
      <c r="U736" s="7" t="str">
        <f ca="1"/>
        <v>0x9418</v>
      </c>
      <c r="V736" s="7" t="str">
        <f ca="1"/>
        <v>GetSBGroupAttrDesc</v>
      </c>
    </row>
    <row r="737" spans="20:22" x14ac:dyDescent="0.25">
      <c r="T737" s="7" t="str">
        <f ca="1"/>
        <v>D6</v>
      </c>
      <c r="U737" s="7" t="str">
        <f ca="1"/>
        <v>0x9419</v>
      </c>
      <c r="V737" s="7" t="str">
        <f ca="1"/>
        <v>GetSBGroupAttrValue</v>
      </c>
    </row>
    <row r="738" spans="20:22" x14ac:dyDescent="0.25">
      <c r="T738" s="7" t="str">
        <f ca="1"/>
        <v>D6</v>
      </c>
      <c r="U738" s="7" t="str">
        <f ca="1"/>
        <v>0x941A</v>
      </c>
      <c r="V738" s="7" t="str">
        <f ca="1"/>
        <v>SetSBGroupAttrValue</v>
      </c>
    </row>
    <row r="739" spans="20:22" x14ac:dyDescent="0.25">
      <c r="T739" s="7" t="str">
        <f ca="1"/>
        <v>D6</v>
      </c>
      <c r="U739" s="7" t="str">
        <f ca="1"/>
        <v>0x941B</v>
      </c>
      <c r="V739" s="7" t="str">
        <f ca="1"/>
        <v>TestFlash</v>
      </c>
    </row>
    <row r="740" spans="20:22" x14ac:dyDescent="0.25">
      <c r="T740" s="7" t="str">
        <f ca="1"/>
        <v>D6</v>
      </c>
      <c r="U740" s="7" t="str">
        <f ca="1"/>
        <v>0x941C</v>
      </c>
      <c r="V740" s="7" t="str">
        <f ca="1"/>
        <v>GetEventEx</v>
      </c>
    </row>
    <row r="741" spans="20:22" x14ac:dyDescent="0.25">
      <c r="T741" s="7" t="str">
        <f ca="1"/>
        <v>D6</v>
      </c>
      <c r="U741" s="7" t="str">
        <f ca="1"/>
        <v>0x941D</v>
      </c>
      <c r="V741" s="7" t="str">
        <f ca="1"/>
        <v>MirrorUpCancel</v>
      </c>
    </row>
    <row r="742" spans="20:22" x14ac:dyDescent="0.25">
      <c r="T742" s="7" t="str">
        <f ca="1"/>
        <v>D6</v>
      </c>
      <c r="U742" s="7" t="str">
        <f ca="1"/>
        <v>0x9420</v>
      </c>
      <c r="V742" s="7" t="str">
        <f ca="1"/>
        <v>SaveCameraSetting</v>
      </c>
    </row>
    <row r="743" spans="20:22" x14ac:dyDescent="0.25">
      <c r="T743" s="7" t="str">
        <f ca="1"/>
        <v>D6</v>
      </c>
      <c r="U743" s="7" t="str">
        <f ca="1"/>
        <v>0x9421</v>
      </c>
      <c r="V743" s="7" t="str">
        <f ca="1"/>
        <v>GetObjectSize</v>
      </c>
    </row>
    <row r="744" spans="20:22" x14ac:dyDescent="0.25">
      <c r="T744" s="7" t="str">
        <f ca="1"/>
        <v>D6</v>
      </c>
      <c r="U744" s="7" t="str">
        <f ca="1"/>
        <v>0x9422</v>
      </c>
      <c r="V744" s="7" t="str">
        <f ca="1"/>
        <v>ChangeMonitorOff</v>
      </c>
    </row>
    <row r="745" spans="20:22" x14ac:dyDescent="0.25">
      <c r="T745" s="7" t="str">
        <f ca="1"/>
        <v>D6</v>
      </c>
      <c r="U745" s="7" t="str">
        <f ca="1"/>
        <v>0x9423</v>
      </c>
      <c r="V745" s="7" t="str">
        <f ca="1"/>
        <v>GetLiveViewCompressedSize</v>
      </c>
    </row>
    <row r="746" spans="20:22" x14ac:dyDescent="0.25">
      <c r="T746" s="7" t="str">
        <f ca="1"/>
        <v>D6</v>
      </c>
      <c r="U746" s="7" t="str">
        <f ca="1"/>
        <v>0x9424</v>
      </c>
      <c r="V746" s="7" t="str">
        <f ca="1"/>
        <v>StartTracking</v>
      </c>
    </row>
    <row r="747" spans="20:22" x14ac:dyDescent="0.25">
      <c r="T747" s="7" t="str">
        <f ca="1"/>
        <v>D6</v>
      </c>
      <c r="U747" s="7" t="str">
        <f ca="1"/>
        <v>0x9425</v>
      </c>
      <c r="V747" s="7" t="str">
        <f ca="1"/>
        <v>EndTracking</v>
      </c>
    </row>
    <row r="748" spans="20:22" x14ac:dyDescent="0.25">
      <c r="T748" s="7" t="str">
        <f ca="1"/>
        <v>D6</v>
      </c>
      <c r="U748" s="7" t="str">
        <f ca="1"/>
        <v>0x9426</v>
      </c>
      <c r="V748" s="7" t="str">
        <f ca="1"/>
        <v>ChangeAELock</v>
      </c>
    </row>
    <row r="749" spans="20:22" x14ac:dyDescent="0.25">
      <c r="T749" s="7" t="str">
        <f ca="1"/>
        <v>D6</v>
      </c>
      <c r="U749" s="7" t="str">
        <f ca="1"/>
        <v>0x9428</v>
      </c>
      <c r="V749" s="7" t="str">
        <f ca="1"/>
        <v>GetLiveViewImageEx</v>
      </c>
    </row>
    <row r="750" spans="20:22" x14ac:dyDescent="0.25">
      <c r="T750" s="7" t="str">
        <f ca="1"/>
        <v>D6</v>
      </c>
      <c r="U750" s="7" t="str">
        <f ca="1"/>
        <v>0x9431</v>
      </c>
      <c r="V750" s="7" t="str">
        <f ca="1"/>
        <v>GetPartialObjectEx</v>
      </c>
    </row>
    <row r="751" spans="20:22" x14ac:dyDescent="0.25">
      <c r="T751" s="7" t="str">
        <f ca="1"/>
        <v>D6</v>
      </c>
      <c r="U751" s="7" t="str">
        <f ca="1"/>
        <v>0x9432</v>
      </c>
      <c r="V751" s="7" t="str">
        <f ca="1"/>
        <v>GetManualSettingLensData</v>
      </c>
    </row>
    <row r="752" spans="20:22" x14ac:dyDescent="0.25">
      <c r="T752" s="7" t="str">
        <f ca="1"/>
        <v>D6</v>
      </c>
      <c r="U752" s="7" t="str">
        <f ca="1"/>
        <v>0x9433</v>
      </c>
      <c r="V752" s="7" t="str">
        <f ca="1"/>
        <v>InitiatePixelMapping</v>
      </c>
    </row>
    <row r="753" spans="20:22" x14ac:dyDescent="0.25">
      <c r="T753" s="7" t="str">
        <f ca="1"/>
        <v>D6</v>
      </c>
      <c r="U753" s="7" t="str">
        <f ca="1"/>
        <v>0x9434</v>
      </c>
      <c r="V753" s="7" t="str">
        <f ca="1"/>
        <v>GetObjectsMetaData</v>
      </c>
    </row>
    <row r="754" spans="20:22" x14ac:dyDescent="0.25">
      <c r="T754" s="7" t="str">
        <f ca="1"/>
        <v>D6</v>
      </c>
      <c r="U754" s="7" t="str">
        <f ca="1"/>
        <v>0x9435</v>
      </c>
      <c r="V754" s="7" t="str">
        <f ca="1"/>
        <v>ChangeApplicationMode</v>
      </c>
    </row>
    <row r="755" spans="20:22" x14ac:dyDescent="0.25">
      <c r="T755" s="7" t="str">
        <f ca="1"/>
        <v>D6</v>
      </c>
      <c r="U755" s="7" t="str">
        <f ca="1"/>
        <v>0x9436</v>
      </c>
      <c r="V755" s="7" t="str">
        <f ca="1"/>
        <v>ResetMenu</v>
      </c>
    </row>
    <row r="756" spans="20:22" x14ac:dyDescent="0.25">
      <c r="T756" s="7" t="str">
        <f ca="1"/>
        <v>D6</v>
      </c>
      <c r="U756" s="7" t="str">
        <f ca="1"/>
        <v>0x9801</v>
      </c>
      <c r="V756" s="7" t="str">
        <f ca="1"/>
        <v>GetObjectPropsSupported</v>
      </c>
    </row>
    <row r="757" spans="20:22" x14ac:dyDescent="0.25">
      <c r="T757" s="7" t="str">
        <f ca="1"/>
        <v>D6</v>
      </c>
      <c r="U757" s="7" t="str">
        <f ca="1"/>
        <v>0x9802</v>
      </c>
      <c r="V757" s="7" t="str">
        <f ca="1"/>
        <v>GetObjectPropDesc</v>
      </c>
    </row>
    <row r="758" spans="20:22" x14ac:dyDescent="0.25">
      <c r="T758" s="7" t="str">
        <f ca="1"/>
        <v>D6</v>
      </c>
      <c r="U758" s="7" t="str">
        <f ca="1"/>
        <v>0x9803</v>
      </c>
      <c r="V758" s="7" t="str">
        <f ca="1"/>
        <v>GetObjectPropValue</v>
      </c>
    </row>
    <row r="759" spans="20:22" x14ac:dyDescent="0.25">
      <c r="T759" s="7" t="str">
        <f ca="1"/>
        <v>D6</v>
      </c>
      <c r="U759" s="7" t="str">
        <f ca="1"/>
        <v>0x9805</v>
      </c>
      <c r="V759" s="7" t="str">
        <f ca="1"/>
        <v>GetObjectPropList</v>
      </c>
    </row>
    <row r="760" spans="20:22" x14ac:dyDescent="0.25">
      <c r="T760" s="7" t="str">
        <f ca="1"/>
        <v>D5</v>
      </c>
      <c r="U760" s="7" t="str">
        <f ca="1"/>
        <v>0x1001</v>
      </c>
      <c r="V760" s="7" t="str">
        <f ca="1"/>
        <v>GetDeviceInfo</v>
      </c>
    </row>
    <row r="761" spans="20:22" x14ac:dyDescent="0.25">
      <c r="T761" s="7" t="str">
        <f ca="1"/>
        <v>D5</v>
      </c>
      <c r="U761" s="7" t="str">
        <f ca="1"/>
        <v>0x1002</v>
      </c>
      <c r="V761" s="7" t="str">
        <f ca="1"/>
        <v>OpenSession</v>
      </c>
    </row>
    <row r="762" spans="20:22" x14ac:dyDescent="0.25">
      <c r="T762" s="7" t="str">
        <f ca="1"/>
        <v>D5</v>
      </c>
      <c r="U762" s="7" t="str">
        <f ca="1"/>
        <v>0x1003</v>
      </c>
      <c r="V762" s="7" t="str">
        <f ca="1"/>
        <v>CloseSession</v>
      </c>
    </row>
    <row r="763" spans="20:22" x14ac:dyDescent="0.25">
      <c r="T763" s="7" t="str">
        <f ca="1"/>
        <v>D5</v>
      </c>
      <c r="U763" s="7" t="str">
        <f ca="1"/>
        <v>0x1004</v>
      </c>
      <c r="V763" s="7" t="str">
        <f ca="1"/>
        <v>GetStorageIDs</v>
      </c>
    </row>
    <row r="764" spans="20:22" x14ac:dyDescent="0.25">
      <c r="T764" s="7" t="str">
        <f ca="1"/>
        <v>D5</v>
      </c>
      <c r="U764" s="7" t="str">
        <f ca="1"/>
        <v>0x1005</v>
      </c>
      <c r="V764" s="7" t="str">
        <f ca="1"/>
        <v>GetStorageInfo</v>
      </c>
    </row>
    <row r="765" spans="20:22" x14ac:dyDescent="0.25">
      <c r="T765" s="7" t="str">
        <f ca="1"/>
        <v>D5</v>
      </c>
      <c r="U765" s="7" t="str">
        <f ca="1"/>
        <v>0x1006</v>
      </c>
      <c r="V765" s="7" t="str">
        <f ca="1"/>
        <v>GetNumObjects</v>
      </c>
    </row>
    <row r="766" spans="20:22" x14ac:dyDescent="0.25">
      <c r="T766" s="7" t="str">
        <f ca="1"/>
        <v>D5</v>
      </c>
      <c r="U766" s="7" t="str">
        <f ca="1"/>
        <v>0x1007</v>
      </c>
      <c r="V766" s="7" t="str">
        <f ca="1"/>
        <v>GetObjectHandles</v>
      </c>
    </row>
    <row r="767" spans="20:22" x14ac:dyDescent="0.25">
      <c r="T767" s="7" t="str">
        <f ca="1"/>
        <v>D5</v>
      </c>
      <c r="U767" s="7" t="str">
        <f ca="1"/>
        <v>0x1008</v>
      </c>
      <c r="V767" s="7" t="str">
        <f ca="1"/>
        <v>GetObjectInfo</v>
      </c>
    </row>
    <row r="768" spans="20:22" x14ac:dyDescent="0.25">
      <c r="T768" s="7" t="str">
        <f ca="1"/>
        <v>D5</v>
      </c>
      <c r="U768" s="7" t="str">
        <f ca="1"/>
        <v>0x1009</v>
      </c>
      <c r="V768" s="7" t="str">
        <f ca="1"/>
        <v>GetObject</v>
      </c>
    </row>
    <row r="769" spans="20:22" x14ac:dyDescent="0.25">
      <c r="T769" s="7" t="str">
        <f ca="1"/>
        <v>D5</v>
      </c>
      <c r="U769" s="7" t="str">
        <f ca="1"/>
        <v>0x100A</v>
      </c>
      <c r="V769" s="7" t="str">
        <f ca="1"/>
        <v>GetThumb</v>
      </c>
    </row>
    <row r="770" spans="20:22" x14ac:dyDescent="0.25">
      <c r="T770" s="7" t="str">
        <f ca="1"/>
        <v>D5</v>
      </c>
      <c r="U770" s="7" t="str">
        <f ca="1"/>
        <v>0x100B</v>
      </c>
      <c r="V770" s="7" t="str">
        <f ca="1"/>
        <v>DeleteObject</v>
      </c>
    </row>
    <row r="771" spans="20:22" x14ac:dyDescent="0.25">
      <c r="T771" s="7" t="str">
        <f ca="1"/>
        <v>D5</v>
      </c>
      <c r="U771" s="7" t="str">
        <f ca="1"/>
        <v>0x100C</v>
      </c>
      <c r="V771" s="7" t="str">
        <f ca="1"/>
        <v>SendObjectInfo</v>
      </c>
    </row>
    <row r="772" spans="20:22" x14ac:dyDescent="0.25">
      <c r="T772" s="7" t="str">
        <f ca="1"/>
        <v>D5</v>
      </c>
      <c r="U772" s="7" t="str">
        <f ca="1"/>
        <v>0x100D</v>
      </c>
      <c r="V772" s="7" t="str">
        <f ca="1"/>
        <v>SendObject</v>
      </c>
    </row>
    <row r="773" spans="20:22" x14ac:dyDescent="0.25">
      <c r="T773" s="7" t="str">
        <f ca="1"/>
        <v>D5</v>
      </c>
      <c r="U773" s="7" t="str">
        <f ca="1"/>
        <v>0x100E</v>
      </c>
      <c r="V773" s="7" t="str">
        <f ca="1"/>
        <v>InitiateCapture</v>
      </c>
    </row>
    <row r="774" spans="20:22" x14ac:dyDescent="0.25">
      <c r="T774" s="7" t="str">
        <f ca="1"/>
        <v>D5</v>
      </c>
      <c r="U774" s="7" t="str">
        <f ca="1"/>
        <v>0x100F</v>
      </c>
      <c r="V774" s="7" t="str">
        <f ca="1"/>
        <v>FormatStore</v>
      </c>
    </row>
    <row r="775" spans="20:22" x14ac:dyDescent="0.25">
      <c r="T775" s="7" t="str">
        <f ca="1"/>
        <v>D5</v>
      </c>
      <c r="U775" s="7" t="str">
        <f ca="1"/>
        <v>0x1014</v>
      </c>
      <c r="V775" s="7" t="str">
        <f ca="1"/>
        <v>GetDevicePropDesc</v>
      </c>
    </row>
    <row r="776" spans="20:22" x14ac:dyDescent="0.25">
      <c r="T776" s="7" t="str">
        <f ca="1"/>
        <v>D5</v>
      </c>
      <c r="U776" s="7" t="str">
        <f ca="1"/>
        <v>0x1015</v>
      </c>
      <c r="V776" s="7" t="str">
        <f ca="1"/>
        <v>GetDevicePropValue</v>
      </c>
    </row>
    <row r="777" spans="20:22" x14ac:dyDescent="0.25">
      <c r="T777" s="7" t="str">
        <f ca="1"/>
        <v>D5</v>
      </c>
      <c r="U777" s="7" t="str">
        <f ca="1"/>
        <v>0x1016</v>
      </c>
      <c r="V777" s="7" t="str">
        <f ca="1"/>
        <v>SetDevicePropValue</v>
      </c>
    </row>
    <row r="778" spans="20:22" x14ac:dyDescent="0.25">
      <c r="T778" s="7" t="str">
        <f ca="1"/>
        <v>D5</v>
      </c>
      <c r="U778" s="7" t="str">
        <f ca="1"/>
        <v>0x101B</v>
      </c>
      <c r="V778" s="7" t="str">
        <f ca="1"/>
        <v>GetPartialObject</v>
      </c>
    </row>
    <row r="779" spans="20:22" x14ac:dyDescent="0.25">
      <c r="T779" s="7" t="str">
        <f ca="1"/>
        <v>D5</v>
      </c>
      <c r="U779" s="7" t="str">
        <f ca="1"/>
        <v>0x90C0</v>
      </c>
      <c r="V779" s="7" t="str">
        <f ca="1"/>
        <v>InitiateCaptureRecInSdram</v>
      </c>
    </row>
    <row r="780" spans="20:22" x14ac:dyDescent="0.25">
      <c r="T780" s="7" t="str">
        <f ca="1"/>
        <v>D5</v>
      </c>
      <c r="U780" s="7" t="str">
        <f ca="1"/>
        <v>0x90C1</v>
      </c>
      <c r="V780" s="7" t="str">
        <f ca="1"/>
        <v>AfDrive</v>
      </c>
    </row>
    <row r="781" spans="20:22" x14ac:dyDescent="0.25">
      <c r="T781" s="7" t="str">
        <f ca="1"/>
        <v>D5</v>
      </c>
      <c r="U781" s="7" t="str">
        <f ca="1"/>
        <v>0x90C2</v>
      </c>
      <c r="V781" s="7" t="str">
        <f ca="1"/>
        <v>ChangeCameraMode</v>
      </c>
    </row>
    <row r="782" spans="20:22" x14ac:dyDescent="0.25">
      <c r="T782" s="7" t="str">
        <f ca="1"/>
        <v>D5</v>
      </c>
      <c r="U782" s="7" t="str">
        <f ca="1"/>
        <v>0x90C3</v>
      </c>
      <c r="V782" s="7" t="str">
        <f ca="1"/>
        <v>DeleteImagesInSdram</v>
      </c>
    </row>
    <row r="783" spans="20:22" x14ac:dyDescent="0.25">
      <c r="T783" s="7" t="str">
        <f ca="1"/>
        <v>D5</v>
      </c>
      <c r="U783" s="7" t="str">
        <f ca="1"/>
        <v>0x90C4</v>
      </c>
      <c r="V783" s="7" t="str">
        <f ca="1"/>
        <v>GetLargeThumb</v>
      </c>
    </row>
    <row r="784" spans="20:22" x14ac:dyDescent="0.25">
      <c r="T784" s="7" t="str">
        <f ca="1"/>
        <v>D5</v>
      </c>
      <c r="U784" s="7" t="str">
        <f ca="1"/>
        <v>0x90C7</v>
      </c>
      <c r="V784" s="7" t="str">
        <f ca="1"/>
        <v>GetEvent</v>
      </c>
    </row>
    <row r="785" spans="20:22" x14ac:dyDescent="0.25">
      <c r="T785" s="7" t="str">
        <f ca="1"/>
        <v>D5</v>
      </c>
      <c r="U785" s="7" t="str">
        <f ca="1"/>
        <v>0x90C8</v>
      </c>
      <c r="V785" s="7" t="str">
        <f ca="1"/>
        <v>DeviceReady</v>
      </c>
    </row>
    <row r="786" spans="20:22" x14ac:dyDescent="0.25">
      <c r="T786" s="7" t="str">
        <f ca="1"/>
        <v>D5</v>
      </c>
      <c r="U786" s="7" t="str">
        <f ca="1"/>
        <v>0x90C9</v>
      </c>
      <c r="V786" s="7" t="str">
        <f ca="1"/>
        <v>SetPreWbData</v>
      </c>
    </row>
    <row r="787" spans="20:22" x14ac:dyDescent="0.25">
      <c r="T787" s="7" t="str">
        <f ca="1"/>
        <v>D5</v>
      </c>
      <c r="U787" s="7" t="str">
        <f ca="1"/>
        <v>0x90CA</v>
      </c>
      <c r="V787" s="7" t="str">
        <f ca="1"/>
        <v>GetVendorPropCodes</v>
      </c>
    </row>
    <row r="788" spans="20:22" x14ac:dyDescent="0.25">
      <c r="T788" s="7" t="str">
        <f ca="1"/>
        <v>D5</v>
      </c>
      <c r="U788" s="7" t="str">
        <f ca="1"/>
        <v>0x90CB</v>
      </c>
      <c r="V788" s="7" t="str">
        <f ca="1"/>
        <v>AfAndCaptureRecInSdram</v>
      </c>
    </row>
    <row r="789" spans="20:22" x14ac:dyDescent="0.25">
      <c r="T789" s="7" t="str">
        <f ca="1"/>
        <v>D5</v>
      </c>
      <c r="U789" s="7" t="str">
        <f ca="1"/>
        <v>0x90CC</v>
      </c>
      <c r="V789" s="7" t="str">
        <f ca="1"/>
        <v>GetPicCtrlData</v>
      </c>
    </row>
    <row r="790" spans="20:22" x14ac:dyDescent="0.25">
      <c r="T790" s="7" t="str">
        <f ca="1"/>
        <v>D5</v>
      </c>
      <c r="U790" s="7" t="str">
        <f ca="1"/>
        <v>0x90CD</v>
      </c>
      <c r="V790" s="7" t="str">
        <f ca="1"/>
        <v>SetPicCtrlData</v>
      </c>
    </row>
    <row r="791" spans="20:22" x14ac:dyDescent="0.25">
      <c r="T791" s="7" t="str">
        <f ca="1"/>
        <v>D5</v>
      </c>
      <c r="U791" s="7" t="str">
        <f ca="1"/>
        <v>0x90CE</v>
      </c>
      <c r="V791" s="7" t="str">
        <f ca="1"/>
        <v>DeleteCustomPicCtrl</v>
      </c>
    </row>
    <row r="792" spans="20:22" x14ac:dyDescent="0.25">
      <c r="T792" s="7" t="str">
        <f ca="1"/>
        <v>D5</v>
      </c>
      <c r="U792" s="7" t="str">
        <f ca="1"/>
        <v>0x90CF</v>
      </c>
      <c r="V792" s="7" t="str">
        <f ca="1"/>
        <v>GetPicCtrlCapability</v>
      </c>
    </row>
    <row r="793" spans="20:22" x14ac:dyDescent="0.25">
      <c r="T793" s="7" t="str">
        <f ca="1"/>
        <v>D5</v>
      </c>
      <c r="U793" s="7" t="str">
        <f ca="1"/>
        <v>0x9201</v>
      </c>
      <c r="V793" s="7" t="str">
        <f ca="1"/>
        <v>StartLiveView</v>
      </c>
    </row>
    <row r="794" spans="20:22" x14ac:dyDescent="0.25">
      <c r="T794" s="7" t="str">
        <f ca="1"/>
        <v>D5</v>
      </c>
      <c r="U794" s="7" t="str">
        <f ca="1"/>
        <v>0x9202</v>
      </c>
      <c r="V794" s="7" t="str">
        <f ca="1"/>
        <v>EndLiveView</v>
      </c>
    </row>
    <row r="795" spans="20:22" x14ac:dyDescent="0.25">
      <c r="T795" s="7" t="str">
        <f ca="1"/>
        <v>D5</v>
      </c>
      <c r="U795" s="7" t="str">
        <f ca="1"/>
        <v>0x9203</v>
      </c>
      <c r="V795" s="7" t="str">
        <f ca="1"/>
        <v>GetLiveViewImage</v>
      </c>
    </row>
    <row r="796" spans="20:22" x14ac:dyDescent="0.25">
      <c r="T796" s="7" t="str">
        <f ca="1"/>
        <v>D5</v>
      </c>
      <c r="U796" s="7" t="str">
        <f ca="1"/>
        <v>0x9204</v>
      </c>
      <c r="V796" s="7" t="str">
        <f ca="1"/>
        <v>MfDrive</v>
      </c>
    </row>
    <row r="797" spans="20:22" x14ac:dyDescent="0.25">
      <c r="T797" s="7" t="str">
        <f ca="1"/>
        <v>D5</v>
      </c>
      <c r="U797" s="7" t="str">
        <f ca="1"/>
        <v>0x9205</v>
      </c>
      <c r="V797" s="7" t="str">
        <f ca="1"/>
        <v>ChangeAfArea</v>
      </c>
    </row>
    <row r="798" spans="20:22" x14ac:dyDescent="0.25">
      <c r="T798" s="7" t="str">
        <f ca="1"/>
        <v>D5</v>
      </c>
      <c r="U798" s="7" t="str">
        <f ca="1"/>
        <v>0x9206</v>
      </c>
      <c r="V798" s="7" t="str">
        <f ca="1"/>
        <v>AfDriveCancel</v>
      </c>
    </row>
    <row r="799" spans="20:22" x14ac:dyDescent="0.25">
      <c r="T799" s="7" t="str">
        <f ca="1"/>
        <v>D5</v>
      </c>
      <c r="U799" s="7" t="str">
        <f ca="1"/>
        <v>0x9207</v>
      </c>
      <c r="V799" s="7" t="str">
        <f ca="1"/>
        <v>InitiateCaptureRecInMedia</v>
      </c>
    </row>
    <row r="800" spans="20:22" x14ac:dyDescent="0.25">
      <c r="T800" s="7" t="str">
        <f ca="1"/>
        <v>D5</v>
      </c>
      <c r="U800" s="7" t="str">
        <f ca="1"/>
        <v>0x9209</v>
      </c>
      <c r="V800" s="7" t="str">
        <f ca="1"/>
        <v>GetVendorStorageIDs</v>
      </c>
    </row>
    <row r="801" spans="20:22" x14ac:dyDescent="0.25">
      <c r="T801" s="7" t="str">
        <f ca="1"/>
        <v>D5</v>
      </c>
      <c r="U801" s="7" t="str">
        <f ca="1"/>
        <v>0x920A</v>
      </c>
      <c r="V801" s="7" t="str">
        <f ca="1"/>
        <v>StartMovieRecInCard</v>
      </c>
    </row>
    <row r="802" spans="20:22" x14ac:dyDescent="0.25">
      <c r="T802" s="7" t="str">
        <f ca="1"/>
        <v>D5</v>
      </c>
      <c r="U802" s="7" t="str">
        <f ca="1"/>
        <v>0x920B</v>
      </c>
      <c r="V802" s="7" t="str">
        <f ca="1"/>
        <v>EndMovieRec</v>
      </c>
    </row>
    <row r="803" spans="20:22" x14ac:dyDescent="0.25">
      <c r="T803" s="7" t="str">
        <f ca="1"/>
        <v>D5</v>
      </c>
      <c r="U803" s="7" t="str">
        <f ca="1"/>
        <v>0x920C</v>
      </c>
      <c r="V803" s="7" t="str">
        <f ca="1"/>
        <v>TerminateCapture</v>
      </c>
    </row>
    <row r="804" spans="20:22" x14ac:dyDescent="0.25">
      <c r="T804" s="7" t="str">
        <f ca="1"/>
        <v>D5</v>
      </c>
      <c r="U804" s="7" t="str">
        <f ca="1"/>
        <v>0x920F</v>
      </c>
      <c r="V804" s="7" t="str">
        <f ca="1"/>
        <v>GetFhdPicture</v>
      </c>
    </row>
    <row r="805" spans="20:22" x14ac:dyDescent="0.25">
      <c r="T805" s="7" t="str">
        <f ca="1"/>
        <v>D5</v>
      </c>
      <c r="U805" s="7" t="str">
        <f ca="1"/>
        <v>0x9400</v>
      </c>
      <c r="V805" s="7" t="str">
        <f ca="1"/>
        <v>GetPartialObjectHighSpeed</v>
      </c>
    </row>
    <row r="806" spans="20:22" x14ac:dyDescent="0.25">
      <c r="T806" s="7" t="str">
        <f ca="1"/>
        <v>D5</v>
      </c>
      <c r="U806" s="7" t="str">
        <f ca="1"/>
        <v>0x9401</v>
      </c>
      <c r="V806" s="7" t="str">
        <f ca="1"/>
        <v>GetIPTCInfo</v>
      </c>
    </row>
    <row r="807" spans="20:22" x14ac:dyDescent="0.25">
      <c r="T807" s="7" t="str">
        <f ca="1"/>
        <v>D5</v>
      </c>
      <c r="U807" s="7" t="str">
        <f ca="1"/>
        <v>0x9402</v>
      </c>
      <c r="V807" s="7" t="str">
        <f ca="1"/>
        <v>StartSpotWb</v>
      </c>
    </row>
    <row r="808" spans="20:22" x14ac:dyDescent="0.25">
      <c r="T808" s="7" t="str">
        <f ca="1"/>
        <v>D5</v>
      </c>
      <c r="U808" s="7" t="str">
        <f ca="1"/>
        <v>0x9403</v>
      </c>
      <c r="V808" s="7" t="str">
        <f ca="1"/>
        <v>EndSpotWb</v>
      </c>
    </row>
    <row r="809" spans="20:22" x14ac:dyDescent="0.25">
      <c r="T809" s="7" t="str">
        <f ca="1"/>
        <v>D5</v>
      </c>
      <c r="U809" s="7" t="str">
        <f ca="1"/>
        <v>0x9404</v>
      </c>
      <c r="V809" s="7" t="str">
        <f ca="1"/>
        <v>ChangeSpotWbArea</v>
      </c>
    </row>
    <row r="810" spans="20:22" x14ac:dyDescent="0.25">
      <c r="T810" s="7" t="str">
        <f ca="1"/>
        <v>D5</v>
      </c>
      <c r="U810" s="7" t="str">
        <f ca="1"/>
        <v>0x9405</v>
      </c>
      <c r="V810" s="7" t="str">
        <f ca="1"/>
        <v>MeasureSpotWb</v>
      </c>
    </row>
    <row r="811" spans="20:22" x14ac:dyDescent="0.25">
      <c r="T811" s="7" t="str">
        <f ca="1"/>
        <v>D5</v>
      </c>
      <c r="U811" s="7" t="str">
        <f ca="1"/>
        <v>0x9406</v>
      </c>
      <c r="V811" s="7" t="str">
        <f ca="1"/>
        <v>EndSpotWbResultDisp</v>
      </c>
    </row>
    <row r="812" spans="20:22" x14ac:dyDescent="0.25">
      <c r="T812" s="7" t="str">
        <f ca="1"/>
        <v>D5</v>
      </c>
      <c r="U812" s="7" t="str">
        <f ca="1"/>
        <v>0x940C</v>
      </c>
      <c r="V812" s="7" t="str">
        <f ca="1"/>
        <v>CancelImagesInSdram</v>
      </c>
    </row>
    <row r="813" spans="20:22" x14ac:dyDescent="0.25">
      <c r="T813" s="7" t="str">
        <f ca="1"/>
        <v>D5</v>
      </c>
      <c r="U813" s="7" t="str">
        <f ca="1"/>
        <v>0x940D</v>
      </c>
      <c r="V813" s="7" t="str">
        <f ca="1"/>
        <v>GetPicCtrlDataEx</v>
      </c>
    </row>
    <row r="814" spans="20:22" x14ac:dyDescent="0.25">
      <c r="T814" s="7" t="str">
        <f ca="1"/>
        <v>D5</v>
      </c>
      <c r="U814" s="7" t="str">
        <f ca="1"/>
        <v>0x940E</v>
      </c>
      <c r="V814" s="7" t="str">
        <f ca="1"/>
        <v>SetPicCtrlDataEx</v>
      </c>
    </row>
    <row r="815" spans="20:22" x14ac:dyDescent="0.25">
      <c r="T815" s="7" t="str">
        <f ca="1"/>
        <v>D5</v>
      </c>
      <c r="U815" s="7" t="str">
        <f ca="1"/>
        <v>0x940F</v>
      </c>
      <c r="V815" s="7" t="str">
        <f ca="1"/>
        <v>DeleteMovieCustomPicCtrl</v>
      </c>
    </row>
    <row r="816" spans="20:22" x14ac:dyDescent="0.25">
      <c r="T816" s="7" t="str">
        <f ca="1"/>
        <v>D5</v>
      </c>
      <c r="U816" s="7" t="str">
        <f ca="1"/>
        <v>0x9410</v>
      </c>
      <c r="V816" s="7" t="str">
        <f ca="1"/>
        <v>GetMoviePicCtrlCapability</v>
      </c>
    </row>
    <row r="817" spans="20:22" x14ac:dyDescent="0.25">
      <c r="T817" s="7" t="str">
        <f ca="1"/>
        <v>D5</v>
      </c>
      <c r="U817" s="7" t="str">
        <f ca="1"/>
        <v>0x9412</v>
      </c>
      <c r="V817" s="7" t="str">
        <f ca="1"/>
        <v>GetIPTCPresetInfo</v>
      </c>
    </row>
    <row r="818" spans="20:22" x14ac:dyDescent="0.25">
      <c r="T818" s="7" t="str">
        <f ca="1"/>
        <v>D5</v>
      </c>
      <c r="U818" s="7" t="str">
        <f ca="1"/>
        <v>0x9413</v>
      </c>
      <c r="V818" s="7" t="str">
        <f ca="1"/>
        <v>SetIPTCPresetInfo</v>
      </c>
    </row>
    <row r="819" spans="20:22" x14ac:dyDescent="0.25">
      <c r="T819" s="7" t="str">
        <f ca="1"/>
        <v>D5</v>
      </c>
      <c r="U819" s="7" t="str">
        <f ca="1"/>
        <v>0x9414</v>
      </c>
      <c r="V819" s="7" t="str">
        <f ca="1"/>
        <v>GetSBHandles</v>
      </c>
    </row>
    <row r="820" spans="20:22" x14ac:dyDescent="0.25">
      <c r="T820" s="7" t="str">
        <f ca="1"/>
        <v>D5</v>
      </c>
      <c r="U820" s="7" t="str">
        <f ca="1"/>
        <v>0x9415</v>
      </c>
      <c r="V820" s="7" t="str">
        <f ca="1"/>
        <v>GetSBAttrDesc</v>
      </c>
    </row>
    <row r="821" spans="20:22" x14ac:dyDescent="0.25">
      <c r="T821" s="7" t="str">
        <f ca="1"/>
        <v>D5</v>
      </c>
      <c r="U821" s="7" t="str">
        <f ca="1"/>
        <v>0x9416</v>
      </c>
      <c r="V821" s="7" t="str">
        <f ca="1"/>
        <v>GetSBAttrValue</v>
      </c>
    </row>
    <row r="822" spans="20:22" x14ac:dyDescent="0.25">
      <c r="T822" s="7" t="str">
        <f ca="1"/>
        <v>D5</v>
      </c>
      <c r="U822" s="7" t="str">
        <f ca="1"/>
        <v>0x9417</v>
      </c>
      <c r="V822" s="7" t="str">
        <f ca="1"/>
        <v>SetSBAttrValue</v>
      </c>
    </row>
    <row r="823" spans="20:22" x14ac:dyDescent="0.25">
      <c r="T823" s="7" t="str">
        <f ca="1"/>
        <v>D5</v>
      </c>
      <c r="U823" s="7" t="str">
        <f ca="1"/>
        <v>0x9418</v>
      </c>
      <c r="V823" s="7" t="str">
        <f ca="1"/>
        <v>GetSBGroupAttrDesc</v>
      </c>
    </row>
    <row r="824" spans="20:22" x14ac:dyDescent="0.25">
      <c r="T824" s="7" t="str">
        <f ca="1"/>
        <v>D5</v>
      </c>
      <c r="U824" s="7" t="str">
        <f ca="1"/>
        <v>0x9419</v>
      </c>
      <c r="V824" s="7" t="str">
        <f ca="1"/>
        <v>GetSBGroupAttrValue</v>
      </c>
    </row>
    <row r="825" spans="20:22" x14ac:dyDescent="0.25">
      <c r="T825" s="7" t="str">
        <f ca="1"/>
        <v>D5</v>
      </c>
      <c r="U825" s="7" t="str">
        <f ca="1"/>
        <v>0x941A</v>
      </c>
      <c r="V825" s="7" t="str">
        <f ca="1"/>
        <v>SetSBGroupAttrValue</v>
      </c>
    </row>
    <row r="826" spans="20:22" x14ac:dyDescent="0.25">
      <c r="T826" s="7" t="str">
        <f ca="1"/>
        <v>D5</v>
      </c>
      <c r="U826" s="7" t="str">
        <f ca="1"/>
        <v>0x941B</v>
      </c>
      <c r="V826" s="7" t="str">
        <f ca="1"/>
        <v>TestFlash</v>
      </c>
    </row>
    <row r="827" spans="20:22" x14ac:dyDescent="0.25">
      <c r="T827" s="7" t="str">
        <f ca="1"/>
        <v>D5</v>
      </c>
      <c r="U827" s="7" t="str">
        <f ca="1"/>
        <v>0x941C</v>
      </c>
      <c r="V827" s="7" t="str">
        <f ca="1"/>
        <v>GetEventEx</v>
      </c>
    </row>
    <row r="828" spans="20:22" x14ac:dyDescent="0.25">
      <c r="T828" s="7" t="str">
        <f ca="1"/>
        <v>D5</v>
      </c>
      <c r="U828" s="7" t="str">
        <f ca="1"/>
        <v>0x941D</v>
      </c>
      <c r="V828" s="7" t="str">
        <f ca="1"/>
        <v>MirrorUpCancel</v>
      </c>
    </row>
    <row r="829" spans="20:22" x14ac:dyDescent="0.25">
      <c r="T829" s="7" t="str">
        <f ca="1"/>
        <v>D5</v>
      </c>
      <c r="U829" s="7" t="str">
        <f ca="1"/>
        <v>0x9801</v>
      </c>
      <c r="V829" s="7" t="str">
        <f ca="1"/>
        <v>GetObjectPropsSupported</v>
      </c>
    </row>
    <row r="830" spans="20:22" x14ac:dyDescent="0.25">
      <c r="T830" s="7" t="str">
        <f ca="1"/>
        <v>D5</v>
      </c>
      <c r="U830" s="7" t="str">
        <f ca="1"/>
        <v>0x9802</v>
      </c>
      <c r="V830" s="7" t="str">
        <f ca="1"/>
        <v>GetObjectPropDesc</v>
      </c>
    </row>
    <row r="831" spans="20:22" x14ac:dyDescent="0.25">
      <c r="T831" s="7" t="str">
        <f ca="1"/>
        <v>D5</v>
      </c>
      <c r="U831" s="7" t="str">
        <f ca="1"/>
        <v>0x9803</v>
      </c>
      <c r="V831" s="7" t="str">
        <f ca="1"/>
        <v>GetObjectPropValue</v>
      </c>
    </row>
    <row r="832" spans="20:22" x14ac:dyDescent="0.25">
      <c r="T832" s="7" t="str">
        <f ca="1"/>
        <v>D5</v>
      </c>
      <c r="U832" s="7" t="str">
        <f ca="1"/>
        <v>0x9805</v>
      </c>
      <c r="V832" s="7" t="str">
        <f ca="1"/>
        <v>GetObjectPropList</v>
      </c>
    </row>
    <row r="833" spans="20:22" x14ac:dyDescent="0.25">
      <c r="T833" s="7" t="str">
        <f ca="1"/>
        <v>D4S</v>
      </c>
      <c r="U833" s="7" t="str">
        <f ca="1"/>
        <v>0x1001</v>
      </c>
      <c r="V833" s="7" t="str">
        <f ca="1"/>
        <v>GetDeviceInfo</v>
      </c>
    </row>
    <row r="834" spans="20:22" x14ac:dyDescent="0.25">
      <c r="T834" s="7" t="str">
        <f ca="1"/>
        <v>D4S</v>
      </c>
      <c r="U834" s="7" t="str">
        <f ca="1"/>
        <v>0x1002</v>
      </c>
      <c r="V834" s="7" t="str">
        <f ca="1"/>
        <v>OpenSession</v>
      </c>
    </row>
    <row r="835" spans="20:22" x14ac:dyDescent="0.25">
      <c r="T835" s="7" t="str">
        <f ca="1"/>
        <v>D4S</v>
      </c>
      <c r="U835" s="7" t="str">
        <f ca="1"/>
        <v>0x1003</v>
      </c>
      <c r="V835" s="7" t="str">
        <f ca="1"/>
        <v>CloseSession</v>
      </c>
    </row>
    <row r="836" spans="20:22" x14ac:dyDescent="0.25">
      <c r="T836" s="7" t="str">
        <f ca="1"/>
        <v>D4S</v>
      </c>
      <c r="U836" s="7" t="str">
        <f ca="1"/>
        <v>0x1004</v>
      </c>
      <c r="V836" s="7" t="str">
        <f ca="1"/>
        <v>GetStorageIDs</v>
      </c>
    </row>
    <row r="837" spans="20:22" x14ac:dyDescent="0.25">
      <c r="T837" s="7" t="str">
        <f ca="1"/>
        <v>D4S</v>
      </c>
      <c r="U837" s="7" t="str">
        <f ca="1"/>
        <v>0x1005</v>
      </c>
      <c r="V837" s="7" t="str">
        <f ca="1"/>
        <v>GetStorageInfo</v>
      </c>
    </row>
    <row r="838" spans="20:22" x14ac:dyDescent="0.25">
      <c r="T838" s="7" t="str">
        <f ca="1"/>
        <v>D4S</v>
      </c>
      <c r="U838" s="7" t="str">
        <f ca="1"/>
        <v>0x1006</v>
      </c>
      <c r="V838" s="7" t="str">
        <f ca="1"/>
        <v>GetNumObjects</v>
      </c>
    </row>
    <row r="839" spans="20:22" x14ac:dyDescent="0.25">
      <c r="T839" s="7" t="str">
        <f ca="1"/>
        <v>D4S</v>
      </c>
      <c r="U839" s="7" t="str">
        <f ca="1"/>
        <v>0x1007</v>
      </c>
      <c r="V839" s="7" t="str">
        <f ca="1"/>
        <v>GetObjectHandles</v>
      </c>
    </row>
    <row r="840" spans="20:22" x14ac:dyDescent="0.25">
      <c r="T840" s="7" t="str">
        <f ca="1"/>
        <v>D4S</v>
      </c>
      <c r="U840" s="7" t="str">
        <f ca="1"/>
        <v>0x1008</v>
      </c>
      <c r="V840" s="7" t="str">
        <f ca="1"/>
        <v>GetObjectInfo</v>
      </c>
    </row>
    <row r="841" spans="20:22" x14ac:dyDescent="0.25">
      <c r="T841" s="7" t="str">
        <f ca="1"/>
        <v>D4S</v>
      </c>
      <c r="U841" s="7" t="str">
        <f ca="1"/>
        <v>0x1009</v>
      </c>
      <c r="V841" s="7" t="str">
        <f ca="1"/>
        <v>GetObject</v>
      </c>
    </row>
    <row r="842" spans="20:22" x14ac:dyDescent="0.25">
      <c r="T842" s="7" t="str">
        <f ca="1"/>
        <v>D4S</v>
      </c>
      <c r="U842" s="7" t="str">
        <f ca="1"/>
        <v>0x100A</v>
      </c>
      <c r="V842" s="7" t="str">
        <f ca="1"/>
        <v>GetThumb</v>
      </c>
    </row>
    <row r="843" spans="20:22" x14ac:dyDescent="0.25">
      <c r="T843" s="7" t="str">
        <f ca="1"/>
        <v>D4S</v>
      </c>
      <c r="U843" s="7" t="str">
        <f ca="1"/>
        <v>0x100B</v>
      </c>
      <c r="V843" s="7" t="str">
        <f ca="1"/>
        <v>DeleteObject</v>
      </c>
    </row>
    <row r="844" spans="20:22" x14ac:dyDescent="0.25">
      <c r="T844" s="7" t="str">
        <f ca="1"/>
        <v>D4S</v>
      </c>
      <c r="U844" s="7" t="str">
        <f ca="1"/>
        <v>0x100C</v>
      </c>
      <c r="V844" s="7" t="str">
        <f ca="1"/>
        <v>SendObjectInfo</v>
      </c>
    </row>
    <row r="845" spans="20:22" x14ac:dyDescent="0.25">
      <c r="T845" s="7" t="str">
        <f ca="1"/>
        <v>D4S</v>
      </c>
      <c r="U845" s="7" t="str">
        <f ca="1"/>
        <v>0x100D</v>
      </c>
      <c r="V845" s="7" t="str">
        <f ca="1"/>
        <v>SendObject</v>
      </c>
    </row>
    <row r="846" spans="20:22" x14ac:dyDescent="0.25">
      <c r="T846" s="7" t="str">
        <f ca="1"/>
        <v>D4S</v>
      </c>
      <c r="U846" s="7" t="str">
        <f ca="1"/>
        <v>0x100E</v>
      </c>
      <c r="V846" s="7" t="str">
        <f ca="1"/>
        <v>InitiateCapture</v>
      </c>
    </row>
    <row r="847" spans="20:22" x14ac:dyDescent="0.25">
      <c r="T847" s="7" t="str">
        <f ca="1"/>
        <v>D4S</v>
      </c>
      <c r="U847" s="7" t="str">
        <f ca="1"/>
        <v>0x100F</v>
      </c>
      <c r="V847" s="7" t="str">
        <f ca="1"/>
        <v>FormatStore</v>
      </c>
    </row>
    <row r="848" spans="20:22" x14ac:dyDescent="0.25">
      <c r="T848" s="7" t="str">
        <f ca="1"/>
        <v>D4S</v>
      </c>
      <c r="U848" s="7" t="str">
        <f ca="1"/>
        <v>0x1014</v>
      </c>
      <c r="V848" s="7" t="str">
        <f ca="1"/>
        <v>GetDevicePropDesc</v>
      </c>
    </row>
    <row r="849" spans="20:22" x14ac:dyDescent="0.25">
      <c r="T849" s="7" t="str">
        <f ca="1"/>
        <v>D4S</v>
      </c>
      <c r="U849" s="7" t="str">
        <f ca="1"/>
        <v>0x1015</v>
      </c>
      <c r="V849" s="7" t="str">
        <f ca="1"/>
        <v>GetDevicePropValue</v>
      </c>
    </row>
    <row r="850" spans="20:22" x14ac:dyDescent="0.25">
      <c r="T850" s="7" t="str">
        <f ca="1"/>
        <v>D4S</v>
      </c>
      <c r="U850" s="7" t="str">
        <f ca="1"/>
        <v>0x1016</v>
      </c>
      <c r="V850" s="7" t="str">
        <f ca="1"/>
        <v>SetDevicePropValue</v>
      </c>
    </row>
    <row r="851" spans="20:22" x14ac:dyDescent="0.25">
      <c r="T851" s="7" t="str">
        <f ca="1"/>
        <v>D4S</v>
      </c>
      <c r="U851" s="7" t="str">
        <f ca="1"/>
        <v>0x101B</v>
      </c>
      <c r="V851" s="7" t="str">
        <f ca="1"/>
        <v>GetPartialObject</v>
      </c>
    </row>
    <row r="852" spans="20:22" x14ac:dyDescent="0.25">
      <c r="T852" s="7" t="str">
        <f ca="1"/>
        <v>D4S</v>
      </c>
      <c r="U852" s="7" t="str">
        <f ca="1"/>
        <v>0x90C0</v>
      </c>
      <c r="V852" s="7" t="str">
        <f ca="1"/>
        <v>InitiateCaptureRecInSdram</v>
      </c>
    </row>
    <row r="853" spans="20:22" x14ac:dyDescent="0.25">
      <c r="T853" s="7" t="str">
        <f ca="1"/>
        <v>D4S</v>
      </c>
      <c r="U853" s="7" t="str">
        <f ca="1"/>
        <v>0x90C1</v>
      </c>
      <c r="V853" s="7" t="str">
        <f ca="1"/>
        <v>AfDrive</v>
      </c>
    </row>
    <row r="854" spans="20:22" x14ac:dyDescent="0.25">
      <c r="T854" s="7" t="str">
        <f ca="1"/>
        <v>D4S</v>
      </c>
      <c r="U854" s="7" t="str">
        <f ca="1"/>
        <v>0x90C2</v>
      </c>
      <c r="V854" s="7" t="str">
        <f ca="1"/>
        <v>ChangeCameraMode</v>
      </c>
    </row>
    <row r="855" spans="20:22" x14ac:dyDescent="0.25">
      <c r="T855" s="7" t="str">
        <f ca="1"/>
        <v>D4S</v>
      </c>
      <c r="U855" s="7" t="str">
        <f ca="1"/>
        <v>0x90C3</v>
      </c>
      <c r="V855" s="7" t="str">
        <f ca="1"/>
        <v>DeleteImagesInSdram</v>
      </c>
    </row>
    <row r="856" spans="20:22" x14ac:dyDescent="0.25">
      <c r="T856" s="7" t="str">
        <f ca="1"/>
        <v>D4S</v>
      </c>
      <c r="U856" s="7" t="str">
        <f ca="1"/>
        <v>0x90C4</v>
      </c>
      <c r="V856" s="7" t="str">
        <f ca="1"/>
        <v>GetLargeThumb</v>
      </c>
    </row>
    <row r="857" spans="20:22" x14ac:dyDescent="0.25">
      <c r="T857" s="7" t="str">
        <f ca="1"/>
        <v>D4S</v>
      </c>
      <c r="U857" s="7" t="str">
        <f ca="1"/>
        <v>0x90C7</v>
      </c>
      <c r="V857" s="7" t="str">
        <f ca="1"/>
        <v>GetEvent</v>
      </c>
    </row>
    <row r="858" spans="20:22" x14ac:dyDescent="0.25">
      <c r="T858" s="7" t="str">
        <f ca="1"/>
        <v>D4S</v>
      </c>
      <c r="U858" s="7" t="str">
        <f ca="1"/>
        <v>0x90C8</v>
      </c>
      <c r="V858" s="7" t="str">
        <f ca="1"/>
        <v>DeviceReady</v>
      </c>
    </row>
    <row r="859" spans="20:22" x14ac:dyDescent="0.25">
      <c r="T859" s="7" t="str">
        <f ca="1"/>
        <v>D4S</v>
      </c>
      <c r="U859" s="7" t="str">
        <f ca="1"/>
        <v>0x90C9</v>
      </c>
      <c r="V859" s="7" t="str">
        <f ca="1"/>
        <v>SetPreWbData</v>
      </c>
    </row>
    <row r="860" spans="20:22" x14ac:dyDescent="0.25">
      <c r="T860" s="7" t="str">
        <f ca="1"/>
        <v>D4S</v>
      </c>
      <c r="U860" s="7" t="str">
        <f ca="1"/>
        <v>0x90CA</v>
      </c>
      <c r="V860" s="7" t="str">
        <f ca="1"/>
        <v>GetVendorPropCodes</v>
      </c>
    </row>
    <row r="861" spans="20:22" x14ac:dyDescent="0.25">
      <c r="T861" s="7" t="str">
        <f ca="1"/>
        <v>D4S</v>
      </c>
      <c r="U861" s="7" t="str">
        <f ca="1"/>
        <v>0x90CB</v>
      </c>
      <c r="V861" s="7" t="str">
        <f ca="1"/>
        <v>AfAndCaptureRecInSdram</v>
      </c>
    </row>
    <row r="862" spans="20:22" x14ac:dyDescent="0.25">
      <c r="T862" s="7" t="str">
        <f ca="1"/>
        <v>D4S</v>
      </c>
      <c r="U862" s="7" t="str">
        <f ca="1"/>
        <v>0x90CC</v>
      </c>
      <c r="V862" s="7" t="str">
        <f ca="1"/>
        <v>GetPicCtrlData</v>
      </c>
    </row>
    <row r="863" spans="20:22" x14ac:dyDescent="0.25">
      <c r="T863" s="7" t="str">
        <f ca="1"/>
        <v>D4S</v>
      </c>
      <c r="U863" s="7" t="str">
        <f ca="1"/>
        <v>0x90CD</v>
      </c>
      <c r="V863" s="7" t="str">
        <f ca="1"/>
        <v>SetPicCtrlData</v>
      </c>
    </row>
    <row r="864" spans="20:22" x14ac:dyDescent="0.25">
      <c r="T864" s="7" t="str">
        <f ca="1"/>
        <v>D4S</v>
      </c>
      <c r="U864" s="7" t="str">
        <f ca="1"/>
        <v>0x90CE</v>
      </c>
      <c r="V864" s="7" t="str">
        <f ca="1"/>
        <v>DeleteCustomPicCtrl</v>
      </c>
    </row>
    <row r="865" spans="20:22" x14ac:dyDescent="0.25">
      <c r="T865" s="7" t="str">
        <f ca="1"/>
        <v>D4S</v>
      </c>
      <c r="U865" s="7" t="str">
        <f ca="1"/>
        <v>0x90CF</v>
      </c>
      <c r="V865" s="7" t="str">
        <f ca="1"/>
        <v>GetPicCtrlCapability</v>
      </c>
    </row>
    <row r="866" spans="20:22" x14ac:dyDescent="0.25">
      <c r="T866" s="7" t="str">
        <f ca="1"/>
        <v>D4S</v>
      </c>
      <c r="U866" s="7" t="str">
        <f ca="1"/>
        <v>0x9201</v>
      </c>
      <c r="V866" s="7" t="str">
        <f ca="1"/>
        <v>StartLiveView</v>
      </c>
    </row>
    <row r="867" spans="20:22" x14ac:dyDescent="0.25">
      <c r="T867" s="7" t="str">
        <f ca="1"/>
        <v>D4S</v>
      </c>
      <c r="U867" s="7" t="str">
        <f ca="1"/>
        <v>0x9202</v>
      </c>
      <c r="V867" s="7" t="str">
        <f ca="1"/>
        <v>EndLiveView</v>
      </c>
    </row>
    <row r="868" spans="20:22" x14ac:dyDescent="0.25">
      <c r="T868" s="7" t="str">
        <f ca="1"/>
        <v>D4S</v>
      </c>
      <c r="U868" s="7" t="str">
        <f ca="1"/>
        <v>0x9203</v>
      </c>
      <c r="V868" s="7" t="str">
        <f ca="1"/>
        <v>GetLiveViewImage</v>
      </c>
    </row>
    <row r="869" spans="20:22" x14ac:dyDescent="0.25">
      <c r="T869" s="7" t="str">
        <f ca="1"/>
        <v>D4S</v>
      </c>
      <c r="U869" s="7" t="str">
        <f ca="1"/>
        <v>0x9204</v>
      </c>
      <c r="V869" s="7" t="str">
        <f ca="1"/>
        <v>MfDrive</v>
      </c>
    </row>
    <row r="870" spans="20:22" x14ac:dyDescent="0.25">
      <c r="T870" s="7" t="str">
        <f ca="1"/>
        <v>D4S</v>
      </c>
      <c r="U870" s="7" t="str">
        <f ca="1"/>
        <v>0x9205</v>
      </c>
      <c r="V870" s="7" t="str">
        <f ca="1"/>
        <v>ChangeAfArea</v>
      </c>
    </row>
    <row r="871" spans="20:22" x14ac:dyDescent="0.25">
      <c r="T871" s="7" t="str">
        <f ca="1"/>
        <v>D4S</v>
      </c>
      <c r="U871" s="7" t="str">
        <f ca="1"/>
        <v>0x9206</v>
      </c>
      <c r="V871" s="7" t="str">
        <f ca="1"/>
        <v>AfDriveCancel</v>
      </c>
    </row>
    <row r="872" spans="20:22" x14ac:dyDescent="0.25">
      <c r="T872" s="7" t="str">
        <f ca="1"/>
        <v>D4S</v>
      </c>
      <c r="U872" s="7" t="str">
        <f ca="1"/>
        <v>0x9207</v>
      </c>
      <c r="V872" s="7" t="str">
        <f ca="1"/>
        <v>InitiateCaptureRecInMedia</v>
      </c>
    </row>
    <row r="873" spans="20:22" x14ac:dyDescent="0.25">
      <c r="T873" s="7" t="str">
        <f ca="1"/>
        <v>D4S</v>
      </c>
      <c r="U873" s="7" t="str">
        <f ca="1"/>
        <v>0x9209</v>
      </c>
      <c r="V873" s="7" t="str">
        <f ca="1"/>
        <v>GetVendorStorageIDs</v>
      </c>
    </row>
    <row r="874" spans="20:22" x14ac:dyDescent="0.25">
      <c r="T874" s="7" t="str">
        <f ca="1"/>
        <v>D4S</v>
      </c>
      <c r="U874" s="7" t="str">
        <f ca="1"/>
        <v>0x920A</v>
      </c>
      <c r="V874" s="7" t="str">
        <f ca="1"/>
        <v>StartMovieRecInCard</v>
      </c>
    </row>
    <row r="875" spans="20:22" x14ac:dyDescent="0.25">
      <c r="T875" s="7" t="str">
        <f ca="1"/>
        <v>D4S</v>
      </c>
      <c r="U875" s="7" t="str">
        <f ca="1"/>
        <v>0x920B</v>
      </c>
      <c r="V875" s="7" t="str">
        <f ca="1"/>
        <v>EndMovieRec</v>
      </c>
    </row>
    <row r="876" spans="20:22" x14ac:dyDescent="0.25">
      <c r="T876" s="7" t="str">
        <f ca="1"/>
        <v>D4S</v>
      </c>
      <c r="U876" s="7" t="str">
        <f ca="1"/>
        <v>0x920C</v>
      </c>
      <c r="V876" s="7" t="str">
        <f ca="1"/>
        <v>TerminateCapture</v>
      </c>
    </row>
    <row r="877" spans="20:22" x14ac:dyDescent="0.25">
      <c r="T877" s="7" t="str">
        <f ca="1"/>
        <v>D4S</v>
      </c>
      <c r="U877" s="7" t="str">
        <f ca="1"/>
        <v>0x920F</v>
      </c>
      <c r="V877" s="7" t="str">
        <f ca="1"/>
        <v>GetFhdPicture</v>
      </c>
    </row>
    <row r="878" spans="20:22" x14ac:dyDescent="0.25">
      <c r="T878" s="7" t="str">
        <f ca="1"/>
        <v>D4S</v>
      </c>
      <c r="U878" s="7" t="str">
        <f ca="1"/>
        <v>0x9400</v>
      </c>
      <c r="V878" s="7" t="str">
        <f ca="1"/>
        <v>GetPartialObjectHighSpeed</v>
      </c>
    </row>
    <row r="879" spans="20:22" x14ac:dyDescent="0.25">
      <c r="T879" s="7" t="str">
        <f ca="1"/>
        <v>D4S</v>
      </c>
      <c r="U879" s="7" t="str">
        <f ca="1"/>
        <v>0x9401</v>
      </c>
      <c r="V879" s="7" t="str">
        <f ca="1"/>
        <v>GetIPTCInfo</v>
      </c>
    </row>
    <row r="880" spans="20:22" x14ac:dyDescent="0.25">
      <c r="T880" s="7" t="str">
        <f ca="1"/>
        <v>D4S</v>
      </c>
      <c r="U880" s="7" t="str">
        <f ca="1"/>
        <v>0x9402</v>
      </c>
      <c r="V880" s="7" t="str">
        <f ca="1"/>
        <v>StartSpotWb</v>
      </c>
    </row>
    <row r="881" spans="20:22" x14ac:dyDescent="0.25">
      <c r="T881" s="7" t="str">
        <f ca="1"/>
        <v>D4S</v>
      </c>
      <c r="U881" s="7" t="str">
        <f ca="1"/>
        <v>0x9403</v>
      </c>
      <c r="V881" s="7" t="str">
        <f ca="1"/>
        <v>EndSpotWb</v>
      </c>
    </row>
    <row r="882" spans="20:22" x14ac:dyDescent="0.25">
      <c r="T882" s="7" t="str">
        <f ca="1"/>
        <v>D4S</v>
      </c>
      <c r="U882" s="7" t="str">
        <f ca="1"/>
        <v>0x9404</v>
      </c>
      <c r="V882" s="7" t="str">
        <f ca="1"/>
        <v>ChangeSpotWbArea</v>
      </c>
    </row>
    <row r="883" spans="20:22" x14ac:dyDescent="0.25">
      <c r="T883" s="7" t="str">
        <f ca="1"/>
        <v>D4S</v>
      </c>
      <c r="U883" s="7" t="str">
        <f ca="1"/>
        <v>0x9405</v>
      </c>
      <c r="V883" s="7" t="str">
        <f ca="1"/>
        <v>MeasureSpotWb</v>
      </c>
    </row>
    <row r="884" spans="20:22" x14ac:dyDescent="0.25">
      <c r="T884" s="7" t="str">
        <f ca="1"/>
        <v>D4S</v>
      </c>
      <c r="U884" s="7" t="str">
        <f ca="1"/>
        <v>0x9406</v>
      </c>
      <c r="V884" s="7" t="str">
        <f ca="1"/>
        <v>EndSpotWbResultDisp</v>
      </c>
    </row>
    <row r="885" spans="20:22" x14ac:dyDescent="0.25">
      <c r="T885" s="7" t="str">
        <f ca="1"/>
        <v>D4S</v>
      </c>
      <c r="U885" s="7" t="str">
        <f ca="1"/>
        <v>0x940C</v>
      </c>
      <c r="V885" s="7" t="str">
        <f ca="1"/>
        <v>CancelImagesInSdram</v>
      </c>
    </row>
    <row r="886" spans="20:22" x14ac:dyDescent="0.25">
      <c r="T886" s="7" t="str">
        <f ca="1"/>
        <v>D4S</v>
      </c>
      <c r="U886" s="7" t="str">
        <f ca="1"/>
        <v>0x9801</v>
      </c>
      <c r="V886" s="7" t="str">
        <f ca="1"/>
        <v>GetObjectPropsSupported</v>
      </c>
    </row>
    <row r="887" spans="20:22" x14ac:dyDescent="0.25">
      <c r="T887" s="7" t="str">
        <f ca="1"/>
        <v>D4S</v>
      </c>
      <c r="U887" s="7" t="str">
        <f ca="1"/>
        <v>0x9802</v>
      </c>
      <c r="V887" s="7" t="str">
        <f ca="1"/>
        <v>GetObjectPropDesc</v>
      </c>
    </row>
    <row r="888" spans="20:22" x14ac:dyDescent="0.25">
      <c r="T888" s="7" t="str">
        <f ca="1"/>
        <v>D4S</v>
      </c>
      <c r="U888" s="7" t="str">
        <f ca="1"/>
        <v>0x9803</v>
      </c>
      <c r="V888" s="7" t="str">
        <f ca="1"/>
        <v>GetObjectPropValue</v>
      </c>
    </row>
    <row r="889" spans="20:22" x14ac:dyDescent="0.25">
      <c r="T889" s="7" t="str">
        <f ca="1"/>
        <v>D4S</v>
      </c>
      <c r="U889" s="7" t="str">
        <f ca="1"/>
        <v>0x9805</v>
      </c>
      <c r="V889" s="7" t="str">
        <f ca="1"/>
        <v>GetObjectPropList</v>
      </c>
    </row>
    <row r="890" spans="20:22" x14ac:dyDescent="0.25">
      <c r="T890" s="7" t="str">
        <f ca="1"/>
        <v>D4</v>
      </c>
      <c r="U890" s="7" t="str">
        <f ca="1"/>
        <v>0x1001</v>
      </c>
      <c r="V890" s="7" t="str">
        <f ca="1"/>
        <v>GetDeviceInfo</v>
      </c>
    </row>
    <row r="891" spans="20:22" x14ac:dyDescent="0.25">
      <c r="T891" s="7" t="str">
        <f ca="1"/>
        <v>D4</v>
      </c>
      <c r="U891" s="7" t="str">
        <f ca="1"/>
        <v>0x1002</v>
      </c>
      <c r="V891" s="7" t="str">
        <f ca="1"/>
        <v>OpenSession</v>
      </c>
    </row>
    <row r="892" spans="20:22" x14ac:dyDescent="0.25">
      <c r="T892" s="7" t="str">
        <f ca="1"/>
        <v>D4</v>
      </c>
      <c r="U892" s="7" t="str">
        <f ca="1"/>
        <v>0x1003</v>
      </c>
      <c r="V892" s="7" t="str">
        <f ca="1"/>
        <v>CloseSession</v>
      </c>
    </row>
    <row r="893" spans="20:22" x14ac:dyDescent="0.25">
      <c r="T893" s="7" t="str">
        <f ca="1"/>
        <v>D4</v>
      </c>
      <c r="U893" s="7" t="str">
        <f ca="1"/>
        <v>0x1004</v>
      </c>
      <c r="V893" s="7" t="str">
        <f ca="1"/>
        <v>GetStorageIDs</v>
      </c>
    </row>
    <row r="894" spans="20:22" x14ac:dyDescent="0.25">
      <c r="T894" s="7" t="str">
        <f ca="1"/>
        <v>D4</v>
      </c>
      <c r="U894" s="7" t="str">
        <f ca="1"/>
        <v>0x1005</v>
      </c>
      <c r="V894" s="7" t="str">
        <f ca="1"/>
        <v>GetStorageInfo</v>
      </c>
    </row>
    <row r="895" spans="20:22" x14ac:dyDescent="0.25">
      <c r="T895" s="7" t="str">
        <f ca="1"/>
        <v>D4</v>
      </c>
      <c r="U895" s="7" t="str">
        <f ca="1"/>
        <v>0x1006</v>
      </c>
      <c r="V895" s="7" t="str">
        <f ca="1"/>
        <v>GetNumObjects</v>
      </c>
    </row>
    <row r="896" spans="20:22" x14ac:dyDescent="0.25">
      <c r="T896" s="7" t="str">
        <f ca="1"/>
        <v>D4</v>
      </c>
      <c r="U896" s="7" t="str">
        <f ca="1"/>
        <v>0x1007</v>
      </c>
      <c r="V896" s="7" t="str">
        <f ca="1"/>
        <v>GetObjectHandles</v>
      </c>
    </row>
    <row r="897" spans="20:22" x14ac:dyDescent="0.25">
      <c r="T897" s="7" t="str">
        <f ca="1"/>
        <v>D4</v>
      </c>
      <c r="U897" s="7" t="str">
        <f ca="1"/>
        <v>0x1008</v>
      </c>
      <c r="V897" s="7" t="str">
        <f ca="1"/>
        <v>GetObjectInfo</v>
      </c>
    </row>
    <row r="898" spans="20:22" x14ac:dyDescent="0.25">
      <c r="T898" s="7" t="str">
        <f ca="1"/>
        <v>D4</v>
      </c>
      <c r="U898" s="7" t="str">
        <f ca="1"/>
        <v>0x1009</v>
      </c>
      <c r="V898" s="7" t="str">
        <f ca="1"/>
        <v>GetObject</v>
      </c>
    </row>
    <row r="899" spans="20:22" x14ac:dyDescent="0.25">
      <c r="T899" s="7" t="str">
        <f ca="1"/>
        <v>D4</v>
      </c>
      <c r="U899" s="7" t="str">
        <f ca="1"/>
        <v>0x100A</v>
      </c>
      <c r="V899" s="7" t="str">
        <f ca="1"/>
        <v>GetThumb</v>
      </c>
    </row>
    <row r="900" spans="20:22" x14ac:dyDescent="0.25">
      <c r="T900" s="7" t="str">
        <f ca="1"/>
        <v>D4</v>
      </c>
      <c r="U900" s="7" t="str">
        <f ca="1"/>
        <v>0x100B</v>
      </c>
      <c r="V900" s="7" t="str">
        <f ca="1"/>
        <v>DeleteObject</v>
      </c>
    </row>
    <row r="901" spans="20:22" x14ac:dyDescent="0.25">
      <c r="T901" s="7" t="str">
        <f ca="1"/>
        <v>D4</v>
      </c>
      <c r="U901" s="7" t="str">
        <f ca="1"/>
        <v>0x100C</v>
      </c>
      <c r="V901" s="7" t="str">
        <f ca="1"/>
        <v>SendObjectInfo</v>
      </c>
    </row>
    <row r="902" spans="20:22" x14ac:dyDescent="0.25">
      <c r="T902" s="7" t="str">
        <f ca="1"/>
        <v>D4</v>
      </c>
      <c r="U902" s="7" t="str">
        <f ca="1"/>
        <v>0x100D</v>
      </c>
      <c r="V902" s="7" t="str">
        <f ca="1"/>
        <v>SendObject</v>
      </c>
    </row>
    <row r="903" spans="20:22" x14ac:dyDescent="0.25">
      <c r="T903" s="7" t="str">
        <f ca="1"/>
        <v>D4</v>
      </c>
      <c r="U903" s="7" t="str">
        <f ca="1"/>
        <v>0x100E</v>
      </c>
      <c r="V903" s="7" t="str">
        <f ca="1"/>
        <v>InitiateCapture</v>
      </c>
    </row>
    <row r="904" spans="20:22" x14ac:dyDescent="0.25">
      <c r="T904" s="7" t="str">
        <f ca="1"/>
        <v>D4</v>
      </c>
      <c r="U904" s="7" t="str">
        <f ca="1"/>
        <v>0x100F</v>
      </c>
      <c r="V904" s="7" t="str">
        <f ca="1"/>
        <v>FormatStore</v>
      </c>
    </row>
    <row r="905" spans="20:22" x14ac:dyDescent="0.25">
      <c r="T905" s="7" t="str">
        <f ca="1"/>
        <v>D4</v>
      </c>
      <c r="U905" s="7" t="str">
        <f ca="1"/>
        <v>0x1014</v>
      </c>
      <c r="V905" s="7" t="str">
        <f ca="1"/>
        <v>GetDevicePropDesc</v>
      </c>
    </row>
    <row r="906" spans="20:22" x14ac:dyDescent="0.25">
      <c r="T906" s="7" t="str">
        <f ca="1"/>
        <v>D4</v>
      </c>
      <c r="U906" s="7" t="str">
        <f ca="1"/>
        <v>0x1015</v>
      </c>
      <c r="V906" s="7" t="str">
        <f ca="1"/>
        <v>GetDevicePropValue</v>
      </c>
    </row>
    <row r="907" spans="20:22" x14ac:dyDescent="0.25">
      <c r="T907" s="7" t="str">
        <f ca="1"/>
        <v>D4</v>
      </c>
      <c r="U907" s="7" t="str">
        <f ca="1"/>
        <v>0x1016</v>
      </c>
      <c r="V907" s="7" t="str">
        <f ca="1"/>
        <v>SetDevicePropValue</v>
      </c>
    </row>
    <row r="908" spans="20:22" x14ac:dyDescent="0.25">
      <c r="T908" s="7" t="str">
        <f ca="1"/>
        <v>D4</v>
      </c>
      <c r="U908" s="7" t="str">
        <f ca="1"/>
        <v>0x101B</v>
      </c>
      <c r="V908" s="7" t="str">
        <f ca="1"/>
        <v>GetPartialObject</v>
      </c>
    </row>
    <row r="909" spans="20:22" x14ac:dyDescent="0.25">
      <c r="T909" s="7" t="str">
        <f ca="1"/>
        <v>D4</v>
      </c>
      <c r="U909" s="7" t="str">
        <f ca="1"/>
        <v>0x90C0</v>
      </c>
      <c r="V909" s="7" t="str">
        <f ca="1"/>
        <v>InitiateCaptureRecInSdram</v>
      </c>
    </row>
    <row r="910" spans="20:22" x14ac:dyDescent="0.25">
      <c r="T910" s="7" t="str">
        <f ca="1"/>
        <v>D4</v>
      </c>
      <c r="U910" s="7" t="str">
        <f ca="1"/>
        <v>0x90C1</v>
      </c>
      <c r="V910" s="7" t="str">
        <f ca="1"/>
        <v>AfDrive</v>
      </c>
    </row>
    <row r="911" spans="20:22" x14ac:dyDescent="0.25">
      <c r="T911" s="7" t="str">
        <f ca="1"/>
        <v>D4</v>
      </c>
      <c r="U911" s="7" t="str">
        <f ca="1"/>
        <v>0x90C2</v>
      </c>
      <c r="V911" s="7" t="str">
        <f ca="1"/>
        <v>ChangeCameraMode</v>
      </c>
    </row>
    <row r="912" spans="20:22" x14ac:dyDescent="0.25">
      <c r="T912" s="7" t="str">
        <f ca="1"/>
        <v>D4</v>
      </c>
      <c r="U912" s="7" t="str">
        <f ca="1"/>
        <v>0x90C3</v>
      </c>
      <c r="V912" s="7" t="str">
        <f ca="1"/>
        <v>DeleteImagesInSdram</v>
      </c>
    </row>
    <row r="913" spans="20:22" x14ac:dyDescent="0.25">
      <c r="T913" s="7" t="str">
        <f ca="1"/>
        <v>D4</v>
      </c>
      <c r="U913" s="7" t="str">
        <f ca="1"/>
        <v>0x90C4</v>
      </c>
      <c r="V913" s="7" t="str">
        <f ca="1"/>
        <v>GetLargeThumb</v>
      </c>
    </row>
    <row r="914" spans="20:22" x14ac:dyDescent="0.25">
      <c r="T914" s="7" t="str">
        <f ca="1"/>
        <v>D4</v>
      </c>
      <c r="U914" s="7" t="str">
        <f ca="1"/>
        <v>0x90C7</v>
      </c>
      <c r="V914" s="7" t="str">
        <f ca="1"/>
        <v>GetEvent</v>
      </c>
    </row>
    <row r="915" spans="20:22" x14ac:dyDescent="0.25">
      <c r="T915" s="7" t="str">
        <f ca="1"/>
        <v>D4</v>
      </c>
      <c r="U915" s="7" t="str">
        <f ca="1"/>
        <v>0x90C8</v>
      </c>
      <c r="V915" s="7" t="str">
        <f ca="1"/>
        <v>DeviceReady</v>
      </c>
    </row>
    <row r="916" spans="20:22" x14ac:dyDescent="0.25">
      <c r="T916" s="7" t="str">
        <f ca="1"/>
        <v>D4</v>
      </c>
      <c r="U916" s="7" t="str">
        <f ca="1"/>
        <v>0x90C9</v>
      </c>
      <c r="V916" s="7" t="str">
        <f ca="1"/>
        <v>SetPreWbData</v>
      </c>
    </row>
    <row r="917" spans="20:22" x14ac:dyDescent="0.25">
      <c r="T917" s="7" t="str">
        <f ca="1"/>
        <v>D4</v>
      </c>
      <c r="U917" s="7" t="str">
        <f ca="1"/>
        <v>0x90CA</v>
      </c>
      <c r="V917" s="7" t="str">
        <f ca="1"/>
        <v>GetVendorPropCodes</v>
      </c>
    </row>
    <row r="918" spans="20:22" x14ac:dyDescent="0.25">
      <c r="T918" s="7" t="str">
        <f ca="1"/>
        <v>D4</v>
      </c>
      <c r="U918" s="7" t="str">
        <f ca="1"/>
        <v>0x90CB</v>
      </c>
      <c r="V918" s="7" t="str">
        <f ca="1"/>
        <v>AfAndCaptureRecInSdram</v>
      </c>
    </row>
    <row r="919" spans="20:22" x14ac:dyDescent="0.25">
      <c r="T919" s="7" t="str">
        <f ca="1"/>
        <v>D4</v>
      </c>
      <c r="U919" s="7" t="str">
        <f ca="1"/>
        <v>0x90CC</v>
      </c>
      <c r="V919" s="7" t="str">
        <f ca="1"/>
        <v>GetPicCtrlData</v>
      </c>
    </row>
    <row r="920" spans="20:22" x14ac:dyDescent="0.25">
      <c r="T920" s="7" t="str">
        <f ca="1"/>
        <v>D4</v>
      </c>
      <c r="U920" s="7" t="str">
        <f ca="1"/>
        <v>0x90CD</v>
      </c>
      <c r="V920" s="7" t="str">
        <f ca="1"/>
        <v>SetPicCtrlData</v>
      </c>
    </row>
    <row r="921" spans="20:22" x14ac:dyDescent="0.25">
      <c r="T921" s="7" t="str">
        <f ca="1"/>
        <v>D4</v>
      </c>
      <c r="U921" s="7" t="str">
        <f ca="1"/>
        <v>0x90CE</v>
      </c>
      <c r="V921" s="7" t="str">
        <f ca="1"/>
        <v>DeleteCustomPicCtrl</v>
      </c>
    </row>
    <row r="922" spans="20:22" x14ac:dyDescent="0.25">
      <c r="T922" s="7" t="str">
        <f ca="1"/>
        <v>D4</v>
      </c>
      <c r="U922" s="7" t="str">
        <f ca="1"/>
        <v>0x90CF</v>
      </c>
      <c r="V922" s="7" t="str">
        <f ca="1"/>
        <v>GetPicCtrlCapability</v>
      </c>
    </row>
    <row r="923" spans="20:22" x14ac:dyDescent="0.25">
      <c r="T923" s="7" t="str">
        <f ca="1"/>
        <v>D4</v>
      </c>
      <c r="U923" s="7" t="str">
        <f ca="1"/>
        <v>0x9201</v>
      </c>
      <c r="V923" s="7" t="str">
        <f ca="1"/>
        <v>StartLiveView</v>
      </c>
    </row>
    <row r="924" spans="20:22" x14ac:dyDescent="0.25">
      <c r="T924" s="7" t="str">
        <f ca="1"/>
        <v>D4</v>
      </c>
      <c r="U924" s="7" t="str">
        <f ca="1"/>
        <v>0x9202</v>
      </c>
      <c r="V924" s="7" t="str">
        <f ca="1"/>
        <v>EndLiveView</v>
      </c>
    </row>
    <row r="925" spans="20:22" x14ac:dyDescent="0.25">
      <c r="T925" s="7" t="str">
        <f ca="1"/>
        <v>D4</v>
      </c>
      <c r="U925" s="7" t="str">
        <f ca="1"/>
        <v>0x9203</v>
      </c>
      <c r="V925" s="7" t="str">
        <f ca="1"/>
        <v>GetLiveViewImage</v>
      </c>
    </row>
    <row r="926" spans="20:22" x14ac:dyDescent="0.25">
      <c r="T926" s="7" t="str">
        <f ca="1"/>
        <v>D4</v>
      </c>
      <c r="U926" s="7" t="str">
        <f ca="1"/>
        <v>0x9204</v>
      </c>
      <c r="V926" s="7" t="str">
        <f ca="1"/>
        <v>MfDrive</v>
      </c>
    </row>
    <row r="927" spans="20:22" x14ac:dyDescent="0.25">
      <c r="T927" s="7" t="str">
        <f ca="1"/>
        <v>D4</v>
      </c>
      <c r="U927" s="7" t="str">
        <f ca="1"/>
        <v>0x9205</v>
      </c>
      <c r="V927" s="7" t="str">
        <f ca="1"/>
        <v>ChangeAfArea</v>
      </c>
    </row>
    <row r="928" spans="20:22" x14ac:dyDescent="0.25">
      <c r="T928" s="7" t="str">
        <f ca="1"/>
        <v>D4</v>
      </c>
      <c r="U928" s="7" t="str">
        <f ca="1"/>
        <v>0x9206</v>
      </c>
      <c r="V928" s="7" t="str">
        <f ca="1"/>
        <v>AfDriveCancel</v>
      </c>
    </row>
    <row r="929" spans="20:22" x14ac:dyDescent="0.25">
      <c r="T929" s="7" t="str">
        <f ca="1"/>
        <v>D4</v>
      </c>
      <c r="U929" s="7" t="str">
        <f ca="1"/>
        <v>0x9207</v>
      </c>
      <c r="V929" s="7" t="str">
        <f ca="1"/>
        <v>InitiateCaptureRecInMedia</v>
      </c>
    </row>
    <row r="930" spans="20:22" x14ac:dyDescent="0.25">
      <c r="T930" s="7" t="str">
        <f ca="1"/>
        <v>D4</v>
      </c>
      <c r="U930" s="7" t="str">
        <f ca="1"/>
        <v>0x9209</v>
      </c>
      <c r="V930" s="7" t="str">
        <f ca="1"/>
        <v>GetVendorStorageIDs</v>
      </c>
    </row>
    <row r="931" spans="20:22" x14ac:dyDescent="0.25">
      <c r="T931" s="7" t="str">
        <f ca="1"/>
        <v>D4</v>
      </c>
      <c r="U931" s="7" t="str">
        <f ca="1"/>
        <v>0x920A</v>
      </c>
      <c r="V931" s="7" t="str">
        <f ca="1"/>
        <v>StartMovieRecInCard</v>
      </c>
    </row>
    <row r="932" spans="20:22" x14ac:dyDescent="0.25">
      <c r="T932" s="7" t="str">
        <f ca="1"/>
        <v>D4</v>
      </c>
      <c r="U932" s="7" t="str">
        <f ca="1"/>
        <v>0x920B</v>
      </c>
      <c r="V932" s="7" t="str">
        <f ca="1"/>
        <v>EndMovieRec</v>
      </c>
    </row>
    <row r="933" spans="20:22" x14ac:dyDescent="0.25">
      <c r="T933" s="7" t="str">
        <f ca="1"/>
        <v>D4</v>
      </c>
      <c r="U933" s="7" t="str">
        <f ca="1"/>
        <v>0x920C</v>
      </c>
      <c r="V933" s="7" t="str">
        <f ca="1"/>
        <v>TerminateCapture</v>
      </c>
    </row>
    <row r="934" spans="20:22" x14ac:dyDescent="0.25">
      <c r="T934" s="7" t="str">
        <f ca="1"/>
        <v>D4</v>
      </c>
      <c r="U934" s="7" t="str">
        <f ca="1"/>
        <v>0x920F</v>
      </c>
      <c r="V934" s="7" t="str">
        <f ca="1"/>
        <v>GetFhdPicture</v>
      </c>
    </row>
    <row r="935" spans="20:22" x14ac:dyDescent="0.25">
      <c r="T935" s="7" t="str">
        <f ca="1"/>
        <v>D4</v>
      </c>
      <c r="U935" s="7" t="str">
        <f ca="1"/>
        <v>0x9401</v>
      </c>
      <c r="V935" s="7" t="str">
        <f ca="1"/>
        <v>GetIPTCInfo</v>
      </c>
    </row>
    <row r="936" spans="20:22" x14ac:dyDescent="0.25">
      <c r="T936" s="7" t="str">
        <f ca="1"/>
        <v>D4</v>
      </c>
      <c r="U936" s="7" t="str">
        <f ca="1"/>
        <v>0x9801</v>
      </c>
      <c r="V936" s="7" t="str">
        <f ca="1"/>
        <v>GetObjectPropsSupported</v>
      </c>
    </row>
    <row r="937" spans="20:22" x14ac:dyDescent="0.25">
      <c r="T937" s="7" t="str">
        <f ca="1"/>
        <v>D4</v>
      </c>
      <c r="U937" s="7" t="str">
        <f ca="1"/>
        <v>0x9802</v>
      </c>
      <c r="V937" s="7" t="str">
        <f ca="1"/>
        <v>GetObjectPropDesc</v>
      </c>
    </row>
    <row r="938" spans="20:22" x14ac:dyDescent="0.25">
      <c r="T938" s="7" t="str">
        <f ca="1"/>
        <v>D4</v>
      </c>
      <c r="U938" s="7" t="str">
        <f ca="1"/>
        <v>0x9803</v>
      </c>
      <c r="V938" s="7" t="str">
        <f ca="1"/>
        <v>GetObjectPropValue</v>
      </c>
    </row>
    <row r="939" spans="20:22" x14ac:dyDescent="0.25">
      <c r="T939" s="7" t="str">
        <f ca="1"/>
        <v>D4</v>
      </c>
      <c r="U939" s="7" t="str">
        <f ca="1"/>
        <v>0x9805</v>
      </c>
      <c r="V939" s="7" t="str">
        <f ca="1"/>
        <v>GetObjectPropList</v>
      </c>
    </row>
    <row r="940" spans="20:22" x14ac:dyDescent="0.25">
      <c r="T940" s="7" t="str">
        <f ca="1"/>
        <v>D3X</v>
      </c>
      <c r="U940" s="7" t="str">
        <f ca="1"/>
        <v>0x1001</v>
      </c>
      <c r="V940" s="7" t="str">
        <f ca="1"/>
        <v>GetDeviceInfo</v>
      </c>
    </row>
    <row r="941" spans="20:22" x14ac:dyDescent="0.25">
      <c r="T941" s="7" t="str">
        <f ca="1"/>
        <v>D3X</v>
      </c>
      <c r="U941" s="7" t="str">
        <f ca="1"/>
        <v>0x1002</v>
      </c>
      <c r="V941" s="7" t="str">
        <f ca="1"/>
        <v>OpenSession</v>
      </c>
    </row>
    <row r="942" spans="20:22" x14ac:dyDescent="0.25">
      <c r="T942" s="7" t="str">
        <f ca="1"/>
        <v>D3X</v>
      </c>
      <c r="U942" s="7" t="str">
        <f ca="1"/>
        <v>0x1003</v>
      </c>
      <c r="V942" s="7" t="str">
        <f ca="1"/>
        <v>CloseSession</v>
      </c>
    </row>
    <row r="943" spans="20:22" x14ac:dyDescent="0.25">
      <c r="T943" s="7" t="str">
        <f ca="1"/>
        <v>D3X</v>
      </c>
      <c r="U943" s="7" t="str">
        <f ca="1"/>
        <v>0x1004</v>
      </c>
      <c r="V943" s="7" t="str">
        <f ca="1"/>
        <v>GetStorageIDs</v>
      </c>
    </row>
    <row r="944" spans="20:22" x14ac:dyDescent="0.25">
      <c r="T944" s="7" t="str">
        <f ca="1"/>
        <v>D3X</v>
      </c>
      <c r="U944" s="7" t="str">
        <f ca="1"/>
        <v>0x1005</v>
      </c>
      <c r="V944" s="7" t="str">
        <f ca="1"/>
        <v>GetStorageInfo</v>
      </c>
    </row>
    <row r="945" spans="20:22" x14ac:dyDescent="0.25">
      <c r="T945" s="7" t="str">
        <f ca="1"/>
        <v>D3X</v>
      </c>
      <c r="U945" s="7" t="str">
        <f ca="1"/>
        <v>0x1006</v>
      </c>
      <c r="V945" s="7" t="str">
        <f ca="1"/>
        <v>GetNumObjects</v>
      </c>
    </row>
    <row r="946" spans="20:22" x14ac:dyDescent="0.25">
      <c r="T946" s="7" t="str">
        <f ca="1"/>
        <v>D3X</v>
      </c>
      <c r="U946" s="7" t="str">
        <f ca="1"/>
        <v>0x1007</v>
      </c>
      <c r="V946" s="7" t="str">
        <f ca="1"/>
        <v>GetObjectHandles</v>
      </c>
    </row>
    <row r="947" spans="20:22" x14ac:dyDescent="0.25">
      <c r="T947" s="7" t="str">
        <f ca="1"/>
        <v>D3X</v>
      </c>
      <c r="U947" s="7" t="str">
        <f ca="1"/>
        <v>0x1008</v>
      </c>
      <c r="V947" s="7" t="str">
        <f ca="1"/>
        <v>GetObjectInfo</v>
      </c>
    </row>
    <row r="948" spans="20:22" x14ac:dyDescent="0.25">
      <c r="T948" s="7" t="str">
        <f ca="1"/>
        <v>D3X</v>
      </c>
      <c r="U948" s="7" t="str">
        <f ca="1"/>
        <v>0x1009</v>
      </c>
      <c r="V948" s="7" t="str">
        <f ca="1"/>
        <v>GetObject</v>
      </c>
    </row>
    <row r="949" spans="20:22" x14ac:dyDescent="0.25">
      <c r="T949" s="7" t="str">
        <f ca="1"/>
        <v>D3X</v>
      </c>
      <c r="U949" s="7" t="str">
        <f ca="1"/>
        <v>0x100A</v>
      </c>
      <c r="V949" s="7" t="str">
        <f ca="1"/>
        <v>GetThumb</v>
      </c>
    </row>
    <row r="950" spans="20:22" x14ac:dyDescent="0.25">
      <c r="T950" s="7" t="str">
        <f ca="1"/>
        <v>D3X</v>
      </c>
      <c r="U950" s="7" t="str">
        <f ca="1"/>
        <v>0x100B</v>
      </c>
      <c r="V950" s="7" t="str">
        <f ca="1"/>
        <v>DeleteObject</v>
      </c>
    </row>
    <row r="951" spans="20:22" x14ac:dyDescent="0.25">
      <c r="T951" s="7" t="str">
        <f ca="1"/>
        <v>D3X</v>
      </c>
      <c r="U951" s="7" t="str">
        <f ca="1"/>
        <v>0x100C</v>
      </c>
      <c r="V951" s="7" t="str">
        <f ca="1"/>
        <v>SendObjectInfo</v>
      </c>
    </row>
    <row r="952" spans="20:22" x14ac:dyDescent="0.25">
      <c r="T952" s="7" t="str">
        <f ca="1"/>
        <v>D3X</v>
      </c>
      <c r="U952" s="7" t="str">
        <f ca="1"/>
        <v>0x100D</v>
      </c>
      <c r="V952" s="7" t="str">
        <f ca="1"/>
        <v>SendObject</v>
      </c>
    </row>
    <row r="953" spans="20:22" x14ac:dyDescent="0.25">
      <c r="T953" s="7" t="str">
        <f ca="1"/>
        <v>D3X</v>
      </c>
      <c r="U953" s="7" t="str">
        <f ca="1"/>
        <v>0x100E</v>
      </c>
      <c r="V953" s="7" t="str">
        <f ca="1"/>
        <v>InitiateCapture</v>
      </c>
    </row>
    <row r="954" spans="20:22" x14ac:dyDescent="0.25">
      <c r="T954" s="7" t="str">
        <f ca="1"/>
        <v>D3X</v>
      </c>
      <c r="U954" s="7" t="str">
        <f ca="1"/>
        <v>0x100F</v>
      </c>
      <c r="V954" s="7" t="str">
        <f ca="1"/>
        <v>FormatStore</v>
      </c>
    </row>
    <row r="955" spans="20:22" x14ac:dyDescent="0.25">
      <c r="T955" s="7" t="str">
        <f ca="1"/>
        <v>D3X</v>
      </c>
      <c r="U955" s="7" t="str">
        <f ca="1"/>
        <v>0x1014</v>
      </c>
      <c r="V955" s="7" t="str">
        <f ca="1"/>
        <v>GetDevicePropDesc</v>
      </c>
    </row>
    <row r="956" spans="20:22" x14ac:dyDescent="0.25">
      <c r="T956" s="7" t="str">
        <f ca="1"/>
        <v>D3X</v>
      </c>
      <c r="U956" s="7" t="str">
        <f ca="1"/>
        <v>0x1015</v>
      </c>
      <c r="V956" s="7" t="str">
        <f ca="1"/>
        <v>GetDevicePropValue</v>
      </c>
    </row>
    <row r="957" spans="20:22" x14ac:dyDescent="0.25">
      <c r="T957" s="7" t="str">
        <f ca="1"/>
        <v>D3X</v>
      </c>
      <c r="U957" s="7" t="str">
        <f ca="1"/>
        <v>0x1016</v>
      </c>
      <c r="V957" s="7" t="str">
        <f ca="1"/>
        <v>SetDevicePropValue</v>
      </c>
    </row>
    <row r="958" spans="20:22" x14ac:dyDescent="0.25">
      <c r="T958" s="7" t="str">
        <f ca="1"/>
        <v>D3X</v>
      </c>
      <c r="U958" s="7" t="str">
        <f ca="1"/>
        <v>0x101B</v>
      </c>
      <c r="V958" s="7" t="str">
        <f ca="1"/>
        <v>GetPartialObject</v>
      </c>
    </row>
    <row r="959" spans="20:22" x14ac:dyDescent="0.25">
      <c r="T959" s="7" t="str">
        <f ca="1"/>
        <v>D3X</v>
      </c>
      <c r="U959" s="7" t="str">
        <f ca="1"/>
        <v>0x90C0</v>
      </c>
      <c r="V959" s="7" t="str">
        <f ca="1"/>
        <v>InitiateCaptureRecInSdram</v>
      </c>
    </row>
    <row r="960" spans="20:22" x14ac:dyDescent="0.25">
      <c r="T960" s="7" t="str">
        <f ca="1"/>
        <v>D3X</v>
      </c>
      <c r="U960" s="7" t="str">
        <f ca="1"/>
        <v>0x90C1</v>
      </c>
      <c r="V960" s="7" t="str">
        <f ca="1"/>
        <v>AfDrive</v>
      </c>
    </row>
    <row r="961" spans="20:22" x14ac:dyDescent="0.25">
      <c r="T961" s="7" t="str">
        <f ca="1"/>
        <v>D3X</v>
      </c>
      <c r="U961" s="7" t="str">
        <f ca="1"/>
        <v>0x90C2</v>
      </c>
      <c r="V961" s="7" t="str">
        <f ca="1"/>
        <v>ChangeCameraMode</v>
      </c>
    </row>
    <row r="962" spans="20:22" x14ac:dyDescent="0.25">
      <c r="T962" s="7" t="str">
        <f ca="1"/>
        <v>D3X</v>
      </c>
      <c r="U962" s="7" t="str">
        <f ca="1"/>
        <v>0x90C3</v>
      </c>
      <c r="V962" s="7" t="str">
        <f ca="1"/>
        <v>DeleteImagesInSdram</v>
      </c>
    </row>
    <row r="963" spans="20:22" x14ac:dyDescent="0.25">
      <c r="T963" s="7" t="str">
        <f ca="1"/>
        <v>D3X</v>
      </c>
      <c r="U963" s="7" t="str">
        <f ca="1"/>
        <v>0x90C4</v>
      </c>
      <c r="V963" s="7" t="str">
        <f ca="1"/>
        <v>GetLargeThumb</v>
      </c>
    </row>
    <row r="964" spans="20:22" x14ac:dyDescent="0.25">
      <c r="T964" s="7" t="str">
        <f ca="1"/>
        <v>D3X</v>
      </c>
      <c r="U964" s="7" t="str">
        <f ca="1"/>
        <v>0x90C7</v>
      </c>
      <c r="V964" s="7" t="str">
        <f ca="1"/>
        <v>GetEvent</v>
      </c>
    </row>
    <row r="965" spans="20:22" x14ac:dyDescent="0.25">
      <c r="T965" s="7" t="str">
        <f ca="1"/>
        <v>D3X</v>
      </c>
      <c r="U965" s="7" t="str">
        <f ca="1"/>
        <v>0x90C8</v>
      </c>
      <c r="V965" s="7" t="str">
        <f ca="1"/>
        <v>DeviceReady</v>
      </c>
    </row>
    <row r="966" spans="20:22" x14ac:dyDescent="0.25">
      <c r="T966" s="7" t="str">
        <f ca="1"/>
        <v>D3X</v>
      </c>
      <c r="U966" s="7" t="str">
        <f ca="1"/>
        <v>0x90C9</v>
      </c>
      <c r="V966" s="7" t="str">
        <f ca="1"/>
        <v>SetPreWbData</v>
      </c>
    </row>
    <row r="967" spans="20:22" x14ac:dyDescent="0.25">
      <c r="T967" s="7" t="str">
        <f ca="1"/>
        <v>D3X</v>
      </c>
      <c r="U967" s="7" t="str">
        <f ca="1"/>
        <v>0x90CA</v>
      </c>
      <c r="V967" s="7" t="str">
        <f ca="1"/>
        <v>GetVendorPropCodes</v>
      </c>
    </row>
    <row r="968" spans="20:22" x14ac:dyDescent="0.25">
      <c r="T968" s="7" t="str">
        <f ca="1"/>
        <v>D3X</v>
      </c>
      <c r="U968" s="7" t="str">
        <f ca="1"/>
        <v>0x90CB</v>
      </c>
      <c r="V968" s="7" t="str">
        <f ca="1"/>
        <v>AfAndCaptureRecInSdram</v>
      </c>
    </row>
    <row r="969" spans="20:22" x14ac:dyDescent="0.25">
      <c r="T969" s="7" t="str">
        <f ca="1"/>
        <v>D3X</v>
      </c>
      <c r="U969" s="7" t="str">
        <f ca="1"/>
        <v>0x90CC</v>
      </c>
      <c r="V969" s="7" t="str">
        <f ca="1"/>
        <v>GetPicCtrlData</v>
      </c>
    </row>
    <row r="970" spans="20:22" x14ac:dyDescent="0.25">
      <c r="T970" s="7" t="str">
        <f ca="1"/>
        <v>D3X</v>
      </c>
      <c r="U970" s="7" t="str">
        <f ca="1"/>
        <v>0x90CD</v>
      </c>
      <c r="V970" s="7" t="str">
        <f ca="1"/>
        <v>SetPicCtrlData</v>
      </c>
    </row>
    <row r="971" spans="20:22" x14ac:dyDescent="0.25">
      <c r="T971" s="7" t="str">
        <f ca="1"/>
        <v>D3X</v>
      </c>
      <c r="U971" s="7" t="str">
        <f ca="1"/>
        <v>0x90CE</v>
      </c>
      <c r="V971" s="7" t="str">
        <f ca="1"/>
        <v>DeleteCustomPicCtrl</v>
      </c>
    </row>
    <row r="972" spans="20:22" x14ac:dyDescent="0.25">
      <c r="T972" s="7" t="str">
        <f ca="1"/>
        <v>D3X</v>
      </c>
      <c r="U972" s="7" t="str">
        <f ca="1"/>
        <v>0x90CF</v>
      </c>
      <c r="V972" s="7" t="str">
        <f ca="1"/>
        <v>GetPicCtrlCapability</v>
      </c>
    </row>
    <row r="973" spans="20:22" x14ac:dyDescent="0.25">
      <c r="T973" s="7" t="str">
        <f ca="1"/>
        <v>D3X</v>
      </c>
      <c r="U973" s="7" t="str">
        <f ca="1"/>
        <v>0x9200</v>
      </c>
      <c r="V973" s="7" t="str">
        <f ca="1"/>
        <v>GetPreviewImage</v>
      </c>
    </row>
    <row r="974" spans="20:22" x14ac:dyDescent="0.25">
      <c r="T974" s="7" t="str">
        <f ca="1"/>
        <v>D3X</v>
      </c>
      <c r="U974" s="7" t="str">
        <f ca="1"/>
        <v>0x9201</v>
      </c>
      <c r="V974" s="7" t="str">
        <f ca="1"/>
        <v>StartLiveView</v>
      </c>
    </row>
    <row r="975" spans="20:22" x14ac:dyDescent="0.25">
      <c r="T975" s="7" t="str">
        <f ca="1"/>
        <v>D3X</v>
      </c>
      <c r="U975" s="7" t="str">
        <f ca="1"/>
        <v>0x9202</v>
      </c>
      <c r="V975" s="7" t="str">
        <f ca="1"/>
        <v>EndLiveView</v>
      </c>
    </row>
    <row r="976" spans="20:22" x14ac:dyDescent="0.25">
      <c r="T976" s="7" t="str">
        <f ca="1"/>
        <v>D3X</v>
      </c>
      <c r="U976" s="7" t="str">
        <f ca="1"/>
        <v>0x9203</v>
      </c>
      <c r="V976" s="7" t="str">
        <f ca="1"/>
        <v>GetLiveViewImage</v>
      </c>
    </row>
    <row r="977" spans="20:22" x14ac:dyDescent="0.25">
      <c r="T977" s="7" t="str">
        <f ca="1"/>
        <v>D3X</v>
      </c>
      <c r="U977" s="7" t="str">
        <f ca="1"/>
        <v>0x9204</v>
      </c>
      <c r="V977" s="7" t="str">
        <f ca="1"/>
        <v>MfDrive</v>
      </c>
    </row>
    <row r="978" spans="20:22" x14ac:dyDescent="0.25">
      <c r="T978" s="7" t="str">
        <f ca="1"/>
        <v>D3X</v>
      </c>
      <c r="U978" s="7" t="str">
        <f ca="1"/>
        <v>0x9205</v>
      </c>
      <c r="V978" s="7" t="str">
        <f ca="1"/>
        <v>ChangeAfArea</v>
      </c>
    </row>
    <row r="979" spans="20:22" x14ac:dyDescent="0.25">
      <c r="T979" s="7" t="str">
        <f ca="1"/>
        <v>D3X</v>
      </c>
      <c r="U979" s="7" t="str">
        <f ca="1"/>
        <v>0x9206</v>
      </c>
      <c r="V979" s="7" t="str">
        <f ca="1"/>
        <v>AfDriveCancel</v>
      </c>
    </row>
    <row r="980" spans="20:22" x14ac:dyDescent="0.25">
      <c r="T980" s="7" t="str">
        <f ca="1"/>
        <v>D3X</v>
      </c>
      <c r="U980" s="7" t="str">
        <f ca="1"/>
        <v>0x9207</v>
      </c>
      <c r="V980" s="7" t="str">
        <f ca="1"/>
        <v>InitiateCaptureRecInStorage</v>
      </c>
    </row>
    <row r="981" spans="20:22" x14ac:dyDescent="0.25">
      <c r="T981" s="7" t="str">
        <f ca="1"/>
        <v>D3X</v>
      </c>
      <c r="U981" s="7" t="str">
        <f ca="1"/>
        <v>0x9208</v>
      </c>
      <c r="V981" s="7" t="str">
        <f ca="1"/>
        <v>AfAndCaptureRecInStorage</v>
      </c>
    </row>
    <row r="982" spans="20:22" x14ac:dyDescent="0.25">
      <c r="T982" s="7" t="str">
        <f ca="1"/>
        <v>D3X</v>
      </c>
      <c r="U982" s="7" t="str">
        <f ca="1"/>
        <v>0x9801</v>
      </c>
      <c r="V982" s="7" t="str">
        <f ca="1"/>
        <v>GetObjectPropsSupported</v>
      </c>
    </row>
    <row r="983" spans="20:22" x14ac:dyDescent="0.25">
      <c r="T983" s="7" t="str">
        <f ca="1"/>
        <v>D3X</v>
      </c>
      <c r="U983" s="7" t="str">
        <f ca="1"/>
        <v>0x9802</v>
      </c>
      <c r="V983" s="7" t="str">
        <f ca="1"/>
        <v>GetObjectPropDesc</v>
      </c>
    </row>
    <row r="984" spans="20:22" x14ac:dyDescent="0.25">
      <c r="T984" s="7" t="str">
        <f ca="1"/>
        <v>D3X</v>
      </c>
      <c r="U984" s="7" t="str">
        <f ca="1"/>
        <v>0x9803</v>
      </c>
      <c r="V984" s="7" t="str">
        <f ca="1"/>
        <v>GetObjectPropValue</v>
      </c>
    </row>
    <row r="985" spans="20:22" x14ac:dyDescent="0.25">
      <c r="T985" s="7" t="str">
        <f ca="1"/>
        <v>D3X</v>
      </c>
      <c r="U985" s="7" t="str">
        <f ca="1"/>
        <v>0x9805</v>
      </c>
      <c r="V985" s="7" t="str">
        <f ca="1"/>
        <v>GetObjectPropList</v>
      </c>
    </row>
    <row r="986" spans="20:22" x14ac:dyDescent="0.25">
      <c r="T986" s="7" t="str">
        <f ca="1"/>
        <v>D3</v>
      </c>
      <c r="U986" s="7" t="str">
        <f ca="1"/>
        <v>0x1001</v>
      </c>
      <c r="V986" s="7" t="str">
        <f ca="1"/>
        <v>GetDeviceInfo</v>
      </c>
    </row>
    <row r="987" spans="20:22" x14ac:dyDescent="0.25">
      <c r="T987" s="7" t="str">
        <f ca="1"/>
        <v>D3</v>
      </c>
      <c r="U987" s="7" t="str">
        <f ca="1"/>
        <v>0x1002</v>
      </c>
      <c r="V987" s="7" t="str">
        <f ca="1"/>
        <v>OpenSession</v>
      </c>
    </row>
    <row r="988" spans="20:22" x14ac:dyDescent="0.25">
      <c r="T988" s="7" t="str">
        <f ca="1"/>
        <v>D3</v>
      </c>
      <c r="U988" s="7" t="str">
        <f ca="1"/>
        <v>0x1003</v>
      </c>
      <c r="V988" s="7" t="str">
        <f ca="1"/>
        <v>CloseSession</v>
      </c>
    </row>
    <row r="989" spans="20:22" x14ac:dyDescent="0.25">
      <c r="T989" s="7" t="str">
        <f ca="1"/>
        <v>D3</v>
      </c>
      <c r="U989" s="7" t="str">
        <f ca="1"/>
        <v>0x1004</v>
      </c>
      <c r="V989" s="7" t="str">
        <f ca="1"/>
        <v>GetStorageIDs</v>
      </c>
    </row>
    <row r="990" spans="20:22" x14ac:dyDescent="0.25">
      <c r="T990" s="7" t="str">
        <f ca="1"/>
        <v>D3</v>
      </c>
      <c r="U990" s="7" t="str">
        <f ca="1"/>
        <v>0x1005</v>
      </c>
      <c r="V990" s="7" t="str">
        <f ca="1"/>
        <v>GetStorageInfo</v>
      </c>
    </row>
    <row r="991" spans="20:22" x14ac:dyDescent="0.25">
      <c r="T991" s="7" t="str">
        <f ca="1"/>
        <v>D3</v>
      </c>
      <c r="U991" s="7" t="str">
        <f ca="1"/>
        <v>0x1006</v>
      </c>
      <c r="V991" s="7" t="str">
        <f ca="1"/>
        <v>GetNumObjects</v>
      </c>
    </row>
    <row r="992" spans="20:22" x14ac:dyDescent="0.25">
      <c r="T992" s="7" t="str">
        <f ca="1"/>
        <v>D3</v>
      </c>
      <c r="U992" s="7" t="str">
        <f ca="1"/>
        <v>0x1007</v>
      </c>
      <c r="V992" s="7" t="str">
        <f ca="1"/>
        <v>GetObjectHandles</v>
      </c>
    </row>
    <row r="993" spans="20:22" x14ac:dyDescent="0.25">
      <c r="T993" s="7" t="str">
        <f ca="1"/>
        <v>D3</v>
      </c>
      <c r="U993" s="7" t="str">
        <f ca="1"/>
        <v>0x1008</v>
      </c>
      <c r="V993" s="7" t="str">
        <f ca="1"/>
        <v>GetObjectInfo</v>
      </c>
    </row>
    <row r="994" spans="20:22" x14ac:dyDescent="0.25">
      <c r="T994" s="7" t="str">
        <f ca="1"/>
        <v>D3</v>
      </c>
      <c r="U994" s="7" t="str">
        <f ca="1"/>
        <v>0x1009</v>
      </c>
      <c r="V994" s="7" t="str">
        <f ca="1"/>
        <v>GetObject</v>
      </c>
    </row>
    <row r="995" spans="20:22" x14ac:dyDescent="0.25">
      <c r="T995" s="7" t="str">
        <f ca="1"/>
        <v>D3</v>
      </c>
      <c r="U995" s="7" t="str">
        <f ca="1"/>
        <v>0x100A</v>
      </c>
      <c r="V995" s="7" t="str">
        <f ca="1"/>
        <v>GetThumb</v>
      </c>
    </row>
    <row r="996" spans="20:22" x14ac:dyDescent="0.25">
      <c r="T996" s="7" t="str">
        <f ca="1"/>
        <v>D3</v>
      </c>
      <c r="U996" s="7" t="str">
        <f ca="1"/>
        <v>0x100B</v>
      </c>
      <c r="V996" s="7" t="str">
        <f ca="1"/>
        <v>DeleteObject</v>
      </c>
    </row>
    <row r="997" spans="20:22" x14ac:dyDescent="0.25">
      <c r="T997" s="7" t="str">
        <f ca="1"/>
        <v>D3</v>
      </c>
      <c r="U997" s="7" t="str">
        <f ca="1"/>
        <v>0x100C</v>
      </c>
      <c r="V997" s="7" t="str">
        <f ca="1"/>
        <v>SendObjectInfo</v>
      </c>
    </row>
    <row r="998" spans="20:22" x14ac:dyDescent="0.25">
      <c r="T998" s="7" t="str">
        <f ca="1"/>
        <v>D3</v>
      </c>
      <c r="U998" s="7" t="str">
        <f ca="1"/>
        <v>0x100D</v>
      </c>
      <c r="V998" s="7" t="str">
        <f ca="1"/>
        <v>SendObject</v>
      </c>
    </row>
    <row r="999" spans="20:22" x14ac:dyDescent="0.25">
      <c r="T999" s="7" t="str">
        <f ca="1"/>
        <v>D3</v>
      </c>
      <c r="U999" s="7" t="str">
        <f ca="1"/>
        <v>0x100E</v>
      </c>
      <c r="V999" s="7" t="str">
        <f ca="1"/>
        <v>InitiateCapture</v>
      </c>
    </row>
    <row r="1000" spans="20:22" x14ac:dyDescent="0.25">
      <c r="T1000" s="7" t="str">
        <f ca="1"/>
        <v>D3</v>
      </c>
      <c r="U1000" s="7" t="str">
        <f ca="1"/>
        <v>0x100F</v>
      </c>
      <c r="V1000" s="7" t="str">
        <f ca="1"/>
        <v>FormatStore</v>
      </c>
    </row>
    <row r="1001" spans="20:22" x14ac:dyDescent="0.25">
      <c r="T1001" s="7" t="str">
        <f ca="1"/>
        <v>D3</v>
      </c>
      <c r="U1001" s="7" t="str">
        <f ca="1"/>
        <v>0x1014</v>
      </c>
      <c r="V1001" s="7" t="str">
        <f ca="1"/>
        <v>GetDevicePropDesc</v>
      </c>
    </row>
    <row r="1002" spans="20:22" x14ac:dyDescent="0.25">
      <c r="T1002" s="7" t="str">
        <f ca="1"/>
        <v>D3</v>
      </c>
      <c r="U1002" s="7" t="str">
        <f ca="1"/>
        <v>0x1015</v>
      </c>
      <c r="V1002" s="7" t="str">
        <f ca="1"/>
        <v>GetDevicePropValue</v>
      </c>
    </row>
    <row r="1003" spans="20:22" x14ac:dyDescent="0.25">
      <c r="T1003" s="7" t="str">
        <f ca="1"/>
        <v>D3</v>
      </c>
      <c r="U1003" s="7" t="str">
        <f ca="1"/>
        <v>0x1016</v>
      </c>
      <c r="V1003" s="7" t="str">
        <f ca="1"/>
        <v>SetDevicePropValue</v>
      </c>
    </row>
    <row r="1004" spans="20:22" x14ac:dyDescent="0.25">
      <c r="T1004" s="7" t="str">
        <f ca="1"/>
        <v>D3</v>
      </c>
      <c r="U1004" s="7" t="str">
        <f ca="1"/>
        <v>0x101B</v>
      </c>
      <c r="V1004" s="7" t="str">
        <f ca="1"/>
        <v>GetPartialObject</v>
      </c>
    </row>
    <row r="1005" spans="20:22" x14ac:dyDescent="0.25">
      <c r="T1005" s="7" t="str">
        <f ca="1"/>
        <v>D3</v>
      </c>
      <c r="U1005" s="7" t="str">
        <f ca="1"/>
        <v>0x90C0</v>
      </c>
      <c r="V1005" s="7" t="str">
        <f ca="1"/>
        <v>InitiateCaptureRecInSdram</v>
      </c>
    </row>
    <row r="1006" spans="20:22" x14ac:dyDescent="0.25">
      <c r="T1006" s="7" t="str">
        <f ca="1"/>
        <v>D3</v>
      </c>
      <c r="U1006" s="7" t="str">
        <f ca="1"/>
        <v>0x90C1</v>
      </c>
      <c r="V1006" s="7" t="str">
        <f ca="1"/>
        <v>AfDrive</v>
      </c>
    </row>
    <row r="1007" spans="20:22" x14ac:dyDescent="0.25">
      <c r="T1007" s="7" t="str">
        <f ca="1"/>
        <v>D3</v>
      </c>
      <c r="U1007" s="7" t="str">
        <f ca="1"/>
        <v>0x90C2</v>
      </c>
      <c r="V1007" s="7" t="str">
        <f ca="1"/>
        <v>ChangeCameraMode</v>
      </c>
    </row>
    <row r="1008" spans="20:22" x14ac:dyDescent="0.25">
      <c r="T1008" s="7" t="str">
        <f ca="1"/>
        <v>D3</v>
      </c>
      <c r="U1008" s="7" t="str">
        <f ca="1"/>
        <v>0x90C3</v>
      </c>
      <c r="V1008" s="7" t="str">
        <f ca="1"/>
        <v>DeleteImagesInSdram</v>
      </c>
    </row>
    <row r="1009" spans="20:22" x14ac:dyDescent="0.25">
      <c r="T1009" s="7" t="str">
        <f ca="1"/>
        <v>D3</v>
      </c>
      <c r="U1009" s="7" t="str">
        <f ca="1"/>
        <v>0x90C4</v>
      </c>
      <c r="V1009" s="7" t="str">
        <f ca="1"/>
        <v>GetLargeThumb</v>
      </c>
    </row>
    <row r="1010" spans="20:22" x14ac:dyDescent="0.25">
      <c r="T1010" s="7" t="str">
        <f ca="1"/>
        <v>D3</v>
      </c>
      <c r="U1010" s="7" t="str">
        <f ca="1"/>
        <v>0x90C7</v>
      </c>
      <c r="V1010" s="7" t="str">
        <f ca="1"/>
        <v>GetEvent</v>
      </c>
    </row>
    <row r="1011" spans="20:22" x14ac:dyDescent="0.25">
      <c r="T1011" s="7" t="str">
        <f ca="1"/>
        <v>D3</v>
      </c>
      <c r="U1011" s="7" t="str">
        <f ca="1"/>
        <v>0x90C8</v>
      </c>
      <c r="V1011" s="7" t="str">
        <f ca="1"/>
        <v>DeviceReady</v>
      </c>
    </row>
    <row r="1012" spans="20:22" x14ac:dyDescent="0.25">
      <c r="T1012" s="7" t="str">
        <f ca="1"/>
        <v>D3</v>
      </c>
      <c r="U1012" s="7" t="str">
        <f ca="1"/>
        <v>0x90C9</v>
      </c>
      <c r="V1012" s="7" t="str">
        <f ca="1"/>
        <v>SetPreWbData</v>
      </c>
    </row>
    <row r="1013" spans="20:22" x14ac:dyDescent="0.25">
      <c r="T1013" s="7" t="str">
        <f ca="1"/>
        <v>D3</v>
      </c>
      <c r="U1013" s="7" t="str">
        <f ca="1"/>
        <v>0x90CA</v>
      </c>
      <c r="V1013" s="7" t="str">
        <f ca="1"/>
        <v>GetVendorPropCodes</v>
      </c>
    </row>
    <row r="1014" spans="20:22" x14ac:dyDescent="0.25">
      <c r="T1014" s="7" t="str">
        <f ca="1"/>
        <v>D3</v>
      </c>
      <c r="U1014" s="7" t="str">
        <f ca="1"/>
        <v>0x90CB</v>
      </c>
      <c r="V1014" s="7" t="str">
        <f ca="1"/>
        <v>AfAndCaptureRecInSdram</v>
      </c>
    </row>
    <row r="1015" spans="20:22" x14ac:dyDescent="0.25">
      <c r="T1015" s="7" t="str">
        <f ca="1"/>
        <v>D3</v>
      </c>
      <c r="U1015" s="7" t="str">
        <f ca="1"/>
        <v>0x90CC</v>
      </c>
      <c r="V1015" s="7" t="str">
        <f ca="1"/>
        <v>GetPicCtrlData</v>
      </c>
    </row>
    <row r="1016" spans="20:22" x14ac:dyDescent="0.25">
      <c r="T1016" s="7" t="str">
        <f ca="1"/>
        <v>D3</v>
      </c>
      <c r="U1016" s="7" t="str">
        <f ca="1"/>
        <v>0x90CD</v>
      </c>
      <c r="V1016" s="7" t="str">
        <f ca="1"/>
        <v>SetPicCtrlData</v>
      </c>
    </row>
    <row r="1017" spans="20:22" x14ac:dyDescent="0.25">
      <c r="T1017" s="7" t="str">
        <f ca="1"/>
        <v>D3</v>
      </c>
      <c r="U1017" s="7" t="str">
        <f ca="1"/>
        <v>0x90CE</v>
      </c>
      <c r="V1017" s="7" t="str">
        <f ca="1"/>
        <v>DeleteCustomPicCtrl</v>
      </c>
    </row>
    <row r="1018" spans="20:22" x14ac:dyDescent="0.25">
      <c r="T1018" s="7" t="str">
        <f ca="1"/>
        <v>D3</v>
      </c>
      <c r="U1018" s="7" t="str">
        <f ca="1"/>
        <v>0x90CF</v>
      </c>
      <c r="V1018" s="7" t="str">
        <f ca="1"/>
        <v>GetPicCtrlCapability</v>
      </c>
    </row>
    <row r="1019" spans="20:22" x14ac:dyDescent="0.25">
      <c r="T1019" s="7" t="str">
        <f ca="1"/>
        <v>D3</v>
      </c>
      <c r="U1019" s="7" t="str">
        <f ca="1"/>
        <v>0x9200</v>
      </c>
      <c r="V1019" s="7" t="str">
        <f ca="1"/>
        <v>GetPreviewImage</v>
      </c>
    </row>
    <row r="1020" spans="20:22" x14ac:dyDescent="0.25">
      <c r="T1020" s="7" t="str">
        <f ca="1"/>
        <v>D3</v>
      </c>
      <c r="U1020" s="7" t="str">
        <f ca="1"/>
        <v>0x9201</v>
      </c>
      <c r="V1020" s="7" t="str">
        <f ca="1"/>
        <v>StartLiveView</v>
      </c>
    </row>
    <row r="1021" spans="20:22" x14ac:dyDescent="0.25">
      <c r="T1021" s="7" t="str">
        <f ca="1"/>
        <v>D3</v>
      </c>
      <c r="U1021" s="7" t="str">
        <f ca="1"/>
        <v>0x9202</v>
      </c>
      <c r="V1021" s="7" t="str">
        <f ca="1"/>
        <v>EndLiveView</v>
      </c>
    </row>
    <row r="1022" spans="20:22" x14ac:dyDescent="0.25">
      <c r="T1022" s="7" t="str">
        <f ca="1"/>
        <v>D3</v>
      </c>
      <c r="U1022" s="7" t="str">
        <f ca="1"/>
        <v>0x9203</v>
      </c>
      <c r="V1022" s="7" t="str">
        <f ca="1"/>
        <v>GetLiveViewImage</v>
      </c>
    </row>
    <row r="1023" spans="20:22" x14ac:dyDescent="0.25">
      <c r="T1023" s="7" t="str">
        <f ca="1"/>
        <v>D3</v>
      </c>
      <c r="U1023" s="7" t="str">
        <f ca="1"/>
        <v>0x9204</v>
      </c>
      <c r="V1023" s="7" t="str">
        <f ca="1"/>
        <v>MfDrive</v>
      </c>
    </row>
    <row r="1024" spans="20:22" x14ac:dyDescent="0.25">
      <c r="T1024" s="7" t="str">
        <f ca="1"/>
        <v>D3</v>
      </c>
      <c r="U1024" s="7" t="str">
        <f ca="1"/>
        <v>0x9205</v>
      </c>
      <c r="V1024" s="7" t="str">
        <f ca="1"/>
        <v>ChangeAfArea</v>
      </c>
    </row>
    <row r="1025" spans="20:22" x14ac:dyDescent="0.25">
      <c r="T1025" s="7" t="str">
        <f ca="1"/>
        <v>D3</v>
      </c>
      <c r="U1025" s="7" t="str">
        <f ca="1"/>
        <v>0x9206</v>
      </c>
      <c r="V1025" s="7" t="str">
        <f ca="1"/>
        <v>AfDriveCancel</v>
      </c>
    </row>
    <row r="1026" spans="20:22" x14ac:dyDescent="0.25">
      <c r="T1026" s="7" t="str">
        <f ca="1"/>
        <v>D3</v>
      </c>
      <c r="U1026" s="7" t="str">
        <f ca="1"/>
        <v>0x9801</v>
      </c>
      <c r="V1026" s="7" t="str">
        <f ca="1"/>
        <v>GetObjectPropsSupported</v>
      </c>
    </row>
    <row r="1027" spans="20:22" x14ac:dyDescent="0.25">
      <c r="T1027" s="7" t="str">
        <f ca="1"/>
        <v>D3</v>
      </c>
      <c r="U1027" s="7" t="str">
        <f ca="1"/>
        <v>0x9802</v>
      </c>
      <c r="V1027" s="7" t="str">
        <f ca="1"/>
        <v>GetObjectPropDesc</v>
      </c>
    </row>
    <row r="1028" spans="20:22" x14ac:dyDescent="0.25">
      <c r="T1028" s="7" t="str">
        <f ca="1"/>
        <v>D3</v>
      </c>
      <c r="U1028" s="7" t="str">
        <f ca="1"/>
        <v>0x9803</v>
      </c>
      <c r="V1028" s="7" t="str">
        <f ca="1"/>
        <v>GetObjectPropValue</v>
      </c>
    </row>
    <row r="1029" spans="20:22" x14ac:dyDescent="0.25">
      <c r="T1029" s="7" t="str">
        <f ca="1"/>
        <v>D3</v>
      </c>
      <c r="U1029" s="7" t="str">
        <f ca="1"/>
        <v>0x9805</v>
      </c>
      <c r="V1029" s="7" t="str">
        <f ca="1"/>
        <v>GetObjectPropList</v>
      </c>
    </row>
  </sheetData>
  <conditionalFormatting sqref="D3:Q1048576">
    <cfRule type="cellIs" dxfId="10" priority="1" operator="notEqual">
      <formula>_xlfn.SINGLE($B:$B)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49B4C-8246-458F-AAEF-CF50C4ED3810}">
  <sheetPr>
    <tabColor theme="7" tint="0.59999389629810485"/>
  </sheetPr>
  <dimension ref="A1:AK694"/>
  <sheetViews>
    <sheetView workbookViewId="0">
      <pane xSplit="2" ySplit="2" topLeftCell="C39" activePane="bottomRight" state="frozen"/>
      <selection activeCell="C4" sqref="C4"/>
      <selection pane="topRight" activeCell="C4" sqref="C4"/>
      <selection pane="bottomLeft" activeCell="C4" sqref="C4"/>
      <selection pane="bottomRight" activeCell="C13" sqref="C13"/>
    </sheetView>
  </sheetViews>
  <sheetFormatPr defaultRowHeight="15" x14ac:dyDescent="0.25"/>
  <cols>
    <col min="1" max="1" width="15" style="13" bestFit="1" customWidth="1"/>
    <col min="2" max="2" width="28.5703125" style="14" bestFit="1" customWidth="1"/>
    <col min="3" max="3" width="9.140625" style="7"/>
    <col min="4" max="7" width="9.140625" style="8" customWidth="1"/>
    <col min="8" max="19" width="9.140625" style="7"/>
    <col min="20" max="20" width="6.5703125" style="7" bestFit="1" customWidth="1"/>
    <col min="21" max="21" width="6" style="7" bestFit="1" customWidth="1"/>
    <col min="22" max="23" width="9.140625" style="7"/>
    <col min="24" max="27" width="9.140625" style="8"/>
    <col min="28" max="16384" width="9.140625" style="7"/>
  </cols>
  <sheetData>
    <row r="1" spans="1:37" s="9" customFormat="1" x14ac:dyDescent="0.25">
      <c r="A1" s="2"/>
      <c r="B1" s="10"/>
      <c r="D1" s="2" t="str" cm="1">
        <f t="array" ref="D1:Q1">TRANSPOSE(Cameras[Camera])</f>
        <v>Z8</v>
      </c>
      <c r="E1" s="2" t="str">
        <v>Z9</v>
      </c>
      <c r="F1" s="2" t="str">
        <v>Z6 II</v>
      </c>
      <c r="G1" s="2" t="str">
        <v>Z7 II</v>
      </c>
      <c r="H1" s="9" t="str">
        <v>Z50</v>
      </c>
      <c r="I1" s="9" t="str">
        <v>Z6</v>
      </c>
      <c r="J1" s="9" t="str">
        <v>Z7</v>
      </c>
      <c r="K1" s="9" t="str">
        <v>Z5</v>
      </c>
      <c r="L1" s="9" t="str">
        <v>D6</v>
      </c>
      <c r="M1" s="9" t="str">
        <v>D5</v>
      </c>
      <c r="N1" s="9" t="str">
        <v>D4S</v>
      </c>
      <c r="O1" s="9" t="str">
        <v>D4</v>
      </c>
      <c r="P1" s="9" t="str">
        <v>D3X</v>
      </c>
      <c r="Q1" s="9" t="str">
        <v>D3</v>
      </c>
      <c r="X1" s="9" t="str" cm="1">
        <f t="array" ref="X1:AK1">TRANSPOSE(Cameras[Camera])</f>
        <v>Z8</v>
      </c>
      <c r="Y1" s="9" t="str">
        <v>Z9</v>
      </c>
      <c r="Z1" s="9" t="str">
        <v>Z6 II</v>
      </c>
      <c r="AA1" s="9" t="str">
        <v>Z7 II</v>
      </c>
      <c r="AB1" s="9" t="str">
        <v>Z50</v>
      </c>
      <c r="AC1" s="9" t="str">
        <v>Z6</v>
      </c>
      <c r="AD1" s="9" t="str">
        <v>Z7</v>
      </c>
      <c r="AE1" s="9" t="str">
        <v>Z5</v>
      </c>
      <c r="AF1" s="9" t="str">
        <v>D6</v>
      </c>
      <c r="AG1" s="9" t="str">
        <v>D5</v>
      </c>
      <c r="AH1" s="9" t="str">
        <v>D4S</v>
      </c>
      <c r="AI1" s="9" t="str">
        <v>D4</v>
      </c>
      <c r="AJ1" s="9" t="str">
        <v>D3X</v>
      </c>
      <c r="AK1" s="9" t="str">
        <v>D3</v>
      </c>
    </row>
    <row r="2" spans="1:37" s="11" customFormat="1" x14ac:dyDescent="0.25">
      <c r="A2" s="3" t="s">
        <v>223</v>
      </c>
      <c r="B2" s="6" t="s">
        <v>4</v>
      </c>
      <c r="C2" s="4"/>
      <c r="D2" s="5" t="str" cm="1">
        <f t="array" ref="D2:Q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</v>
      </c>
      <c r="I2" s="4" t="str">
        <v>Rev. 1.40</v>
      </c>
      <c r="J2" s="4" t="str">
        <v>Rev. 1.40</v>
      </c>
      <c r="K2" s="4" t="str">
        <v>Rev. 1.10</v>
      </c>
      <c r="L2" s="4" t="str">
        <v>Rev. 1.0</v>
      </c>
      <c r="M2" s="4" t="str">
        <v>Rev. 2.0</v>
      </c>
      <c r="N2" s="4" t="str">
        <v>Rev. 1.0</v>
      </c>
      <c r="O2" s="4" t="str">
        <v>Rev. 1.0</v>
      </c>
      <c r="P2" s="4" t="str">
        <v>Rev. 1.0</v>
      </c>
      <c r="Q2" s="4" t="str">
        <v>Rev. 1.0</v>
      </c>
      <c r="R2" s="4"/>
      <c r="S2" s="4"/>
      <c r="T2" s="12" t="s">
        <v>1232</v>
      </c>
      <c r="U2" s="12" t="s">
        <v>1233</v>
      </c>
      <c r="V2" s="12" t="s">
        <v>1234</v>
      </c>
      <c r="W2" s="4"/>
      <c r="X2" s="11" t="str" cm="1">
        <f t="array" ref="X2:AK2">"Rev. "&amp;TRANSPOSE(Cameras[MTP Doc])</f>
        <v>Rev. 2.00</v>
      </c>
      <c r="Y2" s="11" t="str">
        <v>Rev. 6.00</v>
      </c>
      <c r="Z2" s="11" t="str">
        <v>Rev. 1.10</v>
      </c>
      <c r="AA2" s="11" t="str">
        <v>Rev. 1.10</v>
      </c>
      <c r="AB2" s="11" t="str">
        <v>Rev. 2.0</v>
      </c>
      <c r="AC2" s="11" t="str">
        <v>Rev. 1.40</v>
      </c>
      <c r="AD2" s="11" t="str">
        <v>Rev. 1.40</v>
      </c>
      <c r="AE2" s="11" t="str">
        <v>Rev. 1.10</v>
      </c>
      <c r="AF2" s="11" t="str">
        <v>Rev. 1.0</v>
      </c>
      <c r="AG2" s="11" t="str">
        <v>Rev. 2.0</v>
      </c>
      <c r="AH2" s="11" t="str">
        <v>Rev. 1.0</v>
      </c>
      <c r="AI2" s="11" t="str">
        <v>Rev. 1.0</v>
      </c>
      <c r="AJ2" s="11" t="str">
        <v>Rev. 1.0</v>
      </c>
      <c r="AK2" s="11" t="str">
        <v>Rev. 1.0</v>
      </c>
    </row>
    <row r="3" spans="1:37" x14ac:dyDescent="0.25">
      <c r="A3" s="13" t="str" cm="1">
        <f t="array" aca="1" ref="A3:B59" ca="1">_xlfn.LET(_xlpm.arr,_xlfn.ANCHORARRAY(T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0x2001</v>
      </c>
      <c r="B3" s="14" t="str">
        <f ca="1"/>
        <v>OK</v>
      </c>
      <c r="D3" s="8" t="str" cm="1">
        <f t="array" aca="1" ref="D3:Q59" ca="1">_xlfn.LET(_xlpm.models,_xlfn.ANCHORARRAY(D1),_xlpm.arr,_xlfn.ANCHORARRAY(T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OK</v>
      </c>
      <c r="E3" s="8" t="str">
        <f ca="1"/>
        <v>OK</v>
      </c>
      <c r="F3" s="8" t="str">
        <f ca="1"/>
        <v>OK</v>
      </c>
      <c r="G3" s="8" t="str">
        <f ca="1"/>
        <v>OK</v>
      </c>
      <c r="H3" s="7" t="str">
        <f ca="1"/>
        <v>OK</v>
      </c>
      <c r="I3" s="7" t="str">
        <f ca="1"/>
        <v>OK</v>
      </c>
      <c r="J3" s="7" t="str">
        <f ca="1"/>
        <v>OK</v>
      </c>
      <c r="K3" s="7" t="str">
        <f ca="1"/>
        <v>OK</v>
      </c>
      <c r="L3" s="7" t="str">
        <f ca="1"/>
        <v>OK</v>
      </c>
      <c r="M3" s="7" t="str">
        <f ca="1"/>
        <v>OK</v>
      </c>
      <c r="N3" s="7" t="str">
        <f ca="1"/>
        <v>OK</v>
      </c>
      <c r="O3" s="7" t="str">
        <f ca="1"/>
        <v>OK</v>
      </c>
      <c r="P3" s="7" t="str">
        <f ca="1"/>
        <v>OK</v>
      </c>
      <c r="Q3" s="7" t="str">
        <f ca="1"/>
        <v>OK</v>
      </c>
      <c r="T3" s="7" t="str" cm="1">
        <f t="array" aca="1" ref="T3:V694" ca="1">_xlfn.LET(_xlpm.models,_xlfn.ANCHORARRAY(X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U3" s="7" t="str">
        <f ca="1"/>
        <v>0x2001</v>
      </c>
      <c r="V3" s="7" t="str">
        <f ca="1"/>
        <v>OK</v>
      </c>
      <c r="X3" s="8" t="s">
        <v>224</v>
      </c>
      <c r="Y3" s="8" t="s">
        <v>224</v>
      </c>
      <c r="Z3" s="8" t="s">
        <v>224</v>
      </c>
      <c r="AA3" s="8" t="s">
        <v>224</v>
      </c>
      <c r="AB3" s="7" t="s">
        <v>224</v>
      </c>
      <c r="AC3" s="7" t="s">
        <v>224</v>
      </c>
      <c r="AD3" s="7" t="s">
        <v>224</v>
      </c>
      <c r="AE3" s="7" t="s">
        <v>224</v>
      </c>
      <c r="AF3" s="7" t="s">
        <v>224</v>
      </c>
      <c r="AG3" s="7" t="s">
        <v>224</v>
      </c>
      <c r="AH3" s="7" t="s">
        <v>224</v>
      </c>
      <c r="AI3" s="7" t="s">
        <v>224</v>
      </c>
      <c r="AJ3" s="7" t="s">
        <v>224</v>
      </c>
      <c r="AK3" s="7" t="s">
        <v>224</v>
      </c>
    </row>
    <row r="4" spans="1:37" x14ac:dyDescent="0.25">
      <c r="A4" s="13" t="str">
        <f ca="1"/>
        <v>0x2002</v>
      </c>
      <c r="B4" s="14" t="str">
        <f ca="1"/>
        <v>General_Error</v>
      </c>
      <c r="D4" s="8" t="str">
        <f ca="1"/>
        <v>General_Error</v>
      </c>
      <c r="E4" s="8" t="str">
        <f ca="1"/>
        <v>General_Error</v>
      </c>
      <c r="F4" s="8" t="str">
        <f ca="1"/>
        <v>General_Error</v>
      </c>
      <c r="G4" s="8" t="str">
        <f ca="1"/>
        <v>General_Error</v>
      </c>
      <c r="H4" s="7" t="str">
        <f ca="1"/>
        <v>General_Error</v>
      </c>
      <c r="I4" s="7" t="str">
        <f ca="1"/>
        <v>General_Error</v>
      </c>
      <c r="J4" s="7" t="str">
        <f ca="1"/>
        <v>General_Error</v>
      </c>
      <c r="K4" s="7" t="str">
        <f ca="1"/>
        <v>General_Error</v>
      </c>
      <c r="L4" s="7" t="str">
        <f ca="1"/>
        <v>General_Error</v>
      </c>
      <c r="M4" s="7" t="str">
        <f ca="1"/>
        <v>General_Error</v>
      </c>
      <c r="N4" s="7" t="str">
        <f ca="1"/>
        <v>General_Error</v>
      </c>
      <c r="O4" s="7" t="str">
        <f ca="1"/>
        <v>General_Error</v>
      </c>
      <c r="P4" s="7" t="str">
        <f ca="1"/>
        <v>General_Error</v>
      </c>
      <c r="Q4" s="7" t="str">
        <f ca="1"/>
        <v>General_Error</v>
      </c>
      <c r="T4" s="7" t="str">
        <f ca="1"/>
        <v>Z8</v>
      </c>
      <c r="U4" s="7" t="str">
        <f ca="1"/>
        <v>0x2002</v>
      </c>
      <c r="V4" s="7" t="str">
        <f ca="1"/>
        <v>General_Error</v>
      </c>
      <c r="X4" s="8" t="s">
        <v>225</v>
      </c>
      <c r="Y4" s="8" t="s">
        <v>225</v>
      </c>
      <c r="Z4" s="8" t="s">
        <v>225</v>
      </c>
      <c r="AA4" s="8" t="s">
        <v>225</v>
      </c>
      <c r="AB4" s="7" t="s">
        <v>225</v>
      </c>
      <c r="AC4" s="7" t="s">
        <v>225</v>
      </c>
      <c r="AD4" s="7" t="s">
        <v>225</v>
      </c>
      <c r="AE4" s="7" t="s">
        <v>225</v>
      </c>
      <c r="AF4" s="7" t="s">
        <v>225</v>
      </c>
      <c r="AG4" s="7" t="s">
        <v>225</v>
      </c>
      <c r="AH4" s="7" t="s">
        <v>225</v>
      </c>
      <c r="AI4" s="7" t="s">
        <v>225</v>
      </c>
      <c r="AJ4" s="7" t="s">
        <v>225</v>
      </c>
      <c r="AK4" s="7" t="s">
        <v>225</v>
      </c>
    </row>
    <row r="5" spans="1:37" x14ac:dyDescent="0.25">
      <c r="A5" s="13" t="str">
        <f ca="1"/>
        <v>0x2003</v>
      </c>
      <c r="B5" s="14" t="str">
        <f ca="1"/>
        <v>Session_Not_Open</v>
      </c>
      <c r="D5" s="8" t="str">
        <f ca="1"/>
        <v>Session_Not_Open</v>
      </c>
      <c r="E5" s="8" t="str">
        <f ca="1"/>
        <v>Session_Not_Open</v>
      </c>
      <c r="F5" s="8" t="str">
        <f ca="1"/>
        <v>Session_Not_Open</v>
      </c>
      <c r="G5" s="8" t="str">
        <f ca="1"/>
        <v>Session_Not_Open</v>
      </c>
      <c r="H5" s="7" t="str">
        <f ca="1"/>
        <v>Session_Not_Open</v>
      </c>
      <c r="I5" s="7" t="str">
        <f ca="1"/>
        <v>Session_Not_Open</v>
      </c>
      <c r="J5" s="7" t="str">
        <f ca="1"/>
        <v>Session_Not_Open</v>
      </c>
      <c r="K5" s="7" t="str">
        <f ca="1"/>
        <v>Session_Not_Open</v>
      </c>
      <c r="L5" s="7" t="str">
        <f ca="1"/>
        <v>Session_Not_Open</v>
      </c>
      <c r="M5" s="7" t="str">
        <f ca="1"/>
        <v>Session_Not_Open</v>
      </c>
      <c r="N5" s="7" t="str">
        <f ca="1"/>
        <v>Session_Not_Open</v>
      </c>
      <c r="O5" s="7" t="str">
        <f ca="1"/>
        <v>Session_Not_Open</v>
      </c>
      <c r="P5" s="7" t="str">
        <f ca="1"/>
        <v>Session_Not_Open</v>
      </c>
      <c r="Q5" s="7" t="str">
        <f ca="1"/>
        <v>Session_Not_Open</v>
      </c>
      <c r="T5" s="7" t="str">
        <f ca="1"/>
        <v>Z8</v>
      </c>
      <c r="U5" s="7" t="str">
        <f ca="1"/>
        <v>0x2003</v>
      </c>
      <c r="V5" s="7" t="str">
        <f ca="1"/>
        <v>Session_Not_Open</v>
      </c>
      <c r="X5" s="8" t="s">
        <v>226</v>
      </c>
      <c r="Y5" s="8" t="s">
        <v>226</v>
      </c>
      <c r="Z5" s="8" t="s">
        <v>226</v>
      </c>
      <c r="AA5" s="8" t="s">
        <v>226</v>
      </c>
      <c r="AB5" s="7" t="s">
        <v>226</v>
      </c>
      <c r="AC5" s="7" t="s">
        <v>226</v>
      </c>
      <c r="AD5" s="7" t="s">
        <v>226</v>
      </c>
      <c r="AE5" s="7" t="s">
        <v>226</v>
      </c>
      <c r="AF5" s="7" t="s">
        <v>226</v>
      </c>
      <c r="AG5" s="7" t="s">
        <v>226</v>
      </c>
      <c r="AH5" s="7" t="s">
        <v>226</v>
      </c>
      <c r="AI5" s="7" t="s">
        <v>226</v>
      </c>
      <c r="AJ5" s="7" t="s">
        <v>226</v>
      </c>
      <c r="AK5" s="7" t="s">
        <v>226</v>
      </c>
    </row>
    <row r="6" spans="1:37" x14ac:dyDescent="0.25">
      <c r="A6" s="13" t="str">
        <f ca="1"/>
        <v>0x2004</v>
      </c>
      <c r="B6" s="14" t="str">
        <f ca="1"/>
        <v>Invalid_TransactionID</v>
      </c>
      <c r="D6" s="8" t="str">
        <f ca="1"/>
        <v>Invalid_TransactionID</v>
      </c>
      <c r="E6" s="8" t="str">
        <f ca="1"/>
        <v>Invalid_TransactionID</v>
      </c>
      <c r="F6" s="8" t="str">
        <f ca="1"/>
        <v>Invalid_TransactionID</v>
      </c>
      <c r="G6" s="8" t="str">
        <f ca="1"/>
        <v>Invalid_TransactionID</v>
      </c>
      <c r="H6" s="7" t="str">
        <f ca="1"/>
        <v>Invalid_TransactionID</v>
      </c>
      <c r="I6" s="7" t="str">
        <f ca="1"/>
        <v>Invalid_TransactionID</v>
      </c>
      <c r="J6" s="7" t="str">
        <f ca="1"/>
        <v>Invalid_TransactionID</v>
      </c>
      <c r="K6" s="7" t="str">
        <f ca="1"/>
        <v>Invalid_TransactionID</v>
      </c>
      <c r="L6" s="7" t="str">
        <f ca="1"/>
        <v>Invalid_TransactionID</v>
      </c>
      <c r="M6" s="7" t="str">
        <f ca="1"/>
        <v>Invalid_TransactionID</v>
      </c>
      <c r="N6" s="7" t="str">
        <f ca="1"/>
        <v>Invalid_TransactionID</v>
      </c>
      <c r="O6" s="7" t="str">
        <f ca="1"/>
        <v>Invalid_TransactionID</v>
      </c>
      <c r="P6" s="7" t="str">
        <f ca="1"/>
        <v>Invalid_TransactionID</v>
      </c>
      <c r="Q6" s="7" t="str">
        <f ca="1"/>
        <v>Invalid_TransactionID</v>
      </c>
      <c r="T6" s="7" t="str">
        <f ca="1"/>
        <v>Z8</v>
      </c>
      <c r="U6" s="7" t="str">
        <f ca="1"/>
        <v>0x2004</v>
      </c>
      <c r="V6" s="7" t="str">
        <f ca="1"/>
        <v>Invalid_TransactionID</v>
      </c>
      <c r="X6" s="8" t="s">
        <v>227</v>
      </c>
      <c r="Y6" s="8" t="s">
        <v>227</v>
      </c>
      <c r="Z6" s="8" t="s">
        <v>227</v>
      </c>
      <c r="AA6" s="8" t="s">
        <v>227</v>
      </c>
      <c r="AB6" s="7" t="s">
        <v>227</v>
      </c>
      <c r="AC6" s="7" t="s">
        <v>227</v>
      </c>
      <c r="AD6" s="7" t="s">
        <v>227</v>
      </c>
      <c r="AE6" s="7" t="s">
        <v>227</v>
      </c>
      <c r="AF6" s="7" t="s">
        <v>227</v>
      </c>
      <c r="AG6" s="7" t="s">
        <v>227</v>
      </c>
      <c r="AH6" s="7" t="s">
        <v>227</v>
      </c>
      <c r="AI6" s="7" t="s">
        <v>227</v>
      </c>
      <c r="AJ6" s="7" t="s">
        <v>227</v>
      </c>
      <c r="AK6" s="7" t="s">
        <v>227</v>
      </c>
    </row>
    <row r="7" spans="1:37" x14ac:dyDescent="0.25">
      <c r="A7" s="13" t="str">
        <f ca="1"/>
        <v>0x2005</v>
      </c>
      <c r="B7" s="14" t="str">
        <f ca="1"/>
        <v>Operation_Not_Supported</v>
      </c>
      <c r="D7" s="8" t="str">
        <f ca="1"/>
        <v>Operation_Not_Supported</v>
      </c>
      <c r="E7" s="8" t="str">
        <f ca="1"/>
        <v>Operation_Not_Supported</v>
      </c>
      <c r="F7" s="8" t="str">
        <f ca="1"/>
        <v>Operation_Not_Supported</v>
      </c>
      <c r="G7" s="8" t="str">
        <f ca="1"/>
        <v>Operation_Not_Supported</v>
      </c>
      <c r="H7" s="7" t="str">
        <f ca="1"/>
        <v>Operation_Not_Supported</v>
      </c>
      <c r="I7" s="7" t="str">
        <f ca="1"/>
        <v>Operation_Not_Supported</v>
      </c>
      <c r="J7" s="7" t="str">
        <f ca="1"/>
        <v>Operation_Not_Supported</v>
      </c>
      <c r="K7" s="7" t="str">
        <f ca="1"/>
        <v>Operation_Not_Supported</v>
      </c>
      <c r="L7" s="7" t="str">
        <f ca="1"/>
        <v>Operation_Not_Supported</v>
      </c>
      <c r="M7" s="7" t="str">
        <f ca="1"/>
        <v>Operation_Not_Supported</v>
      </c>
      <c r="N7" s="7" t="str">
        <f ca="1"/>
        <v>Operation_Not_Supported</v>
      </c>
      <c r="O7" s="7" t="str">
        <f ca="1"/>
        <v>Operation_Not_Supported</v>
      </c>
      <c r="P7" s="7" t="str">
        <f ca="1"/>
        <v>Operation_Not_Supported</v>
      </c>
      <c r="Q7" s="7" t="str">
        <f ca="1"/>
        <v>Operation_Not_Supported</v>
      </c>
      <c r="T7" s="7" t="str">
        <f ca="1"/>
        <v>Z8</v>
      </c>
      <c r="U7" s="7" t="str">
        <f ca="1"/>
        <v>0x2005</v>
      </c>
      <c r="V7" s="7" t="str">
        <f ca="1"/>
        <v>Operation_Not_Supported</v>
      </c>
      <c r="X7" s="8" t="s">
        <v>228</v>
      </c>
      <c r="Y7" s="8" t="s">
        <v>228</v>
      </c>
      <c r="Z7" s="8" t="s">
        <v>228</v>
      </c>
      <c r="AA7" s="8" t="s">
        <v>228</v>
      </c>
      <c r="AB7" s="7" t="s">
        <v>228</v>
      </c>
      <c r="AC7" s="7" t="s">
        <v>228</v>
      </c>
      <c r="AD7" s="7" t="s">
        <v>228</v>
      </c>
      <c r="AE7" s="7" t="s">
        <v>228</v>
      </c>
      <c r="AF7" s="7" t="s">
        <v>228</v>
      </c>
      <c r="AG7" s="7" t="s">
        <v>228</v>
      </c>
      <c r="AH7" s="7" t="s">
        <v>228</v>
      </c>
      <c r="AI7" s="7" t="s">
        <v>228</v>
      </c>
      <c r="AJ7" s="7" t="s">
        <v>228</v>
      </c>
      <c r="AK7" s="7" t="s">
        <v>228</v>
      </c>
    </row>
    <row r="8" spans="1:37" x14ac:dyDescent="0.25">
      <c r="A8" s="13" t="str">
        <f ca="1"/>
        <v>0x2006</v>
      </c>
      <c r="B8" s="14" t="str">
        <f ca="1"/>
        <v>Parameter_Not_Supported</v>
      </c>
      <c r="D8" s="8" t="str">
        <f ca="1"/>
        <v>Parameter_Not_Supported</v>
      </c>
      <c r="E8" s="8" t="str">
        <f ca="1"/>
        <v>Parameter_Not_Supported</v>
      </c>
      <c r="F8" s="8" t="str">
        <f ca="1"/>
        <v>Parameter_Not_Supported</v>
      </c>
      <c r="G8" s="8" t="str">
        <f ca="1"/>
        <v>Parameter_Not_Supported</v>
      </c>
      <c r="H8" s="7" t="str">
        <f ca="1"/>
        <v>Parameter_Not_Supported</v>
      </c>
      <c r="I8" s="7" t="str">
        <f ca="1"/>
        <v>Parameter_Not_Supported</v>
      </c>
      <c r="J8" s="7" t="str">
        <f ca="1"/>
        <v>Parameter_Not_Supported</v>
      </c>
      <c r="K8" s="7" t="str">
        <f ca="1"/>
        <v>Parameter_Not_Supported</v>
      </c>
      <c r="L8" s="7" t="str">
        <f ca="1"/>
        <v>Parameter_Not_Supported</v>
      </c>
      <c r="M8" s="7" t="str">
        <f ca="1"/>
        <v>Parameter_Not_Supported</v>
      </c>
      <c r="N8" s="7" t="str">
        <f ca="1"/>
        <v>Parameter_Not_Supported</v>
      </c>
      <c r="O8" s="7" t="str">
        <f ca="1"/>
        <v>Parameter_Not_Supported</v>
      </c>
      <c r="P8" s="7" t="str">
        <f ca="1"/>
        <v>Parameter_Not_Supported</v>
      </c>
      <c r="Q8" s="7" t="str">
        <f ca="1"/>
        <v>Parameter_Not_Supported</v>
      </c>
      <c r="T8" s="7" t="str">
        <f ca="1"/>
        <v>Z8</v>
      </c>
      <c r="U8" s="7" t="str">
        <f ca="1"/>
        <v>0x2006</v>
      </c>
      <c r="V8" s="7" t="str">
        <f ca="1"/>
        <v>Parameter_Not_Supported</v>
      </c>
      <c r="X8" s="8" t="s">
        <v>229</v>
      </c>
      <c r="Y8" s="8" t="s">
        <v>229</v>
      </c>
      <c r="Z8" s="8" t="s">
        <v>229</v>
      </c>
      <c r="AA8" s="8" t="s">
        <v>229</v>
      </c>
      <c r="AB8" s="7" t="s">
        <v>229</v>
      </c>
      <c r="AC8" s="7" t="s">
        <v>229</v>
      </c>
      <c r="AD8" s="7" t="s">
        <v>229</v>
      </c>
      <c r="AE8" s="7" t="s">
        <v>229</v>
      </c>
      <c r="AF8" s="7" t="s">
        <v>229</v>
      </c>
      <c r="AG8" s="7" t="s">
        <v>229</v>
      </c>
      <c r="AH8" s="7" t="s">
        <v>229</v>
      </c>
      <c r="AI8" s="7" t="s">
        <v>229</v>
      </c>
      <c r="AJ8" s="7" t="s">
        <v>229</v>
      </c>
      <c r="AK8" s="7" t="s">
        <v>229</v>
      </c>
    </row>
    <row r="9" spans="1:37" x14ac:dyDescent="0.25">
      <c r="A9" s="13" t="str">
        <f ca="1"/>
        <v>0x2007</v>
      </c>
      <c r="B9" s="14" t="str">
        <f ca="1"/>
        <v>Incomplete_Transfer</v>
      </c>
      <c r="D9" s="8" t="str">
        <f ca="1"/>
        <v>Incomplete_Transfer</v>
      </c>
      <c r="E9" s="8" t="str">
        <f ca="1"/>
        <v>Incomplete_Transfer</v>
      </c>
      <c r="F9" s="8" t="str">
        <f ca="1"/>
        <v>Incomplete_Transfer</v>
      </c>
      <c r="G9" s="8" t="str">
        <f ca="1"/>
        <v>Incomplete_Transfer</v>
      </c>
      <c r="H9" s="7" t="str">
        <f ca="1"/>
        <v>Incomplete_Transfer</v>
      </c>
      <c r="I9" s="7" t="str">
        <f ca="1"/>
        <v>Incomplete_Transfer</v>
      </c>
      <c r="J9" s="7" t="str">
        <f ca="1"/>
        <v>Incomplete_Transfer</v>
      </c>
      <c r="K9" s="7" t="str">
        <f ca="1"/>
        <v>Incomplete_Transfer</v>
      </c>
      <c r="L9" s="7" t="str">
        <f ca="1"/>
        <v>Incomplete_Transfer</v>
      </c>
      <c r="M9" s="7" t="str">
        <f ca="1"/>
        <v>Incomplete_Transfer</v>
      </c>
      <c r="N9" s="7" t="str">
        <f ca="1"/>
        <v>Incomplete_Transfer</v>
      </c>
      <c r="O9" s="7" t="str">
        <f ca="1"/>
        <v>Incomplete_Transfer</v>
      </c>
      <c r="P9" s="7" t="str">
        <f ca="1"/>
        <v>Incomplete_Transfer</v>
      </c>
      <c r="Q9" s="7" t="str">
        <f ca="1"/>
        <v>Incomplete_Transfer</v>
      </c>
      <c r="T9" s="7" t="str">
        <f ca="1"/>
        <v>Z8</v>
      </c>
      <c r="U9" s="7" t="str">
        <f ca="1"/>
        <v>0x2007</v>
      </c>
      <c r="V9" s="7" t="str">
        <f ca="1"/>
        <v>Incomplete_Transfer</v>
      </c>
      <c r="X9" s="8" t="s">
        <v>230</v>
      </c>
      <c r="Y9" s="8" t="s">
        <v>230</v>
      </c>
      <c r="Z9" s="8" t="s">
        <v>230</v>
      </c>
      <c r="AA9" s="8" t="s">
        <v>230</v>
      </c>
      <c r="AB9" s="7" t="s">
        <v>230</v>
      </c>
      <c r="AC9" s="7" t="s">
        <v>230</v>
      </c>
      <c r="AD9" s="7" t="s">
        <v>230</v>
      </c>
      <c r="AE9" s="7" t="s">
        <v>230</v>
      </c>
      <c r="AF9" s="7" t="s">
        <v>230</v>
      </c>
      <c r="AG9" s="7" t="s">
        <v>230</v>
      </c>
      <c r="AH9" s="7" t="s">
        <v>230</v>
      </c>
      <c r="AI9" s="7" t="s">
        <v>230</v>
      </c>
      <c r="AJ9" s="7" t="s">
        <v>230</v>
      </c>
      <c r="AK9" s="7" t="s">
        <v>230</v>
      </c>
    </row>
    <row r="10" spans="1:37" x14ac:dyDescent="0.25">
      <c r="A10" s="13" t="str">
        <f ca="1"/>
        <v>0x2008</v>
      </c>
      <c r="B10" s="14" t="str">
        <f ca="1"/>
        <v>Invalid_StorageID</v>
      </c>
      <c r="D10" s="8" t="str">
        <f ca="1"/>
        <v>Invalid_StorageID</v>
      </c>
      <c r="E10" s="8" t="str">
        <f ca="1"/>
        <v>Invalid_StorageID</v>
      </c>
      <c r="F10" s="8" t="str">
        <f ca="1"/>
        <v>Invalid_StorageID</v>
      </c>
      <c r="G10" s="8" t="str">
        <f ca="1"/>
        <v>Invalid_StorageID</v>
      </c>
      <c r="H10" s="7" t="str">
        <f ca="1"/>
        <v>Invalid_StorageID</v>
      </c>
      <c r="I10" s="7" t="str">
        <f ca="1"/>
        <v>Invalid_StorageID</v>
      </c>
      <c r="J10" s="7" t="str">
        <f ca="1"/>
        <v>Invalid_StorageID</v>
      </c>
      <c r="K10" s="7" t="str">
        <f ca="1"/>
        <v>Invalid_StorageID</v>
      </c>
      <c r="L10" s="7" t="str">
        <f ca="1"/>
        <v>Invalid_StorageID</v>
      </c>
      <c r="M10" s="7" t="str">
        <f ca="1"/>
        <v>Invalid_StorageID</v>
      </c>
      <c r="N10" s="7" t="str">
        <f ca="1"/>
        <v>Invalid_StorageID</v>
      </c>
      <c r="O10" s="7" t="str">
        <f ca="1"/>
        <v>Invalid_StorageID</v>
      </c>
      <c r="P10" s="7" t="str">
        <f ca="1"/>
        <v>Invalid_StorageID</v>
      </c>
      <c r="Q10" s="7" t="str">
        <f ca="1"/>
        <v>Invalid_StorageID</v>
      </c>
      <c r="T10" s="7" t="str">
        <f ca="1"/>
        <v>Z8</v>
      </c>
      <c r="U10" s="7" t="str">
        <f ca="1"/>
        <v>0x2008</v>
      </c>
      <c r="V10" s="7" t="str">
        <f ca="1"/>
        <v>Invalid_StorageID</v>
      </c>
      <c r="X10" s="8" t="s">
        <v>231</v>
      </c>
      <c r="Y10" s="8" t="s">
        <v>231</v>
      </c>
      <c r="Z10" s="8" t="s">
        <v>231</v>
      </c>
      <c r="AA10" s="8" t="s">
        <v>231</v>
      </c>
      <c r="AB10" s="7" t="s">
        <v>231</v>
      </c>
      <c r="AC10" s="7" t="s">
        <v>231</v>
      </c>
      <c r="AD10" s="7" t="s">
        <v>231</v>
      </c>
      <c r="AE10" s="7" t="s">
        <v>231</v>
      </c>
      <c r="AF10" s="7" t="s">
        <v>231</v>
      </c>
      <c r="AG10" s="7" t="s">
        <v>231</v>
      </c>
      <c r="AH10" s="7" t="s">
        <v>231</v>
      </c>
      <c r="AI10" s="7" t="s">
        <v>231</v>
      </c>
      <c r="AJ10" s="7" t="s">
        <v>231</v>
      </c>
      <c r="AK10" s="7" t="s">
        <v>231</v>
      </c>
    </row>
    <row r="11" spans="1:37" x14ac:dyDescent="0.25">
      <c r="A11" s="13" t="str">
        <f ca="1"/>
        <v>0x2009</v>
      </c>
      <c r="B11" s="14" t="str">
        <f ca="1"/>
        <v>Invalid_Object_Handle</v>
      </c>
      <c r="D11" s="8" t="str">
        <f ca="1"/>
        <v>Invalid_Object_Handle</v>
      </c>
      <c r="E11" s="8" t="str">
        <f ca="1"/>
        <v>Invalid_Object_Handle</v>
      </c>
      <c r="F11" s="8" t="str">
        <f ca="1"/>
        <v>Invalid_Object_Handle</v>
      </c>
      <c r="G11" s="8" t="str">
        <f ca="1"/>
        <v>Invalid_Object_Handle</v>
      </c>
      <c r="H11" s="7" t="str">
        <f ca="1"/>
        <v>Invalid_Object_Handle</v>
      </c>
      <c r="I11" s="7" t="str">
        <f ca="1"/>
        <v>Invalid_Object_Handle</v>
      </c>
      <c r="J11" s="7" t="str">
        <f ca="1"/>
        <v>Invalid_Object_Handle</v>
      </c>
      <c r="K11" s="7" t="str">
        <f ca="1"/>
        <v>Invalid_Object_Handle</v>
      </c>
      <c r="L11" s="7" t="str">
        <f ca="1"/>
        <v>Invalid_Object_Handle</v>
      </c>
      <c r="M11" s="7" t="str">
        <f ca="1"/>
        <v>Invalid_Object_Handle</v>
      </c>
      <c r="N11" s="7" t="str">
        <f ca="1"/>
        <v>Invalid_Object_Handle</v>
      </c>
      <c r="O11" s="7" t="str">
        <f ca="1"/>
        <v>Invalid_Object_Handle</v>
      </c>
      <c r="P11" s="7" t="str">
        <f ca="1"/>
        <v>Invalid_Object_Handle</v>
      </c>
      <c r="Q11" s="7" t="str">
        <f ca="1"/>
        <v>Invalid_Object_Handle</v>
      </c>
      <c r="T11" s="7" t="str">
        <f ca="1"/>
        <v>Z8</v>
      </c>
      <c r="U11" s="7" t="str">
        <f ca="1"/>
        <v>0x2009</v>
      </c>
      <c r="V11" s="7" t="str">
        <f ca="1"/>
        <v>Invalid_Object_Handle</v>
      </c>
      <c r="X11" s="8" t="s">
        <v>232</v>
      </c>
      <c r="Y11" s="8" t="s">
        <v>232</v>
      </c>
      <c r="Z11" s="8" t="s">
        <v>232</v>
      </c>
      <c r="AA11" s="8" t="s">
        <v>232</v>
      </c>
      <c r="AB11" s="7" t="s">
        <v>232</v>
      </c>
      <c r="AC11" s="7" t="s">
        <v>232</v>
      </c>
      <c r="AD11" s="7" t="s">
        <v>232</v>
      </c>
      <c r="AE11" s="7" t="s">
        <v>232</v>
      </c>
      <c r="AF11" s="7" t="s">
        <v>232</v>
      </c>
      <c r="AG11" s="7" t="s">
        <v>232</v>
      </c>
      <c r="AH11" s="7" t="s">
        <v>232</v>
      </c>
      <c r="AI11" s="7" t="s">
        <v>232</v>
      </c>
      <c r="AJ11" s="7" t="s">
        <v>232</v>
      </c>
      <c r="AK11" s="7" t="s">
        <v>232</v>
      </c>
    </row>
    <row r="12" spans="1:37" x14ac:dyDescent="0.25">
      <c r="A12" s="13" t="str">
        <f ca="1"/>
        <v>0x200A</v>
      </c>
      <c r="B12" s="14" t="str">
        <f ca="1"/>
        <v>DeviceProp_Not_Supported</v>
      </c>
      <c r="D12" s="8" t="str">
        <f ca="1"/>
        <v>DeviceProp_Not_Supported</v>
      </c>
      <c r="E12" s="8" t="str">
        <f ca="1"/>
        <v>DeviceProp_Not_Supported</v>
      </c>
      <c r="F12" s="8" t="str">
        <f ca="1"/>
        <v>DeviceProp_Not_Supported</v>
      </c>
      <c r="G12" s="8" t="str">
        <f ca="1"/>
        <v>DeviceProp_Not_Supported</v>
      </c>
      <c r="H12" s="7" t="str">
        <f ca="1"/>
        <v>DeviceProp_Not_Supported</v>
      </c>
      <c r="I12" s="7" t="str">
        <f ca="1"/>
        <v>DeviceProp_Not_Supported</v>
      </c>
      <c r="J12" s="7" t="str">
        <f ca="1"/>
        <v>DeviceProp_Not_Supported</v>
      </c>
      <c r="K12" s="7" t="str">
        <f ca="1"/>
        <v>DeviceProp_Not_Supported</v>
      </c>
      <c r="L12" s="7" t="str">
        <f ca="1"/>
        <v>DeviceProp_Not_Supported</v>
      </c>
      <c r="M12" s="7" t="str">
        <f ca="1"/>
        <v>DeviceProp_Not_Supported</v>
      </c>
      <c r="N12" s="7" t="str">
        <f ca="1"/>
        <v>DeviceProp_Not_Supported</v>
      </c>
      <c r="O12" s="7" t="str">
        <f ca="1"/>
        <v>DeviceProp_Not_Supported</v>
      </c>
      <c r="P12" s="7" t="str">
        <f ca="1"/>
        <v>DeviceProp_Not_Supported</v>
      </c>
      <c r="Q12" s="7" t="str">
        <f ca="1"/>
        <v>DeviceProp_Not_Supported</v>
      </c>
      <c r="T12" s="7" t="str">
        <f ca="1"/>
        <v>Z8</v>
      </c>
      <c r="U12" s="7" t="str">
        <f ca="1"/>
        <v>0x200A</v>
      </c>
      <c r="V12" s="7" t="str">
        <f ca="1"/>
        <v>DeviceProp_Not_Supported</v>
      </c>
      <c r="X12" s="8" t="s">
        <v>233</v>
      </c>
      <c r="Y12" s="8" t="s">
        <v>233</v>
      </c>
      <c r="Z12" s="8" t="s">
        <v>233</v>
      </c>
      <c r="AA12" s="8" t="s">
        <v>233</v>
      </c>
      <c r="AB12" s="7" t="s">
        <v>233</v>
      </c>
      <c r="AC12" s="7" t="s">
        <v>233</v>
      </c>
      <c r="AD12" s="7" t="s">
        <v>233</v>
      </c>
      <c r="AE12" s="7" t="s">
        <v>233</v>
      </c>
      <c r="AF12" s="7" t="s">
        <v>233</v>
      </c>
      <c r="AG12" s="7" t="s">
        <v>233</v>
      </c>
      <c r="AH12" s="7" t="s">
        <v>233</v>
      </c>
      <c r="AI12" s="7" t="s">
        <v>233</v>
      </c>
      <c r="AJ12" s="7" t="s">
        <v>233</v>
      </c>
      <c r="AK12" s="7" t="s">
        <v>233</v>
      </c>
    </row>
    <row r="13" spans="1:37" x14ac:dyDescent="0.25">
      <c r="A13" s="13" t="str">
        <f ca="1"/>
        <v>0x200B</v>
      </c>
      <c r="B13" s="14" t="str">
        <f ca="1"/>
        <v>Invalid_ObjectFormatCode</v>
      </c>
      <c r="D13" s="8" t="str">
        <f ca="1"/>
        <v>Invalid_ObjectFormatCode</v>
      </c>
      <c r="E13" s="8" t="str">
        <f ca="1"/>
        <v>Invalid_ObjectFormatCode</v>
      </c>
      <c r="F13" s="8" t="str">
        <f ca="1"/>
        <v>Invalid_ObjectFormatCode</v>
      </c>
      <c r="G13" s="8" t="str">
        <f ca="1"/>
        <v>Invalid_ObjectFormatCode</v>
      </c>
      <c r="H13" s="7" t="str">
        <f ca="1"/>
        <v>Invalid_ObjectFormatCode</v>
      </c>
      <c r="I13" s="7" t="str">
        <f ca="1"/>
        <v>Invalid_ObjectFormatCode</v>
      </c>
      <c r="J13" s="7" t="str">
        <f ca="1"/>
        <v>Invalid_ObjectFormatCode</v>
      </c>
      <c r="K13" s="7" t="str">
        <f ca="1"/>
        <v>Invalid_ObjectFormatCode</v>
      </c>
      <c r="L13" s="7" t="str">
        <f ca="1"/>
        <v>Invalid_ObjectFormatCode</v>
      </c>
      <c r="M13" s="7" t="str">
        <f ca="1"/>
        <v>Invalid_ObjectFormatCode</v>
      </c>
      <c r="N13" s="7" t="str">
        <f ca="1"/>
        <v>Invalid_ObjectFormatCode</v>
      </c>
      <c r="O13" s="7" t="str">
        <f ca="1"/>
        <v>Invalid_ObjectFormatCode</v>
      </c>
      <c r="P13" s="7" t="str">
        <f ca="1"/>
        <v>Invalid_ObjectFormatCode</v>
      </c>
      <c r="Q13" s="7" t="str">
        <f ca="1"/>
        <v>Invalid_ObjectFormatCode</v>
      </c>
      <c r="T13" s="7" t="str">
        <f ca="1"/>
        <v>Z8</v>
      </c>
      <c r="U13" s="7" t="str">
        <f ca="1"/>
        <v>0x200B</v>
      </c>
      <c r="V13" s="7" t="str">
        <f ca="1"/>
        <v>Invalid_ObjectFormatCode</v>
      </c>
      <c r="X13" s="8" t="s">
        <v>234</v>
      </c>
      <c r="Y13" s="8" t="s">
        <v>234</v>
      </c>
      <c r="Z13" s="8" t="s">
        <v>234</v>
      </c>
      <c r="AA13" s="8" t="s">
        <v>234</v>
      </c>
      <c r="AB13" s="7" t="s">
        <v>234</v>
      </c>
      <c r="AC13" s="7" t="s">
        <v>234</v>
      </c>
      <c r="AD13" s="7" t="s">
        <v>234</v>
      </c>
      <c r="AE13" s="7" t="s">
        <v>234</v>
      </c>
      <c r="AF13" s="7" t="s">
        <v>234</v>
      </c>
      <c r="AG13" s="7" t="s">
        <v>234</v>
      </c>
      <c r="AH13" s="7" t="s">
        <v>234</v>
      </c>
      <c r="AI13" s="7" t="s">
        <v>234</v>
      </c>
      <c r="AJ13" s="7" t="s">
        <v>234</v>
      </c>
      <c r="AK13" s="7" t="s">
        <v>234</v>
      </c>
    </row>
    <row r="14" spans="1:37" x14ac:dyDescent="0.25">
      <c r="A14" s="13" t="str">
        <f ca="1"/>
        <v>0x200C</v>
      </c>
      <c r="B14" s="14" t="str">
        <f ca="1"/>
        <v>Store_Full</v>
      </c>
      <c r="D14" s="8" t="str">
        <f ca="1"/>
        <v>Store_Full</v>
      </c>
      <c r="E14" s="8" t="str">
        <f ca="1"/>
        <v>Store_Full</v>
      </c>
      <c r="F14" s="8" t="str">
        <f ca="1"/>
        <v>Store_Full</v>
      </c>
      <c r="G14" s="8" t="str">
        <f ca="1"/>
        <v>Store_Full</v>
      </c>
      <c r="H14" s="7" t="str">
        <f ca="1"/>
        <v>Store_Full</v>
      </c>
      <c r="I14" s="7" t="str">
        <f ca="1"/>
        <v>Store_Full</v>
      </c>
      <c r="J14" s="7" t="str">
        <f ca="1"/>
        <v>Store_Full</v>
      </c>
      <c r="K14" s="7" t="str">
        <f ca="1"/>
        <v>Store_Full</v>
      </c>
      <c r="L14" s="7" t="str">
        <f ca="1"/>
        <v>Store_Full</v>
      </c>
      <c r="M14" s="7" t="str">
        <f ca="1"/>
        <v>Store_Full</v>
      </c>
      <c r="N14" s="7" t="str">
        <f ca="1"/>
        <v>Store_Full</v>
      </c>
      <c r="O14" s="7" t="str">
        <f ca="1"/>
        <v>Store_Full</v>
      </c>
      <c r="P14" s="7" t="str">
        <f ca="1"/>
        <v>Store_Full</v>
      </c>
      <c r="Q14" s="7" t="str">
        <f ca="1"/>
        <v>Store_Full</v>
      </c>
      <c r="T14" s="7" t="str">
        <f ca="1"/>
        <v>Z8</v>
      </c>
      <c r="U14" s="7" t="str">
        <f ca="1"/>
        <v>0x200C</v>
      </c>
      <c r="V14" s="7" t="str">
        <f ca="1"/>
        <v>Store_Full</v>
      </c>
      <c r="X14" s="8" t="s">
        <v>235</v>
      </c>
      <c r="Y14" s="8" t="s">
        <v>235</v>
      </c>
      <c r="Z14" s="8" t="s">
        <v>235</v>
      </c>
      <c r="AA14" s="8" t="s">
        <v>235</v>
      </c>
      <c r="AB14" s="7" t="s">
        <v>235</v>
      </c>
      <c r="AC14" s="7" t="s">
        <v>235</v>
      </c>
      <c r="AD14" s="7" t="s">
        <v>235</v>
      </c>
      <c r="AE14" s="7" t="s">
        <v>235</v>
      </c>
      <c r="AF14" s="7" t="s">
        <v>235</v>
      </c>
      <c r="AG14" s="7" t="s">
        <v>235</v>
      </c>
      <c r="AH14" s="7" t="s">
        <v>235</v>
      </c>
      <c r="AI14" s="7" t="s">
        <v>235</v>
      </c>
      <c r="AJ14" s="7" t="s">
        <v>235</v>
      </c>
      <c r="AK14" s="7" t="s">
        <v>235</v>
      </c>
    </row>
    <row r="15" spans="1:37" x14ac:dyDescent="0.25">
      <c r="A15" s="13" t="str">
        <f ca="1"/>
        <v>0x200D</v>
      </c>
      <c r="B15" s="14" t="str">
        <f ca="1"/>
        <v>Object_Write_Protect</v>
      </c>
      <c r="D15" s="8" t="str">
        <f ca="1"/>
        <v>Object_Write_Protect</v>
      </c>
      <c r="E15" s="8" t="str">
        <f ca="1"/>
        <v>Object_Write_Protect</v>
      </c>
      <c r="F15" s="8" t="str">
        <f ca="1"/>
        <v>Object_Write_Protect</v>
      </c>
      <c r="G15" s="8" t="str">
        <f ca="1"/>
        <v>Object_Write_Protect</v>
      </c>
      <c r="H15" s="7" t="str">
        <f ca="1"/>
        <v>Object_Write_Protect</v>
      </c>
      <c r="I15" s="7" t="str">
        <f ca="1"/>
        <v>Object_Write_Protect</v>
      </c>
      <c r="J15" s="7" t="str">
        <f ca="1"/>
        <v>Object_Write_Protect</v>
      </c>
      <c r="K15" s="7" t="str">
        <f ca="1"/>
        <v>Object_Write_Protect</v>
      </c>
      <c r="L15" s="7" t="str">
        <f ca="1"/>
        <v>Object_Write_Protect</v>
      </c>
      <c r="M15" s="7" t="str">
        <f ca="1"/>
        <v>Object_Write_Protect</v>
      </c>
      <c r="N15" s="7" t="str">
        <f ca="1"/>
        <v>Object_Write_Protect</v>
      </c>
      <c r="O15" s="7" t="str">
        <f ca="1"/>
        <v>Object_Write_Protect</v>
      </c>
      <c r="P15" s="7" t="str">
        <f ca="1"/>
        <v>Object_Write_Protect</v>
      </c>
      <c r="Q15" s="7" t="str">
        <f ca="1"/>
        <v>Object_Write_Protect</v>
      </c>
      <c r="T15" s="7" t="str">
        <f ca="1"/>
        <v>Z8</v>
      </c>
      <c r="U15" s="7" t="str">
        <f ca="1"/>
        <v>0x200D</v>
      </c>
      <c r="V15" s="7" t="str">
        <f ca="1"/>
        <v>Object_Write_Protect</v>
      </c>
      <c r="X15" s="8" t="s">
        <v>236</v>
      </c>
      <c r="Y15" s="8" t="s">
        <v>236</v>
      </c>
      <c r="Z15" s="8" t="s">
        <v>236</v>
      </c>
      <c r="AA15" s="8" t="s">
        <v>236</v>
      </c>
      <c r="AB15" s="7" t="s">
        <v>236</v>
      </c>
      <c r="AC15" s="7" t="s">
        <v>236</v>
      </c>
      <c r="AD15" s="7" t="s">
        <v>236</v>
      </c>
      <c r="AE15" s="7" t="s">
        <v>236</v>
      </c>
      <c r="AF15" s="7" t="s">
        <v>236</v>
      </c>
      <c r="AG15" s="7" t="s">
        <v>236</v>
      </c>
      <c r="AH15" s="7" t="s">
        <v>236</v>
      </c>
      <c r="AI15" s="7" t="s">
        <v>236</v>
      </c>
      <c r="AJ15" s="7" t="s">
        <v>236</v>
      </c>
      <c r="AK15" s="7" t="s">
        <v>236</v>
      </c>
    </row>
    <row r="16" spans="1:37" x14ac:dyDescent="0.25">
      <c r="A16" s="13" t="str">
        <f ca="1"/>
        <v>0x200E</v>
      </c>
      <c r="B16" s="14" t="str">
        <f ca="1"/>
        <v>Store_Read_Only</v>
      </c>
      <c r="D16" s="8" t="str">
        <f ca="1"/>
        <v>Store_Read_Only</v>
      </c>
      <c r="E16" s="8" t="str">
        <f ca="1"/>
        <v>Store_Read_Only</v>
      </c>
      <c r="F16" s="8" t="str">
        <f ca="1"/>
        <v>Store_Read_Only</v>
      </c>
      <c r="G16" s="8" t="str">
        <f ca="1"/>
        <v>Store_Read_Only</v>
      </c>
      <c r="H16" s="7" t="str">
        <f ca="1"/>
        <v>Store_Read_Only</v>
      </c>
      <c r="I16" s="7" t="str">
        <f ca="1"/>
        <v>Store_Read_Only</v>
      </c>
      <c r="J16" s="7" t="str">
        <f ca="1"/>
        <v>Store_Read_Only</v>
      </c>
      <c r="K16" s="7" t="str">
        <f ca="1"/>
        <v>Store_Read_Only</v>
      </c>
      <c r="L16" s="7" t="str">
        <f ca="1"/>
        <v>Store_Read_Only</v>
      </c>
      <c r="M16" s="7" t="str">
        <f ca="1"/>
        <v>Store_Read_Only</v>
      </c>
      <c r="N16" s="7" t="str">
        <f ca="1"/>
        <v>Store_Read_Only</v>
      </c>
      <c r="O16" s="7" t="str">
        <f ca="1"/>
        <v>Store_Read_Only</v>
      </c>
      <c r="P16" s="7" t="str">
        <f ca="1"/>
        <v>Store_Read_Only</v>
      </c>
      <c r="Q16" s="7" t="str">
        <f ca="1"/>
        <v>Store_Read_Only</v>
      </c>
      <c r="T16" s="7" t="str">
        <f ca="1"/>
        <v>Z8</v>
      </c>
      <c r="U16" s="7" t="str">
        <f ca="1"/>
        <v>0x200E</v>
      </c>
      <c r="V16" s="7" t="str">
        <f ca="1"/>
        <v>Store_Read_Only</v>
      </c>
      <c r="X16" s="8" t="s">
        <v>237</v>
      </c>
      <c r="Y16" s="8" t="s">
        <v>237</v>
      </c>
      <c r="Z16" s="8" t="s">
        <v>237</v>
      </c>
      <c r="AA16" s="8" t="s">
        <v>237</v>
      </c>
      <c r="AB16" s="7" t="s">
        <v>237</v>
      </c>
      <c r="AC16" s="7" t="s">
        <v>237</v>
      </c>
      <c r="AD16" s="7" t="s">
        <v>237</v>
      </c>
      <c r="AE16" s="7" t="s">
        <v>237</v>
      </c>
      <c r="AF16" s="7" t="s">
        <v>237</v>
      </c>
      <c r="AG16" s="7" t="s">
        <v>237</v>
      </c>
      <c r="AH16" s="7" t="s">
        <v>237</v>
      </c>
      <c r="AI16" s="7" t="s">
        <v>237</v>
      </c>
      <c r="AJ16" s="7" t="s">
        <v>237</v>
      </c>
      <c r="AK16" s="7" t="s">
        <v>237</v>
      </c>
    </row>
    <row r="17" spans="1:37" x14ac:dyDescent="0.25">
      <c r="A17" s="13" t="str">
        <f ca="1"/>
        <v>0x200F</v>
      </c>
      <c r="B17" s="14" t="str">
        <f ca="1"/>
        <v>Access_Denied</v>
      </c>
      <c r="D17" s="8" t="str">
        <f ca="1"/>
        <v>Access_Denied</v>
      </c>
      <c r="E17" s="8" t="str">
        <f ca="1"/>
        <v>Access_Denied</v>
      </c>
      <c r="F17" s="8" t="str">
        <f ca="1"/>
        <v>Access_Denied</v>
      </c>
      <c r="G17" s="8" t="str">
        <f ca="1"/>
        <v>Access_Denied</v>
      </c>
      <c r="H17" s="7" t="str">
        <f ca="1"/>
        <v>Access_Denied</v>
      </c>
      <c r="I17" s="7" t="str">
        <f ca="1"/>
        <v>Access_Denied</v>
      </c>
      <c r="J17" s="7" t="str">
        <f ca="1"/>
        <v>Access_Denied</v>
      </c>
      <c r="K17" s="7" t="str">
        <f ca="1"/>
        <v>Access_Denied</v>
      </c>
      <c r="L17" s="7" t="str">
        <f ca="1"/>
        <v>Access_Denied</v>
      </c>
      <c r="M17" s="7" t="str">
        <f ca="1"/>
        <v>Access_Denied</v>
      </c>
      <c r="N17" s="7" t="str">
        <f ca="1"/>
        <v>Access_Denied</v>
      </c>
      <c r="O17" s="7" t="str">
        <f ca="1"/>
        <v>Access_Denied</v>
      </c>
      <c r="P17" s="7" t="str">
        <f ca="1"/>
        <v>Access_Denied</v>
      </c>
      <c r="Q17" s="7" t="str">
        <f ca="1"/>
        <v>Access_Denied</v>
      </c>
      <c r="T17" s="7" t="str">
        <f ca="1"/>
        <v>Z8</v>
      </c>
      <c r="U17" s="7" t="str">
        <f ca="1"/>
        <v>0x200F</v>
      </c>
      <c r="V17" s="7" t="str">
        <f ca="1"/>
        <v>Access_Denied</v>
      </c>
      <c r="X17" s="8" t="s">
        <v>238</v>
      </c>
      <c r="Y17" s="8" t="s">
        <v>238</v>
      </c>
      <c r="Z17" s="8" t="s">
        <v>238</v>
      </c>
      <c r="AA17" s="8" t="s">
        <v>238</v>
      </c>
      <c r="AB17" s="7" t="s">
        <v>238</v>
      </c>
      <c r="AC17" s="7" t="s">
        <v>238</v>
      </c>
      <c r="AD17" s="7" t="s">
        <v>238</v>
      </c>
      <c r="AE17" s="7" t="s">
        <v>238</v>
      </c>
      <c r="AF17" s="7" t="s">
        <v>238</v>
      </c>
      <c r="AG17" s="7" t="s">
        <v>238</v>
      </c>
      <c r="AH17" s="7" t="s">
        <v>238</v>
      </c>
      <c r="AI17" s="7" t="s">
        <v>238</v>
      </c>
      <c r="AJ17" s="7" t="s">
        <v>238</v>
      </c>
      <c r="AK17" s="7" t="s">
        <v>238</v>
      </c>
    </row>
    <row r="18" spans="1:37" x14ac:dyDescent="0.25">
      <c r="A18" s="13" t="str">
        <f ca="1"/>
        <v>0x2010</v>
      </c>
      <c r="B18" s="14" t="str">
        <f ca="1"/>
        <v>No_Thumbnail_Present</v>
      </c>
      <c r="D18" s="8" t="str">
        <f ca="1"/>
        <v>No_Thumbnail_Present</v>
      </c>
      <c r="E18" s="8" t="str">
        <f ca="1"/>
        <v>No_Thumbnail_Present</v>
      </c>
      <c r="F18" s="8" t="str">
        <f ca="1"/>
        <v>No_Thumbnail_Present</v>
      </c>
      <c r="G18" s="8" t="str">
        <f ca="1"/>
        <v>No_Thumbnail_Present</v>
      </c>
      <c r="H18" s="7" t="str">
        <f ca="1"/>
        <v>No_Thumbnail_Present</v>
      </c>
      <c r="I18" s="7" t="str">
        <f ca="1"/>
        <v>No_Thumbnail_Present</v>
      </c>
      <c r="J18" s="7" t="str">
        <f ca="1"/>
        <v>No_Thumbnail_Present</v>
      </c>
      <c r="K18" s="7" t="str">
        <f ca="1"/>
        <v>No_Thumbnail_Present</v>
      </c>
      <c r="L18" s="7" t="str">
        <f ca="1"/>
        <v>No_Thumbnail_Present</v>
      </c>
      <c r="M18" s="7" t="str">
        <f ca="1"/>
        <v>No_Thumbnail_Present</v>
      </c>
      <c r="N18" s="7" t="str">
        <f ca="1"/>
        <v>No_Thumbnail_Present</v>
      </c>
      <c r="O18" s="7" t="str">
        <f ca="1"/>
        <v>No_Thumbnail_Present</v>
      </c>
      <c r="P18" s="7" t="str">
        <f ca="1"/>
        <v>No_Thumbnail_Present</v>
      </c>
      <c r="Q18" s="7" t="str">
        <f ca="1"/>
        <v>No_Thumbnail_Present</v>
      </c>
      <c r="T18" s="7" t="str">
        <f ca="1"/>
        <v>Z8</v>
      </c>
      <c r="U18" s="7" t="str">
        <f ca="1"/>
        <v>0x2010</v>
      </c>
      <c r="V18" s="7" t="str">
        <f ca="1"/>
        <v>No_Thumbnail_Present</v>
      </c>
      <c r="X18" s="8" t="s">
        <v>239</v>
      </c>
      <c r="Y18" s="8" t="s">
        <v>239</v>
      </c>
      <c r="Z18" s="8" t="s">
        <v>239</v>
      </c>
      <c r="AA18" s="8" t="s">
        <v>239</v>
      </c>
      <c r="AB18" s="7" t="s">
        <v>239</v>
      </c>
      <c r="AC18" s="7" t="s">
        <v>239</v>
      </c>
      <c r="AD18" s="7" t="s">
        <v>239</v>
      </c>
      <c r="AE18" s="7" t="s">
        <v>239</v>
      </c>
      <c r="AF18" s="7" t="s">
        <v>239</v>
      </c>
      <c r="AG18" s="7" t="s">
        <v>239</v>
      </c>
      <c r="AH18" s="7" t="s">
        <v>239</v>
      </c>
      <c r="AI18" s="7" t="s">
        <v>239</v>
      </c>
      <c r="AJ18" s="7" t="s">
        <v>239</v>
      </c>
      <c r="AK18" s="7" t="s">
        <v>239</v>
      </c>
    </row>
    <row r="19" spans="1:37" x14ac:dyDescent="0.25">
      <c r="A19" s="13" t="str">
        <f ca="1"/>
        <v>0x2012</v>
      </c>
      <c r="B19" s="14" t="str">
        <f ca="1"/>
        <v>Partial_Deletion</v>
      </c>
      <c r="D19" s="8" t="str">
        <f ca="1"/>
        <v>Partial_Deletion</v>
      </c>
      <c r="E19" s="8" t="str">
        <f ca="1"/>
        <v>Partial_Deletion</v>
      </c>
      <c r="F19" s="8" t="str">
        <f ca="1"/>
        <v>Partial_Deletion</v>
      </c>
      <c r="G19" s="8" t="str">
        <f ca="1"/>
        <v>Partial_Deletion</v>
      </c>
      <c r="H19" s="7" t="str">
        <f ca="1"/>
        <v>Partial_Deletion</v>
      </c>
      <c r="I19" s="7" t="str">
        <f ca="1"/>
        <v>Partial_Deletion</v>
      </c>
      <c r="J19" s="7" t="str">
        <f ca="1"/>
        <v>Partial_Deletion</v>
      </c>
      <c r="K19" s="7" t="str">
        <f ca="1"/>
        <v>Partial_Deletion</v>
      </c>
      <c r="L19" s="7" t="str">
        <f ca="1"/>
        <v>Partial_Deletion</v>
      </c>
      <c r="M19" s="7" t="str">
        <f ca="1"/>
        <v>Partial_Deletion</v>
      </c>
      <c r="N19" s="7" t="str">
        <f ca="1"/>
        <v>Partial_Deletion</v>
      </c>
      <c r="O19" s="7" t="str">
        <f ca="1"/>
        <v>Partial_Deletion</v>
      </c>
      <c r="P19" s="7" t="str">
        <f ca="1"/>
        <v>Partial_Deletion</v>
      </c>
      <c r="Q19" s="7" t="str">
        <f ca="1"/>
        <v>Partial_Deletion</v>
      </c>
      <c r="T19" s="7" t="str">
        <f ca="1"/>
        <v>Z8</v>
      </c>
      <c r="U19" s="7" t="str">
        <f ca="1"/>
        <v>0x2012</v>
      </c>
      <c r="V19" s="7" t="str">
        <f ca="1"/>
        <v>Partial_Deletion</v>
      </c>
      <c r="X19" s="8" t="s">
        <v>240</v>
      </c>
      <c r="Y19" s="8" t="s">
        <v>240</v>
      </c>
      <c r="Z19" s="8" t="s">
        <v>240</v>
      </c>
      <c r="AA19" s="8" t="s">
        <v>240</v>
      </c>
      <c r="AB19" s="7" t="s">
        <v>240</v>
      </c>
      <c r="AC19" s="7" t="s">
        <v>240</v>
      </c>
      <c r="AD19" s="7" t="s">
        <v>240</v>
      </c>
      <c r="AE19" s="7" t="s">
        <v>240</v>
      </c>
      <c r="AF19" s="7" t="s">
        <v>240</v>
      </c>
      <c r="AG19" s="7" t="s">
        <v>240</v>
      </c>
      <c r="AH19" s="7" t="s">
        <v>240</v>
      </c>
      <c r="AI19" s="7" t="s">
        <v>240</v>
      </c>
      <c r="AJ19" s="7" t="s">
        <v>240</v>
      </c>
      <c r="AK19" s="7" t="s">
        <v>240</v>
      </c>
    </row>
    <row r="20" spans="1:37" x14ac:dyDescent="0.25">
      <c r="A20" s="13" t="str">
        <f ca="1"/>
        <v>0x2013</v>
      </c>
      <c r="B20" s="14" t="str">
        <f ca="1"/>
        <v>Store_Not_Available</v>
      </c>
      <c r="D20" s="8" t="str">
        <f ca="1"/>
        <v>Store_Not_Available</v>
      </c>
      <c r="E20" s="8" t="str">
        <f ca="1"/>
        <v>Store_Not_Available</v>
      </c>
      <c r="F20" s="8" t="str">
        <f ca="1"/>
        <v>Store_Not_Available</v>
      </c>
      <c r="G20" s="8" t="str">
        <f ca="1"/>
        <v>Store_Not_Available</v>
      </c>
      <c r="H20" s="7" t="str">
        <f ca="1"/>
        <v>Store_Not_Available</v>
      </c>
      <c r="I20" s="7" t="str">
        <f ca="1"/>
        <v>Store_Not_Available</v>
      </c>
      <c r="J20" s="7" t="str">
        <f ca="1"/>
        <v>Store_Not_Available</v>
      </c>
      <c r="K20" s="7" t="str">
        <f ca="1"/>
        <v>Store_Not_Available</v>
      </c>
      <c r="L20" s="7" t="str">
        <f ca="1"/>
        <v>Store_Not_Available</v>
      </c>
      <c r="M20" s="7" t="str">
        <f ca="1"/>
        <v>Store_Not_Available</v>
      </c>
      <c r="N20" s="7" t="str">
        <f ca="1"/>
        <v>Store_Not_Available</v>
      </c>
      <c r="O20" s="7" t="str">
        <f ca="1"/>
        <v>Store_Not_Available</v>
      </c>
      <c r="P20" s="7" t="str">
        <f ca="1"/>
        <v>Store_Not_Available</v>
      </c>
      <c r="Q20" s="7" t="str">
        <f ca="1"/>
        <v>Store_Not_Available</v>
      </c>
      <c r="T20" s="7" t="str">
        <f ca="1"/>
        <v>Z8</v>
      </c>
      <c r="U20" s="7" t="str">
        <f ca="1"/>
        <v>0x2013</v>
      </c>
      <c r="V20" s="7" t="str">
        <f ca="1"/>
        <v>Store_Not_Available</v>
      </c>
      <c r="X20" s="8" t="s">
        <v>241</v>
      </c>
      <c r="Y20" s="8" t="s">
        <v>241</v>
      </c>
      <c r="Z20" s="8" t="s">
        <v>241</v>
      </c>
      <c r="AA20" s="8" t="s">
        <v>241</v>
      </c>
      <c r="AB20" s="7" t="s">
        <v>241</v>
      </c>
      <c r="AC20" s="7" t="s">
        <v>241</v>
      </c>
      <c r="AD20" s="7" t="s">
        <v>241</v>
      </c>
      <c r="AE20" s="7" t="s">
        <v>241</v>
      </c>
      <c r="AF20" s="7" t="s">
        <v>241</v>
      </c>
      <c r="AG20" s="7" t="s">
        <v>241</v>
      </c>
      <c r="AH20" s="7" t="s">
        <v>241</v>
      </c>
      <c r="AI20" s="7" t="s">
        <v>241</v>
      </c>
      <c r="AJ20" s="7" t="s">
        <v>241</v>
      </c>
      <c r="AK20" s="7" t="s">
        <v>241</v>
      </c>
    </row>
    <row r="21" spans="1:37" x14ac:dyDescent="0.25">
      <c r="A21" s="13" t="str">
        <f ca="1"/>
        <v>0x2014</v>
      </c>
      <c r="B21" s="14" t="str">
        <f ca="1"/>
        <v>Specification_By_Format_Unsupported</v>
      </c>
      <c r="D21" s="8" t="str">
        <f ca="1"/>
        <v>Specification_By_Format_Unsupported</v>
      </c>
      <c r="E21" s="8" t="str">
        <f ca="1"/>
        <v>Specification_By_Format_Unsupported</v>
      </c>
      <c r="F21" s="8" t="str">
        <f ca="1"/>
        <v>Specification_By_Format_Unsupported</v>
      </c>
      <c r="G21" s="8" t="str">
        <f ca="1"/>
        <v>Specification_By_Format_Unsupported</v>
      </c>
      <c r="H21" s="7" t="str">
        <f ca="1"/>
        <v>Specification_By_Format_Unsupported</v>
      </c>
      <c r="I21" s="7" t="str">
        <f ca="1"/>
        <v>Specification_By_Format_Unsupported</v>
      </c>
      <c r="J21" s="7" t="str">
        <f ca="1"/>
        <v>Specification_By_Format_Unsupported</v>
      </c>
      <c r="K21" s="7" t="str">
        <f ca="1"/>
        <v>Specification_By_Format_Unsupported</v>
      </c>
      <c r="L21" s="7" t="str">
        <f ca="1"/>
        <v>Specification_By_Format_Unsupported</v>
      </c>
      <c r="M21" s="7" t="str">
        <f ca="1"/>
        <v>Specification_By_Format_Unsupported</v>
      </c>
      <c r="N21" s="7" t="str">
        <f ca="1"/>
        <v>Specification_By_Format_Unsupported</v>
      </c>
      <c r="O21" s="7" t="str">
        <f ca="1"/>
        <v>Specification_By_Format_Unsupported</v>
      </c>
      <c r="P21" s="7" t="str">
        <f ca="1"/>
        <v>Specification_By_Format_Unsupported</v>
      </c>
      <c r="Q21" s="7" t="str">
        <f ca="1"/>
        <v>Specification_By_Format_Unsupported</v>
      </c>
      <c r="T21" s="7" t="str">
        <f ca="1"/>
        <v>Z8</v>
      </c>
      <c r="U21" s="7" t="str">
        <f ca="1"/>
        <v>0x2014</v>
      </c>
      <c r="V21" s="7" t="str">
        <f ca="1"/>
        <v>Specification_By_Format_Unsupported</v>
      </c>
      <c r="X21" s="8" t="s">
        <v>242</v>
      </c>
      <c r="Y21" s="8" t="s">
        <v>242</v>
      </c>
      <c r="Z21" s="8" t="s">
        <v>242</v>
      </c>
      <c r="AA21" s="8" t="s">
        <v>242</v>
      </c>
      <c r="AB21" s="7" t="s">
        <v>242</v>
      </c>
      <c r="AC21" s="7" t="s">
        <v>242</v>
      </c>
      <c r="AD21" s="7" t="s">
        <v>242</v>
      </c>
      <c r="AE21" s="7" t="s">
        <v>242</v>
      </c>
      <c r="AF21" s="7" t="s">
        <v>242</v>
      </c>
      <c r="AG21" s="7" t="s">
        <v>242</v>
      </c>
      <c r="AH21" s="7" t="s">
        <v>242</v>
      </c>
      <c r="AI21" s="7" t="s">
        <v>242</v>
      </c>
      <c r="AJ21" s="7" t="s">
        <v>242</v>
      </c>
      <c r="AK21" s="7" t="s">
        <v>242</v>
      </c>
    </row>
    <row r="22" spans="1:37" x14ac:dyDescent="0.25">
      <c r="A22" s="13" t="str">
        <f ca="1"/>
        <v>0x2015</v>
      </c>
      <c r="B22" s="14" t="str">
        <f ca="1"/>
        <v>No_Valid_ObjectInfo</v>
      </c>
      <c r="D22" s="8" t="str">
        <f ca="1"/>
        <v>No_Valid_ObjectInfo</v>
      </c>
      <c r="E22" s="8" t="str">
        <f ca="1"/>
        <v>No_Valid_ObjectInfo</v>
      </c>
      <c r="F22" s="8" t="str">
        <f ca="1"/>
        <v>No_Valid_ObjectInfo</v>
      </c>
      <c r="G22" s="8" t="str">
        <f ca="1"/>
        <v>No_Valid_ObjectInfo</v>
      </c>
      <c r="H22" s="7" t="str">
        <f ca="1"/>
        <v>No_Valid_ObjectInfo</v>
      </c>
      <c r="I22" s="7" t="str">
        <f ca="1"/>
        <v>No_Valid_ObjectInfo</v>
      </c>
      <c r="J22" s="7" t="str">
        <f ca="1"/>
        <v>No_Valid_ObjectInfo</v>
      </c>
      <c r="K22" s="7" t="str">
        <f ca="1"/>
        <v>No_Valid_ObjectInfo</v>
      </c>
      <c r="L22" s="7" t="str">
        <f ca="1"/>
        <v>No_Valid_ObjectInfo</v>
      </c>
      <c r="M22" s="7" t="str">
        <f ca="1"/>
        <v>No_Valid_ObjectInfo</v>
      </c>
      <c r="N22" s="7" t="str">
        <f ca="1"/>
        <v>No_Valid_ObjectInfo</v>
      </c>
      <c r="O22" s="7" t="str">
        <f ca="1"/>
        <v>No_Valid_ObjectInfo</v>
      </c>
      <c r="P22" s="7" t="str">
        <f ca="1"/>
        <v>No_Valid_ObjectInfo</v>
      </c>
      <c r="Q22" s="7" t="str">
        <f ca="1"/>
        <v>No_Valid_ObjectInfo</v>
      </c>
      <c r="T22" s="7" t="str">
        <f ca="1"/>
        <v>Z8</v>
      </c>
      <c r="U22" s="7" t="str">
        <f ca="1"/>
        <v>0x2015</v>
      </c>
      <c r="V22" s="7" t="str">
        <f ca="1"/>
        <v>No_Valid_ObjectInfo</v>
      </c>
      <c r="X22" s="8" t="s">
        <v>243</v>
      </c>
      <c r="Y22" s="8" t="s">
        <v>243</v>
      </c>
      <c r="Z22" s="8" t="s">
        <v>243</v>
      </c>
      <c r="AA22" s="8" t="s">
        <v>243</v>
      </c>
      <c r="AB22" s="7" t="s">
        <v>243</v>
      </c>
      <c r="AC22" s="7" t="s">
        <v>243</v>
      </c>
      <c r="AD22" s="7" t="s">
        <v>243</v>
      </c>
      <c r="AE22" s="7" t="s">
        <v>243</v>
      </c>
      <c r="AF22" s="7" t="s">
        <v>243</v>
      </c>
      <c r="AG22" s="7" t="s">
        <v>243</v>
      </c>
      <c r="AH22" s="7" t="s">
        <v>243</v>
      </c>
      <c r="AI22" s="7" t="s">
        <v>243</v>
      </c>
      <c r="AJ22" s="7" t="s">
        <v>243</v>
      </c>
      <c r="AK22" s="7" t="s">
        <v>243</v>
      </c>
    </row>
    <row r="23" spans="1:37" x14ac:dyDescent="0.25">
      <c r="A23" s="13" t="str">
        <f ca="1"/>
        <v>0x2018</v>
      </c>
      <c r="B23" s="14" t="str">
        <f ca="1"/>
        <v>Capture_Already_Terminated</v>
      </c>
      <c r="D23" s="8" t="str">
        <f ca="1"/>
        <v>Capture_Already_Terminated</v>
      </c>
      <c r="E23" s="8" t="str">
        <f ca="1"/>
        <v>Capture_Already_Terminated</v>
      </c>
      <c r="F23" s="8" t="str">
        <f ca="1"/>
        <v/>
      </c>
      <c r="G23" s="8" t="str">
        <f ca="1"/>
        <v/>
      </c>
      <c r="H23" s="7" t="str">
        <f ca="1"/>
        <v/>
      </c>
      <c r="I23" s="7" t="str">
        <f ca="1"/>
        <v/>
      </c>
      <c r="J23" s="7" t="str">
        <f ca="1"/>
        <v/>
      </c>
      <c r="K23" s="7" t="str">
        <f ca="1"/>
        <v/>
      </c>
      <c r="L23" s="7" t="str">
        <f ca="1"/>
        <v/>
      </c>
      <c r="M23" s="7" t="str">
        <f ca="1"/>
        <v/>
      </c>
      <c r="N23" s="7" t="str">
        <f ca="1"/>
        <v/>
      </c>
      <c r="O23" s="7" t="str">
        <f ca="1"/>
        <v/>
      </c>
      <c r="P23" s="7" t="str">
        <f ca="1"/>
        <v/>
      </c>
      <c r="Q23" s="7" t="str">
        <f ca="1"/>
        <v/>
      </c>
      <c r="T23" s="7" t="str">
        <f ca="1"/>
        <v>Z8</v>
      </c>
      <c r="U23" s="7" t="str">
        <f ca="1"/>
        <v>0x2018</v>
      </c>
      <c r="V23" s="7" t="str">
        <f ca="1"/>
        <v>Capture_Already_Terminated</v>
      </c>
      <c r="X23" s="8" t="s">
        <v>244</v>
      </c>
      <c r="Y23" s="8" t="s">
        <v>244</v>
      </c>
      <c r="Z23" s="8" t="s">
        <v>244</v>
      </c>
      <c r="AA23" s="8" t="s">
        <v>244</v>
      </c>
      <c r="AB23" s="7" t="s">
        <v>244</v>
      </c>
      <c r="AC23" s="7" t="s">
        <v>244</v>
      </c>
      <c r="AD23" s="7" t="s">
        <v>244</v>
      </c>
      <c r="AE23" s="7" t="s">
        <v>244</v>
      </c>
      <c r="AF23" s="7" t="s">
        <v>244</v>
      </c>
      <c r="AG23" s="7" t="s">
        <v>244</v>
      </c>
      <c r="AH23" s="7" t="s">
        <v>244</v>
      </c>
      <c r="AI23" s="7" t="s">
        <v>244</v>
      </c>
      <c r="AJ23" s="7" t="s">
        <v>244</v>
      </c>
      <c r="AK23" s="7" t="s">
        <v>244</v>
      </c>
    </row>
    <row r="24" spans="1:37" x14ac:dyDescent="0.25">
      <c r="A24" s="13" t="str">
        <f ca="1"/>
        <v>0x2019</v>
      </c>
      <c r="B24" s="14" t="str">
        <f ca="1"/>
        <v>Device_Busy</v>
      </c>
      <c r="D24" s="8" t="str">
        <f ca="1"/>
        <v>Device_Busy</v>
      </c>
      <c r="E24" s="8" t="str">
        <f ca="1"/>
        <v>Device_Busy</v>
      </c>
      <c r="F24" s="8" t="str">
        <f ca="1"/>
        <v>Device_Busy</v>
      </c>
      <c r="G24" s="8" t="str">
        <f ca="1"/>
        <v>Device_Busy</v>
      </c>
      <c r="H24" s="7" t="str">
        <f ca="1"/>
        <v>Device_Busy</v>
      </c>
      <c r="I24" s="7" t="str">
        <f ca="1"/>
        <v>Device_Busy</v>
      </c>
      <c r="J24" s="7" t="str">
        <f ca="1"/>
        <v>Device_Busy</v>
      </c>
      <c r="K24" s="7" t="str">
        <f ca="1"/>
        <v>Device_Busy</v>
      </c>
      <c r="L24" s="7" t="str">
        <f ca="1"/>
        <v>Device_Busy</v>
      </c>
      <c r="M24" s="7" t="str">
        <f ca="1"/>
        <v>Device_Busy</v>
      </c>
      <c r="N24" s="7" t="str">
        <f ca="1"/>
        <v>Device_Busy</v>
      </c>
      <c r="O24" s="7" t="str">
        <f ca="1"/>
        <v>Device_Busy</v>
      </c>
      <c r="P24" s="7" t="str">
        <f ca="1"/>
        <v>Device_Busy</v>
      </c>
      <c r="Q24" s="7" t="str">
        <f ca="1"/>
        <v>Device_Busy</v>
      </c>
      <c r="T24" s="7" t="str">
        <f ca="1"/>
        <v>Z8</v>
      </c>
      <c r="U24" s="7" t="str">
        <f ca="1"/>
        <v>0x2019</v>
      </c>
      <c r="V24" s="7" t="str">
        <f ca="1"/>
        <v>Device_Busy</v>
      </c>
      <c r="X24" s="8" t="s">
        <v>245</v>
      </c>
      <c r="Y24" s="8" t="s">
        <v>245</v>
      </c>
      <c r="Z24" s="8" t="s">
        <v>245</v>
      </c>
      <c r="AA24" s="8" t="s">
        <v>245</v>
      </c>
      <c r="AB24" s="7" t="s">
        <v>245</v>
      </c>
      <c r="AC24" s="7" t="s">
        <v>245</v>
      </c>
      <c r="AD24" s="7" t="s">
        <v>245</v>
      </c>
      <c r="AE24" s="7" t="s">
        <v>245</v>
      </c>
      <c r="AF24" s="7" t="s">
        <v>245</v>
      </c>
      <c r="AG24" s="7" t="s">
        <v>245</v>
      </c>
      <c r="AH24" s="7" t="s">
        <v>245</v>
      </c>
      <c r="AI24" s="7" t="s">
        <v>245</v>
      </c>
      <c r="AJ24" s="7" t="s">
        <v>245</v>
      </c>
      <c r="AK24" s="7" t="s">
        <v>245</v>
      </c>
    </row>
    <row r="25" spans="1:37" x14ac:dyDescent="0.25">
      <c r="A25" s="13" t="str">
        <f ca="1"/>
        <v>0x201A</v>
      </c>
      <c r="B25" s="14" t="str">
        <f ca="1"/>
        <v>Invalid_Parent_Object</v>
      </c>
      <c r="D25" s="8" t="str">
        <f ca="1"/>
        <v>Invalid_Parent_Object</v>
      </c>
      <c r="E25" s="8" t="str">
        <f ca="1"/>
        <v>Invalid_Parent_Object</v>
      </c>
      <c r="F25" s="8" t="str">
        <f ca="1"/>
        <v>Invalid_Parent_Object</v>
      </c>
      <c r="G25" s="8" t="str">
        <f ca="1"/>
        <v>Invalid_Parent_Object</v>
      </c>
      <c r="H25" s="7" t="str">
        <f ca="1"/>
        <v>Invalid_Parent_Object</v>
      </c>
      <c r="I25" s="7" t="str">
        <f ca="1"/>
        <v>Invalid_Parent_Object</v>
      </c>
      <c r="J25" s="7" t="str">
        <f ca="1"/>
        <v>Invalid_Parent_Object</v>
      </c>
      <c r="K25" s="7" t="str">
        <f ca="1"/>
        <v>Invalid_Parent_Object</v>
      </c>
      <c r="L25" s="7" t="str">
        <f ca="1"/>
        <v>Invalid_Parent_Object</v>
      </c>
      <c r="M25" s="7" t="str">
        <f ca="1"/>
        <v>Invalid_Parent_Object</v>
      </c>
      <c r="N25" s="7" t="str">
        <f ca="1"/>
        <v>Invalid_Parent_Object</v>
      </c>
      <c r="O25" s="7" t="str">
        <f ca="1"/>
        <v>Invalid_Parent_Object</v>
      </c>
      <c r="P25" s="7" t="str">
        <f ca="1"/>
        <v>Invalid_Parent_Object</v>
      </c>
      <c r="Q25" s="7" t="str">
        <f ca="1"/>
        <v>Invalid_Parent_Object</v>
      </c>
      <c r="T25" s="7" t="str">
        <f ca="1"/>
        <v>Z8</v>
      </c>
      <c r="U25" s="7" t="str">
        <f ca="1"/>
        <v>0x201A</v>
      </c>
      <c r="V25" s="7" t="str">
        <f ca="1"/>
        <v>Invalid_Parent_Object</v>
      </c>
      <c r="X25" s="8" t="s">
        <v>246</v>
      </c>
      <c r="Y25" s="8" t="s">
        <v>246</v>
      </c>
      <c r="Z25" s="8" t="s">
        <v>246</v>
      </c>
      <c r="AA25" s="8" t="s">
        <v>246</v>
      </c>
      <c r="AB25" s="7" t="s">
        <v>246</v>
      </c>
      <c r="AC25" s="7" t="s">
        <v>246</v>
      </c>
      <c r="AD25" s="7" t="s">
        <v>246</v>
      </c>
      <c r="AE25" s="7" t="s">
        <v>246</v>
      </c>
      <c r="AF25" s="7" t="s">
        <v>246</v>
      </c>
      <c r="AG25" s="7" t="s">
        <v>246</v>
      </c>
      <c r="AH25" s="7" t="s">
        <v>246</v>
      </c>
      <c r="AI25" s="7" t="s">
        <v>246</v>
      </c>
      <c r="AJ25" s="7" t="s">
        <v>246</v>
      </c>
      <c r="AK25" s="7" t="s">
        <v>246</v>
      </c>
    </row>
    <row r="26" spans="1:37" x14ac:dyDescent="0.25">
      <c r="A26" s="13" t="str">
        <f ca="1"/>
        <v>0x201B</v>
      </c>
      <c r="B26" s="14" t="str">
        <f ca="1"/>
        <v>Invalid_DeviceProp_Format</v>
      </c>
      <c r="D26" s="8" t="str">
        <f ca="1"/>
        <v>Invalid_DeviceProp_Format</v>
      </c>
      <c r="E26" s="8" t="str">
        <f ca="1"/>
        <v>Invalid_DeviceProp_Format</v>
      </c>
      <c r="F26" s="8" t="str">
        <f ca="1"/>
        <v>Invalid_DeviceProp_Format</v>
      </c>
      <c r="G26" s="8" t="str">
        <f ca="1"/>
        <v>Invalid_DeviceProp_Format</v>
      </c>
      <c r="H26" s="7" t="str">
        <f ca="1"/>
        <v>Invalid_DeviceProp_Format</v>
      </c>
      <c r="I26" s="7" t="str">
        <f ca="1"/>
        <v>Invalid_DeviceProp_Format</v>
      </c>
      <c r="J26" s="7" t="str">
        <f ca="1"/>
        <v>Invalid_DeviceProp_Format</v>
      </c>
      <c r="K26" s="7" t="str">
        <f ca="1"/>
        <v>Invalid_DeviceProp_Format</v>
      </c>
      <c r="L26" s="7" t="str">
        <f ca="1"/>
        <v>Invalid_DeviceProp_Format</v>
      </c>
      <c r="M26" s="7" t="str">
        <f ca="1"/>
        <v>Invalid_DeviceProp_Format</v>
      </c>
      <c r="N26" s="7" t="str">
        <f ca="1"/>
        <v>Invalid_DeviceProp_Format</v>
      </c>
      <c r="O26" s="7" t="str">
        <f ca="1"/>
        <v>Invalid_DeviceProp_Format</v>
      </c>
      <c r="P26" s="7" t="str">
        <f ca="1"/>
        <v>Invalid_DeviceProp_Format</v>
      </c>
      <c r="Q26" s="7" t="str">
        <f ca="1"/>
        <v>Invalid_DeviceProp_Format</v>
      </c>
      <c r="T26" s="7" t="str">
        <f ca="1"/>
        <v>Z8</v>
      </c>
      <c r="U26" s="7" t="str">
        <f ca="1"/>
        <v>0x201B</v>
      </c>
      <c r="V26" s="7" t="str">
        <f ca="1"/>
        <v>Invalid_DeviceProp_Format</v>
      </c>
      <c r="X26" s="8" t="s">
        <v>247</v>
      </c>
      <c r="Y26" s="8" t="s">
        <v>247</v>
      </c>
      <c r="Z26" s="8" t="s">
        <v>247</v>
      </c>
      <c r="AA26" s="8" t="s">
        <v>247</v>
      </c>
      <c r="AB26" s="7" t="s">
        <v>247</v>
      </c>
      <c r="AC26" s="7" t="s">
        <v>247</v>
      </c>
      <c r="AD26" s="7" t="s">
        <v>247</v>
      </c>
      <c r="AE26" s="7" t="s">
        <v>247</v>
      </c>
      <c r="AF26" s="7" t="s">
        <v>247</v>
      </c>
      <c r="AG26" s="7" t="s">
        <v>247</v>
      </c>
      <c r="AH26" s="7" t="s">
        <v>247</v>
      </c>
      <c r="AI26" s="7" t="s">
        <v>247</v>
      </c>
      <c r="AJ26" s="7" t="s">
        <v>247</v>
      </c>
      <c r="AK26" s="7" t="s">
        <v>247</v>
      </c>
    </row>
    <row r="27" spans="1:37" x14ac:dyDescent="0.25">
      <c r="A27" s="13" t="str">
        <f ca="1"/>
        <v>0x201C</v>
      </c>
      <c r="B27" s="14" t="str">
        <f ca="1"/>
        <v>Invalid_DeviceProp_Value</v>
      </c>
      <c r="D27" s="8" t="str">
        <f ca="1"/>
        <v>Invalid_DeviceProp_Value</v>
      </c>
      <c r="E27" s="8" t="str">
        <f ca="1"/>
        <v>Invalid_DeviceProp_Value</v>
      </c>
      <c r="F27" s="8" t="str">
        <f ca="1"/>
        <v>Invalid_DeviceProp_Value</v>
      </c>
      <c r="G27" s="8" t="str">
        <f ca="1"/>
        <v>Invalid_DeviceProp_Value</v>
      </c>
      <c r="H27" s="7" t="str">
        <f ca="1"/>
        <v>Invalid_DeviceProp_Value</v>
      </c>
      <c r="I27" s="7" t="str">
        <f ca="1"/>
        <v>Invalid_DeviceProp_Value</v>
      </c>
      <c r="J27" s="7" t="str">
        <f ca="1"/>
        <v>Invalid_DeviceProp_Value</v>
      </c>
      <c r="K27" s="7" t="str">
        <f ca="1"/>
        <v>Invalid_DeviceProp_Value</v>
      </c>
      <c r="L27" s="7" t="str">
        <f ca="1"/>
        <v>Invalid_DeviceProp_Value</v>
      </c>
      <c r="M27" s="7" t="str">
        <f ca="1"/>
        <v>Invalid_DeviceProp_Value</v>
      </c>
      <c r="N27" s="7" t="str">
        <f ca="1"/>
        <v>Invalid_DeviceProp_Value</v>
      </c>
      <c r="O27" s="7" t="str">
        <f ca="1"/>
        <v>Invalid_DeviceProp_Value</v>
      </c>
      <c r="P27" s="7" t="str">
        <f ca="1"/>
        <v>Invalid_DeviceProp_Value</v>
      </c>
      <c r="Q27" s="7" t="str">
        <f ca="1"/>
        <v>Invalid_DeviceProp_Value</v>
      </c>
      <c r="T27" s="7" t="str">
        <f ca="1"/>
        <v>Z8</v>
      </c>
      <c r="U27" s="7" t="str">
        <f ca="1"/>
        <v>0x201C</v>
      </c>
      <c r="V27" s="7" t="str">
        <f ca="1"/>
        <v>Invalid_DeviceProp_Value</v>
      </c>
      <c r="X27" s="8" t="s">
        <v>248</v>
      </c>
      <c r="Y27" s="8" t="s">
        <v>248</v>
      </c>
      <c r="Z27" s="8" t="s">
        <v>248</v>
      </c>
      <c r="AA27" s="8" t="s">
        <v>248</v>
      </c>
      <c r="AB27" s="7" t="s">
        <v>248</v>
      </c>
      <c r="AC27" s="7" t="s">
        <v>248</v>
      </c>
      <c r="AD27" s="7" t="s">
        <v>248</v>
      </c>
      <c r="AE27" s="7" t="s">
        <v>248</v>
      </c>
      <c r="AF27" s="7" t="s">
        <v>248</v>
      </c>
      <c r="AG27" s="7" t="s">
        <v>248</v>
      </c>
      <c r="AH27" s="7" t="s">
        <v>248</v>
      </c>
      <c r="AI27" s="7" t="s">
        <v>248</v>
      </c>
      <c r="AJ27" s="7" t="s">
        <v>248</v>
      </c>
      <c r="AK27" s="7" t="s">
        <v>248</v>
      </c>
    </row>
    <row r="28" spans="1:37" x14ac:dyDescent="0.25">
      <c r="A28" s="13" t="str">
        <f ca="1"/>
        <v>0x201D</v>
      </c>
      <c r="B28" s="14" t="str">
        <f ca="1"/>
        <v>Invalid_Parameter</v>
      </c>
      <c r="D28" s="8" t="str">
        <f ca="1"/>
        <v>Invalid_Parameter</v>
      </c>
      <c r="E28" s="8" t="str">
        <f ca="1"/>
        <v>Invalid_Parameter</v>
      </c>
      <c r="F28" s="8" t="str">
        <f ca="1"/>
        <v>Invalid_Parameter</v>
      </c>
      <c r="G28" s="8" t="str">
        <f ca="1"/>
        <v>Invalid_Parameter</v>
      </c>
      <c r="H28" s="7" t="str">
        <f ca="1"/>
        <v>Invalid_Parameter</v>
      </c>
      <c r="I28" s="7" t="str">
        <f ca="1"/>
        <v>Invalid_Parameter</v>
      </c>
      <c r="J28" s="7" t="str">
        <f ca="1"/>
        <v>Invalid_Parameter</v>
      </c>
      <c r="K28" s="7" t="str">
        <f ca="1"/>
        <v>Invalid_Parameter</v>
      </c>
      <c r="L28" s="7" t="str">
        <f ca="1"/>
        <v>Invalid_Parameter</v>
      </c>
      <c r="M28" s="7" t="str">
        <f ca="1"/>
        <v>Invalid_Parameter</v>
      </c>
      <c r="N28" s="7" t="str">
        <f ca="1"/>
        <v>Invalid_Parameter</v>
      </c>
      <c r="O28" s="7" t="str">
        <f ca="1"/>
        <v>Invalid_Parameter</v>
      </c>
      <c r="P28" s="7" t="str">
        <f ca="1"/>
        <v>Invalid_Parameter</v>
      </c>
      <c r="Q28" s="7" t="str">
        <f ca="1"/>
        <v>Invalid_Parameter</v>
      </c>
      <c r="T28" s="7" t="str">
        <f ca="1"/>
        <v>Z8</v>
      </c>
      <c r="U28" s="7" t="str">
        <f ca="1"/>
        <v>0x201D</v>
      </c>
      <c r="V28" s="7" t="str">
        <f ca="1"/>
        <v>Invalid_Parameter</v>
      </c>
      <c r="X28" s="8" t="s">
        <v>249</v>
      </c>
      <c r="Y28" s="8" t="s">
        <v>249</v>
      </c>
      <c r="Z28" s="8" t="s">
        <v>249</v>
      </c>
      <c r="AA28" s="8" t="s">
        <v>249</v>
      </c>
      <c r="AB28" s="7" t="s">
        <v>249</v>
      </c>
      <c r="AC28" s="7" t="s">
        <v>249</v>
      </c>
      <c r="AD28" s="7" t="s">
        <v>249</v>
      </c>
      <c r="AE28" s="7" t="s">
        <v>249</v>
      </c>
      <c r="AF28" s="7" t="s">
        <v>249</v>
      </c>
      <c r="AG28" s="7" t="s">
        <v>249</v>
      </c>
      <c r="AH28" s="7" t="s">
        <v>249</v>
      </c>
      <c r="AI28" s="7" t="s">
        <v>249</v>
      </c>
      <c r="AJ28" s="7" t="s">
        <v>249</v>
      </c>
      <c r="AK28" s="7" t="s">
        <v>249</v>
      </c>
    </row>
    <row r="29" spans="1:37" x14ac:dyDescent="0.25">
      <c r="A29" s="13" t="str">
        <f ca="1"/>
        <v>0x201E</v>
      </c>
      <c r="B29" s="14" t="str">
        <f ca="1"/>
        <v>Session_Already_Open</v>
      </c>
      <c r="D29" s="8" t="str">
        <f ca="1"/>
        <v>Session_Already_Open</v>
      </c>
      <c r="E29" s="8" t="str">
        <f ca="1"/>
        <v>Session_Already_Open</v>
      </c>
      <c r="F29" s="8" t="str">
        <f ca="1"/>
        <v>Session_Already_Open</v>
      </c>
      <c r="G29" s="8" t="str">
        <f ca="1"/>
        <v>Session_Already_Open</v>
      </c>
      <c r="H29" s="7" t="str">
        <f ca="1"/>
        <v>Session_Already_Open</v>
      </c>
      <c r="I29" s="7" t="str">
        <f ca="1"/>
        <v>Session_Already_Open</v>
      </c>
      <c r="J29" s="7" t="str">
        <f ca="1"/>
        <v>Session_Already_Open</v>
      </c>
      <c r="K29" s="7" t="str">
        <f ca="1"/>
        <v>Session_Already_Open</v>
      </c>
      <c r="L29" s="7" t="str">
        <f ca="1"/>
        <v>Session_Already_Open</v>
      </c>
      <c r="M29" s="7" t="str">
        <f ca="1"/>
        <v>Session_Already_Open</v>
      </c>
      <c r="N29" s="7" t="str">
        <f ca="1"/>
        <v>Session_Already_Open</v>
      </c>
      <c r="O29" s="7" t="str">
        <f ca="1"/>
        <v>Session_Already_Open</v>
      </c>
      <c r="P29" s="7" t="str">
        <f ca="1"/>
        <v>Session_Already_Open</v>
      </c>
      <c r="Q29" s="7" t="str">
        <f ca="1"/>
        <v>Session_Already_Open</v>
      </c>
      <c r="T29" s="7" t="str">
        <f ca="1"/>
        <v>Z8</v>
      </c>
      <c r="U29" s="7" t="str">
        <f ca="1"/>
        <v>0x201E</v>
      </c>
      <c r="V29" s="7" t="str">
        <f ca="1"/>
        <v>Session_Already_Open</v>
      </c>
      <c r="X29" s="8" t="s">
        <v>250</v>
      </c>
      <c r="Y29" s="8" t="s">
        <v>250</v>
      </c>
      <c r="Z29" s="8" t="s">
        <v>250</v>
      </c>
      <c r="AA29" s="8" t="s">
        <v>250</v>
      </c>
      <c r="AB29" s="7" t="s">
        <v>250</v>
      </c>
      <c r="AC29" s="7" t="s">
        <v>250</v>
      </c>
      <c r="AD29" s="7" t="s">
        <v>250</v>
      </c>
      <c r="AE29" s="7" t="s">
        <v>250</v>
      </c>
      <c r="AF29" s="7" t="s">
        <v>250</v>
      </c>
      <c r="AG29" s="7" t="s">
        <v>250</v>
      </c>
      <c r="AH29" s="7" t="s">
        <v>250</v>
      </c>
      <c r="AI29" s="7" t="s">
        <v>250</v>
      </c>
      <c r="AJ29" s="7" t="s">
        <v>250</v>
      </c>
      <c r="AK29" s="7" t="s">
        <v>250</v>
      </c>
    </row>
    <row r="30" spans="1:37" x14ac:dyDescent="0.25">
      <c r="A30" s="13" t="str">
        <f ca="1"/>
        <v>0x201F</v>
      </c>
      <c r="B30" s="14" t="str">
        <f ca="1"/>
        <v>Transaction_Cancelled</v>
      </c>
      <c r="D30" s="8" t="str">
        <f ca="1"/>
        <v>Transaction_Cancelled</v>
      </c>
      <c r="E30" s="8" t="str">
        <f ca="1"/>
        <v>Transaction_Cancelled</v>
      </c>
      <c r="F30" s="8" t="str">
        <f ca="1"/>
        <v>Transaction_Cancelled</v>
      </c>
      <c r="G30" s="8" t="str">
        <f ca="1"/>
        <v>Transaction_Cancelled</v>
      </c>
      <c r="H30" s="7" t="str">
        <f ca="1"/>
        <v>Transaction_Cancelled</v>
      </c>
      <c r="I30" s="7" t="str">
        <f ca="1"/>
        <v>Transaction_Cancelled</v>
      </c>
      <c r="J30" s="7" t="str">
        <f ca="1"/>
        <v>Transaction_Cancelled</v>
      </c>
      <c r="K30" s="7" t="str">
        <f ca="1"/>
        <v>Transaction_Cancelled</v>
      </c>
      <c r="L30" s="7" t="str">
        <f ca="1"/>
        <v>Transaction_Cancelled</v>
      </c>
      <c r="M30" s="7" t="str">
        <f ca="1"/>
        <v/>
      </c>
      <c r="N30" s="7" t="str">
        <f ca="1"/>
        <v/>
      </c>
      <c r="O30" s="7" t="str">
        <f ca="1"/>
        <v/>
      </c>
      <c r="P30" s="7" t="str">
        <f ca="1"/>
        <v>Transfer_Cancelled</v>
      </c>
      <c r="Q30" s="7" t="str">
        <f ca="1"/>
        <v>Transfer_Cancelled</v>
      </c>
      <c r="T30" s="7" t="str">
        <f ca="1"/>
        <v>Z8</v>
      </c>
      <c r="U30" s="7" t="str">
        <f ca="1"/>
        <v>0x201F</v>
      </c>
      <c r="V30" s="7" t="str">
        <f ca="1"/>
        <v>Transaction_Cancelled</v>
      </c>
      <c r="X30" s="8" t="s">
        <v>251</v>
      </c>
      <c r="Y30" s="8" t="s">
        <v>251</v>
      </c>
      <c r="Z30" s="8" t="s">
        <v>251</v>
      </c>
      <c r="AA30" s="8" t="s">
        <v>251</v>
      </c>
      <c r="AB30" s="7" t="s">
        <v>251</v>
      </c>
      <c r="AC30" s="7" t="s">
        <v>251</v>
      </c>
      <c r="AD30" s="7" t="s">
        <v>251</v>
      </c>
      <c r="AE30" s="7" t="s">
        <v>251</v>
      </c>
      <c r="AF30" s="7" t="s">
        <v>251</v>
      </c>
      <c r="AG30" s="7" t="s">
        <v>251</v>
      </c>
      <c r="AH30" s="7" t="s">
        <v>251</v>
      </c>
      <c r="AI30" s="7" t="s">
        <v>251</v>
      </c>
      <c r="AJ30" s="7" t="s">
        <v>251</v>
      </c>
      <c r="AK30" s="7" t="s">
        <v>251</v>
      </c>
    </row>
    <row r="31" spans="1:37" x14ac:dyDescent="0.25">
      <c r="A31" s="13" t="str">
        <f ca="1"/>
        <v>0x2020</v>
      </c>
      <c r="B31" s="14" t="str">
        <f ca="1"/>
        <v>Specification_of_Destination_Unsupported</v>
      </c>
      <c r="D31" s="8" t="str">
        <f ca="1"/>
        <v>Specification_of_Destination_Unsupported</v>
      </c>
      <c r="E31" s="8" t="str">
        <f ca="1"/>
        <v>Specification_of_Destination_Unsupported</v>
      </c>
      <c r="F31" s="8" t="str">
        <f ca="1"/>
        <v>Specification_of_Destination_Unsupported</v>
      </c>
      <c r="G31" s="8" t="str">
        <f ca="1"/>
        <v>Specification_of_Destination_Unsupported</v>
      </c>
      <c r="H31" s="7" t="str">
        <f ca="1"/>
        <v>Specification_of_Destination_Unsupported</v>
      </c>
      <c r="I31" s="7" t="str">
        <f ca="1"/>
        <v>Specification_of_Destination_Unsupported</v>
      </c>
      <c r="J31" s="7" t="str">
        <f ca="1"/>
        <v>Specification_of_Destination_Unsupported</v>
      </c>
      <c r="K31" s="7" t="str">
        <f ca="1"/>
        <v>Specification_of_Destination_Unsupported</v>
      </c>
      <c r="L31" s="7" t="str">
        <f ca="1"/>
        <v>Specification_of_Destination_Unsupported</v>
      </c>
      <c r="M31" s="7" t="str">
        <f ca="1"/>
        <v>Specification_of_Destination_Unsupported</v>
      </c>
      <c r="N31" s="7" t="str">
        <f ca="1"/>
        <v>Specification_of_Destination_Unsupported</v>
      </c>
      <c r="O31" s="7" t="str">
        <f ca="1"/>
        <v>Specification_of_Destination_Unsupported</v>
      </c>
      <c r="P31" s="7" t="str">
        <f ca="1"/>
        <v>Specification_of_Destination_Unsupported</v>
      </c>
      <c r="Q31" s="7" t="str">
        <f ca="1"/>
        <v>Specification_of_Destination_Unsupported</v>
      </c>
      <c r="T31" s="7" t="str">
        <f ca="1"/>
        <v>Z8</v>
      </c>
      <c r="U31" s="7" t="str">
        <f ca="1"/>
        <v>0x2020</v>
      </c>
      <c r="V31" s="7" t="str">
        <f ca="1"/>
        <v>Specification_of_Destination_Unsupported</v>
      </c>
      <c r="X31" s="8" t="s">
        <v>252</v>
      </c>
      <c r="Y31" s="8" t="s">
        <v>252</v>
      </c>
      <c r="Z31" s="8" t="s">
        <v>252</v>
      </c>
      <c r="AA31" s="8" t="s">
        <v>252</v>
      </c>
      <c r="AB31" s="7" t="s">
        <v>252</v>
      </c>
      <c r="AC31" s="7" t="s">
        <v>252</v>
      </c>
      <c r="AD31" s="7" t="s">
        <v>252</v>
      </c>
      <c r="AE31" s="7" t="s">
        <v>252</v>
      </c>
      <c r="AF31" s="7" t="s">
        <v>252</v>
      </c>
      <c r="AG31" s="7" t="s">
        <v>252</v>
      </c>
      <c r="AH31" s="7" t="s">
        <v>252</v>
      </c>
      <c r="AI31" s="7" t="s">
        <v>252</v>
      </c>
      <c r="AJ31" s="7" t="s">
        <v>252</v>
      </c>
      <c r="AK31" s="7" t="s">
        <v>252</v>
      </c>
    </row>
    <row r="32" spans="1:37" x14ac:dyDescent="0.25">
      <c r="A32" s="13" t="str">
        <f ca="1"/>
        <v>0xA001</v>
      </c>
      <c r="B32" s="14" t="str">
        <f ca="1"/>
        <v>Hardware_Error</v>
      </c>
      <c r="D32" s="8" t="str">
        <f ca="1"/>
        <v>Hardware_Error</v>
      </c>
      <c r="E32" s="8" t="str">
        <f ca="1"/>
        <v>Hardware_Error</v>
      </c>
      <c r="F32" s="8" t="str">
        <f ca="1"/>
        <v>Hardware_Error</v>
      </c>
      <c r="G32" s="8" t="str">
        <f ca="1"/>
        <v>Hardware_Error</v>
      </c>
      <c r="H32" s="7" t="str">
        <f ca="1"/>
        <v>Hardware_Error</v>
      </c>
      <c r="I32" s="7" t="str">
        <f ca="1"/>
        <v>Hardware_Error</v>
      </c>
      <c r="J32" s="7" t="str">
        <f ca="1"/>
        <v>Hardware_Error</v>
      </c>
      <c r="K32" s="7" t="str">
        <f ca="1"/>
        <v>Hardware_Error</v>
      </c>
      <c r="L32" s="7" t="str">
        <f ca="1"/>
        <v>Hardware_Error</v>
      </c>
      <c r="M32" s="7" t="str">
        <f ca="1"/>
        <v>Hardware_Error</v>
      </c>
      <c r="N32" s="7" t="str">
        <f ca="1"/>
        <v>Hardware_Error</v>
      </c>
      <c r="O32" s="7" t="str">
        <f ca="1"/>
        <v>Hardware_Error</v>
      </c>
      <c r="P32" s="7" t="str">
        <f ca="1"/>
        <v>Hardware_Error</v>
      </c>
      <c r="Q32" s="7" t="str">
        <f ca="1"/>
        <v>Hardware_Error</v>
      </c>
      <c r="T32" s="7" t="str">
        <f ca="1"/>
        <v>Z8</v>
      </c>
      <c r="U32" s="7" t="str">
        <f ca="1"/>
        <v>0xA001</v>
      </c>
      <c r="V32" s="7" t="str">
        <f ca="1"/>
        <v>Hardware_Error</v>
      </c>
      <c r="X32" s="8" t="s">
        <v>253</v>
      </c>
      <c r="Y32" s="8" t="s">
        <v>253</v>
      </c>
      <c r="Z32" s="8" t="s">
        <v>253</v>
      </c>
      <c r="AA32" s="8" t="s">
        <v>253</v>
      </c>
      <c r="AB32" s="7" t="s">
        <v>253</v>
      </c>
      <c r="AC32" s="7" t="s">
        <v>253</v>
      </c>
      <c r="AD32" s="7" t="s">
        <v>253</v>
      </c>
      <c r="AE32" s="7" t="s">
        <v>253</v>
      </c>
      <c r="AF32" s="7" t="s">
        <v>253</v>
      </c>
      <c r="AG32" s="7" t="s">
        <v>253</v>
      </c>
      <c r="AH32" s="7" t="s">
        <v>253</v>
      </c>
      <c r="AI32" s="7" t="s">
        <v>253</v>
      </c>
      <c r="AJ32" s="7" t="s">
        <v>253</v>
      </c>
      <c r="AK32" s="7" t="s">
        <v>253</v>
      </c>
    </row>
    <row r="33" spans="1:37" x14ac:dyDescent="0.25">
      <c r="A33" s="13" t="str">
        <f ca="1"/>
        <v>0xA002</v>
      </c>
      <c r="B33" s="14" t="str">
        <f ca="1"/>
        <v>Out_of_Focus</v>
      </c>
      <c r="D33" s="8" t="str">
        <f ca="1"/>
        <v>Out_of_Focus</v>
      </c>
      <c r="E33" s="8" t="str">
        <f ca="1"/>
        <v>Out_of_Focus</v>
      </c>
      <c r="F33" s="8" t="str">
        <f ca="1"/>
        <v>Out_of_Focus</v>
      </c>
      <c r="G33" s="8" t="str">
        <f ca="1"/>
        <v>Out_of_Focus</v>
      </c>
      <c r="H33" s="7" t="str">
        <f ca="1"/>
        <v>Out_of_Focus</v>
      </c>
      <c r="I33" s="7" t="str">
        <f ca="1"/>
        <v>Out_of_Focus</v>
      </c>
      <c r="J33" s="7" t="str">
        <f ca="1"/>
        <v>Out_of_Focus</v>
      </c>
      <c r="K33" s="7" t="str">
        <f ca="1"/>
        <v>Out_of_Focus</v>
      </c>
      <c r="L33" s="7" t="str">
        <f ca="1"/>
        <v>Out_of_Focus</v>
      </c>
      <c r="M33" s="7" t="str">
        <f ca="1"/>
        <v>Out_of_Focus</v>
      </c>
      <c r="N33" s="7" t="str">
        <f ca="1"/>
        <v>Out_of_Focus</v>
      </c>
      <c r="O33" s="7" t="str">
        <f ca="1"/>
        <v>Out_of_Focus</v>
      </c>
      <c r="P33" s="7" t="str">
        <f ca="1"/>
        <v>Out_of_Focus</v>
      </c>
      <c r="Q33" s="7" t="str">
        <f ca="1"/>
        <v>Out_of_Focus</v>
      </c>
      <c r="T33" s="7" t="str">
        <f ca="1"/>
        <v>Z8</v>
      </c>
      <c r="U33" s="7" t="str">
        <f ca="1"/>
        <v>0xA002</v>
      </c>
      <c r="V33" s="7" t="str">
        <f ca="1"/>
        <v>Out_of_Focus</v>
      </c>
      <c r="X33" s="8" t="s">
        <v>254</v>
      </c>
      <c r="Y33" s="8" t="s">
        <v>254</v>
      </c>
      <c r="Z33" s="8" t="s">
        <v>254</v>
      </c>
      <c r="AA33" s="8" t="s">
        <v>254</v>
      </c>
      <c r="AB33" s="7" t="s">
        <v>254</v>
      </c>
      <c r="AC33" s="7" t="s">
        <v>254</v>
      </c>
      <c r="AD33" s="7" t="s">
        <v>254</v>
      </c>
      <c r="AE33" s="7" t="s">
        <v>254</v>
      </c>
      <c r="AF33" s="7" t="s">
        <v>254</v>
      </c>
      <c r="AG33" s="7" t="s">
        <v>254</v>
      </c>
      <c r="AH33" s="7" t="s">
        <v>254</v>
      </c>
      <c r="AI33" s="7" t="s">
        <v>254</v>
      </c>
      <c r="AJ33" s="7" t="s">
        <v>254</v>
      </c>
      <c r="AK33" s="7" t="s">
        <v>254</v>
      </c>
    </row>
    <row r="34" spans="1:37" x14ac:dyDescent="0.25">
      <c r="A34" s="13" t="str">
        <f ca="1"/>
        <v>0xA003</v>
      </c>
      <c r="B34" s="14" t="str">
        <f ca="1"/>
        <v>Change_CameraMode_Failed</v>
      </c>
      <c r="D34" s="8" t="str">
        <f ca="1"/>
        <v>Change_CameraMode_Failed</v>
      </c>
      <c r="E34" s="8" t="str">
        <f ca="1"/>
        <v>Change_CameraMode_Failed</v>
      </c>
      <c r="F34" s="8" t="str">
        <f ca="1"/>
        <v>Change_CameraMode_Failed</v>
      </c>
      <c r="G34" s="8" t="str">
        <f ca="1"/>
        <v>Change_CameraMode_Failed</v>
      </c>
      <c r="H34" s="7" t="str">
        <f ca="1"/>
        <v>Change_CameraMode_Failed</v>
      </c>
      <c r="I34" s="7" t="str">
        <f ca="1"/>
        <v>Change_CameraMode_Failed</v>
      </c>
      <c r="J34" s="7" t="str">
        <f ca="1"/>
        <v>Change_CameraMode_Failed</v>
      </c>
      <c r="K34" s="7" t="str">
        <f ca="1"/>
        <v>Change_CameraMode_Failed</v>
      </c>
      <c r="L34" s="7" t="str">
        <f ca="1"/>
        <v>Change_CameraMode_Failed</v>
      </c>
      <c r="M34" s="7" t="str">
        <f ca="1"/>
        <v>Change_CameraMode_Failed</v>
      </c>
      <c r="N34" s="7" t="str">
        <f ca="1"/>
        <v>Change_CameraMode_Failed</v>
      </c>
      <c r="O34" s="7" t="str">
        <f ca="1"/>
        <v>Change_CameraMode_Failed</v>
      </c>
      <c r="P34" s="7" t="str">
        <f ca="1"/>
        <v>Change_CameraMode_Failed</v>
      </c>
      <c r="Q34" s="7" t="str">
        <f ca="1"/>
        <v>Change_CameraMode_Failed</v>
      </c>
      <c r="T34" s="7" t="str">
        <f ca="1"/>
        <v>Z8</v>
      </c>
      <c r="U34" s="7" t="str">
        <f ca="1"/>
        <v>0xA003</v>
      </c>
      <c r="V34" s="7" t="str">
        <f ca="1"/>
        <v>Change_CameraMode_Failed</v>
      </c>
      <c r="X34" s="8" t="s">
        <v>255</v>
      </c>
      <c r="Y34" s="8" t="s">
        <v>255</v>
      </c>
      <c r="Z34" s="8" t="s">
        <v>255</v>
      </c>
      <c r="AA34" s="8" t="s">
        <v>255</v>
      </c>
      <c r="AB34" s="7" t="s">
        <v>255</v>
      </c>
      <c r="AC34" s="7" t="s">
        <v>255</v>
      </c>
      <c r="AD34" s="7" t="s">
        <v>255</v>
      </c>
      <c r="AE34" s="7" t="s">
        <v>255</v>
      </c>
      <c r="AF34" s="7" t="s">
        <v>255</v>
      </c>
      <c r="AG34" s="7" t="s">
        <v>255</v>
      </c>
      <c r="AH34" s="7" t="s">
        <v>255</v>
      </c>
      <c r="AI34" s="7" t="s">
        <v>255</v>
      </c>
      <c r="AJ34" s="7" t="s">
        <v>255</v>
      </c>
      <c r="AK34" s="7" t="s">
        <v>255</v>
      </c>
    </row>
    <row r="35" spans="1:37" x14ac:dyDescent="0.25">
      <c r="A35" s="13" t="str">
        <f ca="1"/>
        <v>0xA004</v>
      </c>
      <c r="B35" s="14" t="str">
        <f ca="1"/>
        <v>Invalid_Status</v>
      </c>
      <c r="D35" s="8" t="str">
        <f ca="1"/>
        <v>Invalid_Status</v>
      </c>
      <c r="E35" s="8" t="str">
        <f ca="1"/>
        <v>Invalid_Status</v>
      </c>
      <c r="F35" s="8" t="str">
        <f ca="1"/>
        <v>Invalid_Status</v>
      </c>
      <c r="G35" s="8" t="str">
        <f ca="1"/>
        <v>Invalid_Status</v>
      </c>
      <c r="H35" s="7" t="str">
        <f ca="1"/>
        <v>Invalid_Status</v>
      </c>
      <c r="I35" s="7" t="str">
        <f ca="1"/>
        <v>Invalid_Status</v>
      </c>
      <c r="J35" s="7" t="str">
        <f ca="1"/>
        <v>Invalid_Status</v>
      </c>
      <c r="K35" s="7" t="str">
        <f ca="1"/>
        <v>Invalid_Status</v>
      </c>
      <c r="L35" s="7" t="str">
        <f ca="1"/>
        <v>Invalid_Status</v>
      </c>
      <c r="M35" s="7" t="str">
        <f ca="1"/>
        <v>Invalid_Status</v>
      </c>
      <c r="N35" s="7" t="str">
        <f ca="1"/>
        <v>Invalid_Status</v>
      </c>
      <c r="O35" s="7" t="str">
        <f ca="1"/>
        <v>Invalid_Status</v>
      </c>
      <c r="P35" s="7" t="str">
        <f ca="1"/>
        <v>Invalid_Status</v>
      </c>
      <c r="Q35" s="7" t="str">
        <f ca="1"/>
        <v>Invalid_Status</v>
      </c>
      <c r="T35" s="7" t="str">
        <f ca="1"/>
        <v>Z8</v>
      </c>
      <c r="U35" s="7" t="str">
        <f ca="1"/>
        <v>0xA004</v>
      </c>
      <c r="V35" s="7" t="str">
        <f ca="1"/>
        <v>Invalid_Status</v>
      </c>
      <c r="X35" s="8" t="s">
        <v>256</v>
      </c>
      <c r="Y35" s="8" t="s">
        <v>256</v>
      </c>
      <c r="Z35" s="8" t="s">
        <v>256</v>
      </c>
      <c r="AA35" s="8" t="s">
        <v>256</v>
      </c>
      <c r="AB35" s="7" t="s">
        <v>256</v>
      </c>
      <c r="AC35" s="7" t="s">
        <v>256</v>
      </c>
      <c r="AD35" s="7" t="s">
        <v>256</v>
      </c>
      <c r="AE35" s="7" t="s">
        <v>256</v>
      </c>
      <c r="AF35" s="7" t="s">
        <v>256</v>
      </c>
      <c r="AG35" s="7" t="s">
        <v>256</v>
      </c>
      <c r="AH35" s="7" t="s">
        <v>256</v>
      </c>
      <c r="AI35" s="7" t="s">
        <v>256</v>
      </c>
      <c r="AJ35" s="7" t="s">
        <v>256</v>
      </c>
      <c r="AK35" s="7" t="s">
        <v>256</v>
      </c>
    </row>
    <row r="36" spans="1:37" x14ac:dyDescent="0.25">
      <c r="A36" s="13" t="str">
        <f ca="1"/>
        <v>0xA005</v>
      </c>
      <c r="B36" s="14" t="str">
        <f ca="1"/>
        <v>Set_Property_Not_Support</v>
      </c>
      <c r="D36" s="8" t="str">
        <f ca="1"/>
        <v/>
      </c>
      <c r="E36" s="8" t="str">
        <f ca="1"/>
        <v/>
      </c>
      <c r="F36" s="8" t="str">
        <f ca="1"/>
        <v/>
      </c>
      <c r="G36" s="8" t="str">
        <f ca="1"/>
        <v/>
      </c>
      <c r="H36" s="7" t="str">
        <f ca="1"/>
        <v/>
      </c>
      <c r="I36" s="7" t="str">
        <f ca="1"/>
        <v/>
      </c>
      <c r="J36" s="7" t="str">
        <f ca="1"/>
        <v/>
      </c>
      <c r="K36" s="7" t="str">
        <f ca="1"/>
        <v/>
      </c>
      <c r="L36" s="7" t="str">
        <f ca="1"/>
        <v/>
      </c>
      <c r="M36" s="7" t="str">
        <f ca="1"/>
        <v/>
      </c>
      <c r="N36" s="7" t="str">
        <f ca="1"/>
        <v/>
      </c>
      <c r="O36" s="7" t="str">
        <f ca="1"/>
        <v>Set_Property_Not_Support</v>
      </c>
      <c r="P36" s="7" t="str">
        <f ca="1"/>
        <v>Set_Property_Not_Support</v>
      </c>
      <c r="Q36" s="7" t="str">
        <f ca="1"/>
        <v>Set_Property_Not_Support</v>
      </c>
      <c r="T36" s="7" t="str">
        <f ca="1"/>
        <v>Z8</v>
      </c>
      <c r="U36" s="7" t="str">
        <f ca="1"/>
        <v>0xA006</v>
      </c>
      <c r="V36" s="7" t="str">
        <f ca="1"/>
        <v>Wb_Preset_Error</v>
      </c>
      <c r="X36" s="8" t="s">
        <v>257</v>
      </c>
      <c r="Y36" s="8" t="s">
        <v>257</v>
      </c>
      <c r="Z36" s="8" t="s">
        <v>257</v>
      </c>
      <c r="AA36" s="8" t="s">
        <v>257</v>
      </c>
      <c r="AB36" s="7" t="s">
        <v>257</v>
      </c>
      <c r="AC36" s="7" t="s">
        <v>257</v>
      </c>
      <c r="AD36" s="7" t="s">
        <v>257</v>
      </c>
      <c r="AE36" s="7" t="s">
        <v>257</v>
      </c>
      <c r="AF36" s="7" t="s">
        <v>257</v>
      </c>
      <c r="AG36" s="7" t="s">
        <v>257</v>
      </c>
      <c r="AH36" s="7" t="s">
        <v>257</v>
      </c>
      <c r="AI36" s="7" t="s">
        <v>257</v>
      </c>
      <c r="AJ36" s="7" t="s">
        <v>257</v>
      </c>
      <c r="AK36" s="7" t="s">
        <v>257</v>
      </c>
    </row>
    <row r="37" spans="1:37" x14ac:dyDescent="0.25">
      <c r="A37" s="13" t="str">
        <f ca="1"/>
        <v>0xA006</v>
      </c>
      <c r="B37" s="14" t="str">
        <f ca="1"/>
        <v>Wb_Preset_Error</v>
      </c>
      <c r="D37" s="8" t="str">
        <f ca="1"/>
        <v>Wb_Preset_Error</v>
      </c>
      <c r="E37" s="8" t="str">
        <f ca="1"/>
        <v>Wb_Preset_Error</v>
      </c>
      <c r="F37" s="8" t="str">
        <f ca="1"/>
        <v>Wb_Preset_Error</v>
      </c>
      <c r="G37" s="8" t="str">
        <f ca="1"/>
        <v>Wb_Preset_Error</v>
      </c>
      <c r="H37" s="7" t="str">
        <f ca="1"/>
        <v>Wb_Preset_Error</v>
      </c>
      <c r="I37" s="7" t="str">
        <f ca="1"/>
        <v>Wb_Preset_Error</v>
      </c>
      <c r="J37" s="7" t="str">
        <f ca="1"/>
        <v>Wb_Preset_Error</v>
      </c>
      <c r="K37" s="7" t="str">
        <f ca="1"/>
        <v>Wb_Preset_Error</v>
      </c>
      <c r="L37" s="7" t="str">
        <f ca="1"/>
        <v>Wb_Preset_Error</v>
      </c>
      <c r="M37" s="7" t="str">
        <f ca="1"/>
        <v>Wb_Preset_Error</v>
      </c>
      <c r="N37" s="7" t="str">
        <f ca="1"/>
        <v>Wb_Preset_Error</v>
      </c>
      <c r="O37" s="7" t="str">
        <f ca="1"/>
        <v>Wb_Preset_Error</v>
      </c>
      <c r="P37" s="7" t="str">
        <f ca="1"/>
        <v>Wb_Preset_Error</v>
      </c>
      <c r="Q37" s="7" t="str">
        <f ca="1"/>
        <v>Wb_Preset_Error</v>
      </c>
      <c r="T37" s="7" t="str">
        <f ca="1"/>
        <v>Z8</v>
      </c>
      <c r="U37" s="7" t="str">
        <f ca="1"/>
        <v>0xA007</v>
      </c>
      <c r="V37" s="7" t="str">
        <f ca="1"/>
        <v>Dust_Reference_Error</v>
      </c>
      <c r="X37" s="8" t="s">
        <v>258</v>
      </c>
      <c r="Y37" s="8" t="s">
        <v>258</v>
      </c>
      <c r="Z37" s="8" t="s">
        <v>258</v>
      </c>
      <c r="AA37" s="8" t="s">
        <v>258</v>
      </c>
      <c r="AB37" s="7" t="s">
        <v>258</v>
      </c>
      <c r="AC37" s="7" t="s">
        <v>258</v>
      </c>
      <c r="AD37" s="7" t="s">
        <v>258</v>
      </c>
      <c r="AE37" s="7" t="s">
        <v>258</v>
      </c>
      <c r="AF37" s="7" t="s">
        <v>258</v>
      </c>
      <c r="AG37" s="7" t="s">
        <v>258</v>
      </c>
      <c r="AH37" s="7" t="s">
        <v>258</v>
      </c>
      <c r="AI37" s="7" t="s">
        <v>258</v>
      </c>
      <c r="AJ37" s="7" t="s">
        <v>258</v>
      </c>
      <c r="AK37" s="7" t="s">
        <v>258</v>
      </c>
    </row>
    <row r="38" spans="1:37" x14ac:dyDescent="0.25">
      <c r="A38" s="13" t="str">
        <f ca="1"/>
        <v>0xA007</v>
      </c>
      <c r="B38" s="14" t="str">
        <f ca="1"/>
        <v>Dust_Reference_Error</v>
      </c>
      <c r="D38" s="8" t="str">
        <f ca="1"/>
        <v>Dust_Reference_Error</v>
      </c>
      <c r="E38" s="8" t="str">
        <f ca="1"/>
        <v>Dust_Reference_Error</v>
      </c>
      <c r="F38" s="8" t="str">
        <f ca="1"/>
        <v>Dust_Reference_Error</v>
      </c>
      <c r="G38" s="8" t="str">
        <f ca="1"/>
        <v>Dust_Reference_Error</v>
      </c>
      <c r="H38" s="7" t="str">
        <f ca="1"/>
        <v>Dust_Reference_Error</v>
      </c>
      <c r="I38" s="7" t="str">
        <f ca="1"/>
        <v>Dust_Reference_Error</v>
      </c>
      <c r="J38" s="7" t="str">
        <f ca="1"/>
        <v>Dust_Reference_Error</v>
      </c>
      <c r="K38" s="7" t="str">
        <f ca="1"/>
        <v>Dust_Reference_Error</v>
      </c>
      <c r="L38" s="7" t="str">
        <f ca="1"/>
        <v>Dust_Reference_Error</v>
      </c>
      <c r="M38" s="7" t="str">
        <f ca="1"/>
        <v>Dust_Reference_Error</v>
      </c>
      <c r="N38" s="7" t="str">
        <f ca="1"/>
        <v>Dust_Reference_Error</v>
      </c>
      <c r="O38" s="7" t="str">
        <f ca="1"/>
        <v>Dust_Reference_Error</v>
      </c>
      <c r="P38" s="7" t="str">
        <f ca="1"/>
        <v>Dust_Reference_Error</v>
      </c>
      <c r="Q38" s="7" t="str">
        <f ca="1"/>
        <v>Dust_Reference_Error</v>
      </c>
      <c r="T38" s="7" t="str">
        <f ca="1"/>
        <v>Z8</v>
      </c>
      <c r="U38" s="7" t="str">
        <f ca="1"/>
        <v>0xA008</v>
      </c>
      <c r="V38" s="7" t="str">
        <f ca="1"/>
        <v>Shutter_Speed_Bulb</v>
      </c>
      <c r="X38" s="8" t="s">
        <v>259</v>
      </c>
      <c r="Y38" s="8" t="s">
        <v>259</v>
      </c>
      <c r="Z38" s="8" t="s">
        <v>259</v>
      </c>
      <c r="AA38" s="8" t="s">
        <v>259</v>
      </c>
      <c r="AB38" s="7" t="s">
        <v>259</v>
      </c>
      <c r="AC38" s="7" t="s">
        <v>259</v>
      </c>
      <c r="AD38" s="7" t="s">
        <v>259</v>
      </c>
      <c r="AE38" s="7" t="s">
        <v>259</v>
      </c>
      <c r="AF38" s="7" t="s">
        <v>259</v>
      </c>
      <c r="AG38" s="7" t="s">
        <v>259</v>
      </c>
      <c r="AH38" s="7" t="s">
        <v>259</v>
      </c>
      <c r="AI38" s="7" t="s">
        <v>259</v>
      </c>
      <c r="AJ38" s="7" t="s">
        <v>259</v>
      </c>
      <c r="AK38" s="7" t="s">
        <v>259</v>
      </c>
    </row>
    <row r="39" spans="1:37" x14ac:dyDescent="0.25">
      <c r="A39" s="13" t="str">
        <f ca="1"/>
        <v>0xA008</v>
      </c>
      <c r="B39" s="14" t="str">
        <f ca="1"/>
        <v>Shutter_Speed_Bulb</v>
      </c>
      <c r="D39" s="8" t="str">
        <f ca="1"/>
        <v>Shutter_Speed_Bulb</v>
      </c>
      <c r="E39" s="8" t="str">
        <f ca="1"/>
        <v>Shutter_Speed_Bulb</v>
      </c>
      <c r="F39" s="8" t="str">
        <f ca="1"/>
        <v>Shutter_Speed_Bulb</v>
      </c>
      <c r="G39" s="8" t="str">
        <f ca="1"/>
        <v>Shutter_Speed_Bulb</v>
      </c>
      <c r="H39" s="7" t="str">
        <f ca="1"/>
        <v>Shutter_Speed_Bulb</v>
      </c>
      <c r="I39" s="7" t="str">
        <f ca="1"/>
        <v>Shutter_Speed_Bulb</v>
      </c>
      <c r="J39" s="7" t="str">
        <f ca="1"/>
        <v>Shutter_Speed_Bulb</v>
      </c>
      <c r="K39" s="7" t="str">
        <f ca="1"/>
        <v>Shutter_Speed_Bulb</v>
      </c>
      <c r="L39" s="7" t="str">
        <f ca="1"/>
        <v>Shutter_Speed_Bulb</v>
      </c>
      <c r="M39" s="7" t="str">
        <f ca="1"/>
        <v>Shutter_Speed_Bulb</v>
      </c>
      <c r="N39" s="7" t="str">
        <f ca="1"/>
        <v>Shutter_Speed_Bulb</v>
      </c>
      <c r="O39" s="7" t="str">
        <f ca="1"/>
        <v>Shutter_Speed_Bulb</v>
      </c>
      <c r="P39" s="7" t="str">
        <f ca="1"/>
        <v>Shutter_Speed_Bulb</v>
      </c>
      <c r="Q39" s="7" t="str">
        <f ca="1"/>
        <v>Shutter_Speed_Bulb</v>
      </c>
      <c r="T39" s="7" t="str">
        <f ca="1"/>
        <v>Z8</v>
      </c>
      <c r="U39" s="7" t="str">
        <f ca="1"/>
        <v>0xA00A</v>
      </c>
      <c r="V39" s="7" t="str">
        <f ca="1"/>
        <v>CameraMode_Not_Adjust_Fnumber</v>
      </c>
      <c r="X39" s="8" t="s">
        <v>260</v>
      </c>
      <c r="Y39" s="8" t="s">
        <v>260</v>
      </c>
      <c r="Z39" s="8" t="s">
        <v>260</v>
      </c>
      <c r="AA39" s="8" t="s">
        <v>260</v>
      </c>
      <c r="AB39" s="7" t="s">
        <v>260</v>
      </c>
      <c r="AC39" s="7" t="s">
        <v>260</v>
      </c>
      <c r="AD39" s="7" t="s">
        <v>260</v>
      </c>
      <c r="AE39" s="7" t="s">
        <v>260</v>
      </c>
      <c r="AF39" s="7" t="s">
        <v>260</v>
      </c>
      <c r="AG39" s="7" t="s">
        <v>260</v>
      </c>
      <c r="AH39" s="7" t="s">
        <v>260</v>
      </c>
      <c r="AI39" s="7" t="s">
        <v>260</v>
      </c>
      <c r="AJ39" s="7" t="s">
        <v>260</v>
      </c>
      <c r="AK39" s="7" t="s">
        <v>260</v>
      </c>
    </row>
    <row r="40" spans="1:37" x14ac:dyDescent="0.25">
      <c r="A40" s="13" t="str">
        <f ca="1"/>
        <v>0xA009</v>
      </c>
      <c r="B40" s="14" t="str">
        <f ca="1"/>
        <v>MirrorUp_Sequence</v>
      </c>
      <c r="D40" s="8" t="str">
        <f ca="1"/>
        <v/>
      </c>
      <c r="E40" s="8" t="str">
        <f ca="1"/>
        <v/>
      </c>
      <c r="F40" s="8" t="str">
        <f ca="1"/>
        <v/>
      </c>
      <c r="G40" s="8" t="str">
        <f ca="1"/>
        <v/>
      </c>
      <c r="H40" s="7" t="str">
        <f ca="1"/>
        <v/>
      </c>
      <c r="I40" s="7" t="str">
        <f ca="1"/>
        <v/>
      </c>
      <c r="J40" s="7" t="str">
        <f ca="1"/>
        <v/>
      </c>
      <c r="K40" s="7" t="str">
        <f ca="1"/>
        <v/>
      </c>
      <c r="L40" s="7" t="str">
        <f ca="1"/>
        <v/>
      </c>
      <c r="M40" s="7" t="str">
        <f ca="1"/>
        <v>MirrorUp_Sequence</v>
      </c>
      <c r="N40" s="7" t="str">
        <f ca="1"/>
        <v>MirrorUp_Sequence</v>
      </c>
      <c r="O40" s="7" t="str">
        <f ca="1"/>
        <v>MirrorUp_Sequence</v>
      </c>
      <c r="P40" s="7" t="str">
        <f ca="1"/>
        <v>MirrorUp_Sequence</v>
      </c>
      <c r="Q40" s="7" t="str">
        <f ca="1"/>
        <v>MirrorUp_Sequence</v>
      </c>
      <c r="T40" s="7" t="str">
        <f ca="1"/>
        <v>Z8</v>
      </c>
      <c r="U40" s="7" t="str">
        <f ca="1"/>
        <v>0xA00B</v>
      </c>
      <c r="V40" s="7" t="str">
        <f ca="1"/>
        <v>Not_LiveView</v>
      </c>
      <c r="X40" s="8" t="s">
        <v>261</v>
      </c>
      <c r="Y40" s="8" t="s">
        <v>261</v>
      </c>
      <c r="Z40" s="8" t="s">
        <v>261</v>
      </c>
      <c r="AA40" s="8" t="s">
        <v>261</v>
      </c>
      <c r="AB40" s="7" t="s">
        <v>261</v>
      </c>
      <c r="AC40" s="7" t="s">
        <v>261</v>
      </c>
      <c r="AD40" s="7" t="s">
        <v>261</v>
      </c>
      <c r="AE40" s="7" t="s">
        <v>261</v>
      </c>
      <c r="AF40" s="7" t="s">
        <v>261</v>
      </c>
      <c r="AG40" s="7" t="s">
        <v>261</v>
      </c>
      <c r="AH40" s="7" t="s">
        <v>261</v>
      </c>
      <c r="AI40" s="7" t="s">
        <v>261</v>
      </c>
      <c r="AJ40" s="7" t="s">
        <v>261</v>
      </c>
      <c r="AK40" s="7" t="s">
        <v>261</v>
      </c>
    </row>
    <row r="41" spans="1:37" x14ac:dyDescent="0.25">
      <c r="A41" s="13" t="str">
        <f ca="1"/>
        <v>0xA00A</v>
      </c>
      <c r="B41" s="14" t="str">
        <f ca="1"/>
        <v>CameraMode_Not_Adjust_Fnumber</v>
      </c>
      <c r="D41" s="8" t="str">
        <f ca="1"/>
        <v>CameraMode_Not_Adjust_Fnumber</v>
      </c>
      <c r="E41" s="8" t="str">
        <f ca="1"/>
        <v>CameraMode_Not_Adjust_Fnumber</v>
      </c>
      <c r="F41" s="8" t="str">
        <f ca="1"/>
        <v>CameraMode_Not_Adjust_Fnumber</v>
      </c>
      <c r="G41" s="8" t="str">
        <f ca="1"/>
        <v>CameraMode_Not_Adjust_Fnumber</v>
      </c>
      <c r="H41" s="7" t="str">
        <f ca="1"/>
        <v>CameraMode_Not_Adjust_Fnumber</v>
      </c>
      <c r="I41" s="7" t="str">
        <f ca="1"/>
        <v>CameraMode_Not_Adjust_Fnumber</v>
      </c>
      <c r="J41" s="7" t="str">
        <f ca="1"/>
        <v>CameraMode_Not_Adjust_Fnumber</v>
      </c>
      <c r="K41" s="7" t="str">
        <f ca="1"/>
        <v>CameraMode_Not_Adjust_Fnumber</v>
      </c>
      <c r="L41" s="7" t="str">
        <f ca="1"/>
        <v>CameraMode_Not_Adjust_Fnumber</v>
      </c>
      <c r="M41" s="7" t="str">
        <f ca="1"/>
        <v>CameraMode_Not_Adjust_Fnumber</v>
      </c>
      <c r="N41" s="7" t="str">
        <f ca="1"/>
        <v>CameraMode_Not_Adjust_Fnumber</v>
      </c>
      <c r="O41" s="7" t="str">
        <f ca="1"/>
        <v>CameraMode_Not_Adjust_Fnumber</v>
      </c>
      <c r="P41" s="7" t="str">
        <f ca="1"/>
        <v>CameraMode_Not_Adjust_Fnumber</v>
      </c>
      <c r="Q41" s="7" t="str">
        <f ca="1"/>
        <v>CameraMode_Not_Adjust_Fnumber</v>
      </c>
      <c r="T41" s="7" t="str">
        <f ca="1"/>
        <v>Z8</v>
      </c>
      <c r="U41" s="7" t="str">
        <f ca="1"/>
        <v>0xA00C</v>
      </c>
      <c r="V41" s="7" t="str">
        <f ca="1"/>
        <v>MfDrive_Step_End</v>
      </c>
      <c r="X41" s="8" t="s">
        <v>262</v>
      </c>
      <c r="Y41" s="8" t="s">
        <v>262</v>
      </c>
      <c r="Z41" s="8" t="s">
        <v>262</v>
      </c>
      <c r="AA41" s="8" t="s">
        <v>262</v>
      </c>
      <c r="AB41" s="7" t="s">
        <v>262</v>
      </c>
      <c r="AC41" s="7" t="s">
        <v>262</v>
      </c>
      <c r="AD41" s="7" t="s">
        <v>262</v>
      </c>
      <c r="AE41" s="7" t="s">
        <v>262</v>
      </c>
      <c r="AF41" s="7" t="s">
        <v>262</v>
      </c>
      <c r="AG41" s="7" t="s">
        <v>262</v>
      </c>
      <c r="AH41" s="7" t="s">
        <v>262</v>
      </c>
      <c r="AI41" s="7" t="s">
        <v>262</v>
      </c>
      <c r="AJ41" s="7" t="s">
        <v>262</v>
      </c>
      <c r="AK41" s="7" t="s">
        <v>262</v>
      </c>
    </row>
    <row r="42" spans="1:37" x14ac:dyDescent="0.25">
      <c r="A42" s="13" t="str">
        <f ca="1"/>
        <v>0xA00B</v>
      </c>
      <c r="B42" s="14" t="str">
        <f ca="1"/>
        <v>Not_LiveView</v>
      </c>
      <c r="D42" s="8" t="str">
        <f ca="1"/>
        <v>Not_LiveView</v>
      </c>
      <c r="E42" s="8" t="str">
        <f ca="1"/>
        <v>Not_LiveView</v>
      </c>
      <c r="F42" s="8" t="str">
        <f ca="1"/>
        <v>Not_LiveView</v>
      </c>
      <c r="G42" s="8" t="str">
        <f ca="1"/>
        <v>Not_LiveView</v>
      </c>
      <c r="H42" s="7" t="str">
        <f ca="1"/>
        <v>Not_LiveView</v>
      </c>
      <c r="I42" s="7" t="str">
        <f ca="1"/>
        <v>Not_LiveView</v>
      </c>
      <c r="J42" s="7" t="str">
        <f ca="1"/>
        <v>Not_LiveView</v>
      </c>
      <c r="K42" s="7" t="str">
        <f ca="1"/>
        <v>Not_LiveView</v>
      </c>
      <c r="L42" s="7" t="str">
        <f ca="1"/>
        <v>Not_LiveView</v>
      </c>
      <c r="M42" s="7" t="str">
        <f ca="1"/>
        <v>Not_LiveView</v>
      </c>
      <c r="N42" s="7" t="str">
        <f ca="1"/>
        <v>Not_LiveView</v>
      </c>
      <c r="O42" s="7" t="str">
        <f ca="1"/>
        <v>Not_LiveView</v>
      </c>
      <c r="P42" s="7" t="str">
        <f ca="1"/>
        <v>Not_LiveView</v>
      </c>
      <c r="Q42" s="7" t="str">
        <f ca="1"/>
        <v>Not_LiveView</v>
      </c>
      <c r="T42" s="7" t="str">
        <f ca="1"/>
        <v>Z8</v>
      </c>
      <c r="U42" s="7" t="str">
        <f ca="1"/>
        <v>0xA00E</v>
      </c>
      <c r="V42" s="7" t="str">
        <f ca="1"/>
        <v>MfDrive_Step_Insufficiency</v>
      </c>
      <c r="X42" s="8" t="s">
        <v>263</v>
      </c>
      <c r="Y42" s="8" t="s">
        <v>263</v>
      </c>
      <c r="Z42" s="8" t="s">
        <v>263</v>
      </c>
      <c r="AA42" s="8" t="s">
        <v>263</v>
      </c>
      <c r="AB42" s="7" t="s">
        <v>263</v>
      </c>
      <c r="AC42" s="7" t="s">
        <v>263</v>
      </c>
      <c r="AD42" s="7" t="s">
        <v>263</v>
      </c>
      <c r="AE42" s="7" t="s">
        <v>263</v>
      </c>
      <c r="AF42" s="7" t="s">
        <v>263</v>
      </c>
      <c r="AG42" s="7" t="s">
        <v>263</v>
      </c>
      <c r="AH42" s="7" t="s">
        <v>263</v>
      </c>
      <c r="AI42" s="7" t="s">
        <v>263</v>
      </c>
      <c r="AJ42" s="7" t="s">
        <v>263</v>
      </c>
      <c r="AK42" s="7" t="s">
        <v>263</v>
      </c>
    </row>
    <row r="43" spans="1:37" x14ac:dyDescent="0.25">
      <c r="A43" s="13" t="str">
        <f ca="1"/>
        <v>0xA00C</v>
      </c>
      <c r="B43" s="14" t="str">
        <f ca="1"/>
        <v>MfDrive_Step_End</v>
      </c>
      <c r="D43" s="8" t="str">
        <f ca="1"/>
        <v>MfDrive_Step_End</v>
      </c>
      <c r="E43" s="8" t="str">
        <f ca="1"/>
        <v>MfDrive_Step_End</v>
      </c>
      <c r="F43" s="8" t="str">
        <f ca="1"/>
        <v>MfDrive_Step_End</v>
      </c>
      <c r="G43" s="8" t="str">
        <f ca="1"/>
        <v>MfDrive_Step_End</v>
      </c>
      <c r="H43" s="7" t="str">
        <f ca="1"/>
        <v>MfDrive_Step_End</v>
      </c>
      <c r="I43" s="7" t="str">
        <f ca="1"/>
        <v>MfDrive_Step_End</v>
      </c>
      <c r="J43" s="7" t="str">
        <f ca="1"/>
        <v>MfDrive_Step_End</v>
      </c>
      <c r="K43" s="7" t="str">
        <f ca="1"/>
        <v>MfDrive_Step_End</v>
      </c>
      <c r="L43" s="7" t="str">
        <f ca="1"/>
        <v>MfDrive_Step_End</v>
      </c>
      <c r="M43" s="7" t="str">
        <f ca="1"/>
        <v>MfDrive_Step_End</v>
      </c>
      <c r="N43" s="7" t="str">
        <f ca="1"/>
        <v>MfDrive_Step_End</v>
      </c>
      <c r="O43" s="7" t="str">
        <f ca="1"/>
        <v>MfDrive_Step_End</v>
      </c>
      <c r="P43" s="7" t="str">
        <f ca="1"/>
        <v>MfDrive_Step_End</v>
      </c>
      <c r="Q43" s="7" t="str">
        <f ca="1"/>
        <v>MfDrive_Step_End</v>
      </c>
      <c r="T43" s="7" t="str">
        <f ca="1"/>
        <v>Z8</v>
      </c>
      <c r="U43" s="7" t="str">
        <f ca="1"/>
        <v>0xA00F</v>
      </c>
      <c r="V43" s="7" t="str">
        <f ca="1"/>
        <v>No_FullHD_Present</v>
      </c>
      <c r="X43" s="8" t="s">
        <v>264</v>
      </c>
      <c r="Y43" s="8" t="s">
        <v>264</v>
      </c>
      <c r="Z43" s="8" t="s">
        <v>266</v>
      </c>
      <c r="AA43" s="8" t="s">
        <v>266</v>
      </c>
      <c r="AB43" s="7" t="s">
        <v>266</v>
      </c>
      <c r="AC43" s="7" t="s">
        <v>266</v>
      </c>
      <c r="AD43" s="7" t="s">
        <v>266</v>
      </c>
      <c r="AE43" s="7" t="s">
        <v>266</v>
      </c>
      <c r="AF43" s="7" t="s">
        <v>266</v>
      </c>
      <c r="AG43" s="7" t="s">
        <v>266</v>
      </c>
      <c r="AH43" s="7" t="s">
        <v>266</v>
      </c>
      <c r="AI43" s="7" t="s">
        <v>266</v>
      </c>
      <c r="AJ43" s="7" t="s">
        <v>266</v>
      </c>
      <c r="AK43" s="7" t="s">
        <v>266</v>
      </c>
    </row>
    <row r="44" spans="1:37" x14ac:dyDescent="0.25">
      <c r="A44" s="13" t="str">
        <f ca="1"/>
        <v>0xA00E</v>
      </c>
      <c r="B44" s="14" t="str">
        <f ca="1"/>
        <v>MfDrive_Step_Insufficiency</v>
      </c>
      <c r="D44" s="8" t="str">
        <f ca="1"/>
        <v>MfDrive_Step_Insufficiency</v>
      </c>
      <c r="E44" s="8" t="str">
        <f ca="1"/>
        <v>MfDrive_Step_Insufficiency</v>
      </c>
      <c r="F44" s="8" t="str">
        <f ca="1"/>
        <v>MfDrive_Step_Insufficiency</v>
      </c>
      <c r="G44" s="8" t="str">
        <f ca="1"/>
        <v>MfDrive_Step_Insufficiency</v>
      </c>
      <c r="H44" s="7" t="str">
        <f ca="1"/>
        <v>MfDrive_Step_Insufficiency</v>
      </c>
      <c r="I44" s="7" t="str">
        <f ca="1"/>
        <v>MfDrive_Step_Insufficiency</v>
      </c>
      <c r="J44" s="7" t="str">
        <f ca="1"/>
        <v>MfDrive_Step_Insufficiency</v>
      </c>
      <c r="K44" s="7" t="str">
        <f ca="1"/>
        <v>MfDrive_Step_Insufficiency</v>
      </c>
      <c r="L44" s="7" t="str">
        <f ca="1"/>
        <v>MfDrive_Step_Insufficiency</v>
      </c>
      <c r="M44" s="7" t="str">
        <f ca="1"/>
        <v>MfDrive_Step_</v>
      </c>
      <c r="N44" s="7" t="str">
        <f ca="1"/>
        <v>MfDrive_Step_</v>
      </c>
      <c r="O44" s="7" t="str">
        <f ca="1"/>
        <v>MfDrive_Step_</v>
      </c>
      <c r="P44" s="7" t="str">
        <f ca="1"/>
        <v>MfDrive_Step_</v>
      </c>
      <c r="Q44" s="7" t="str">
        <f ca="1"/>
        <v>MfDrive_Step_</v>
      </c>
      <c r="T44" s="7" t="str">
        <f ca="1"/>
        <v>Z8</v>
      </c>
      <c r="U44" s="7" t="str">
        <f ca="1"/>
        <v>0xA021</v>
      </c>
      <c r="V44" s="7" t="str">
        <f ca="1"/>
        <v>Store_Error</v>
      </c>
      <c r="X44" s="8" t="s">
        <v>265</v>
      </c>
      <c r="Y44" s="8" t="s">
        <v>265</v>
      </c>
      <c r="Z44" s="8" t="s">
        <v>267</v>
      </c>
      <c r="AA44" s="8" t="s">
        <v>267</v>
      </c>
      <c r="AB44" s="7" t="s">
        <v>267</v>
      </c>
      <c r="AC44" s="7" t="s">
        <v>267</v>
      </c>
      <c r="AD44" s="7" t="s">
        <v>267</v>
      </c>
      <c r="AE44" s="7" t="s">
        <v>267</v>
      </c>
      <c r="AF44" s="7" t="s">
        <v>267</v>
      </c>
      <c r="AG44" s="7" t="s">
        <v>267</v>
      </c>
      <c r="AH44" s="7" t="s">
        <v>267</v>
      </c>
      <c r="AI44" s="7" t="s">
        <v>267</v>
      </c>
      <c r="AJ44" s="7" t="s">
        <v>267</v>
      </c>
      <c r="AK44" s="7" t="s">
        <v>267</v>
      </c>
    </row>
    <row r="45" spans="1:37" x14ac:dyDescent="0.25">
      <c r="A45" s="13" t="str">
        <f ca="1"/>
        <v>0xA00F</v>
      </c>
      <c r="B45" s="14" t="str">
        <f ca="1"/>
        <v>No_FullHD_Present</v>
      </c>
      <c r="D45" s="8" t="str">
        <f ca="1"/>
        <v>No_FullHD_Present</v>
      </c>
      <c r="E45" s="8" t="str">
        <f ca="1"/>
        <v>No_FullHD_Present</v>
      </c>
      <c r="F45" s="8" t="str">
        <f ca="1"/>
        <v>No_FullHD_Present</v>
      </c>
      <c r="G45" s="8" t="str">
        <f ca="1"/>
        <v>No_FullHD_Present</v>
      </c>
      <c r="H45" s="7" t="str">
        <f ca="1"/>
        <v>No_FullHD_Present</v>
      </c>
      <c r="I45" s="7" t="str">
        <f ca="1"/>
        <v>No_FullHD_Present</v>
      </c>
      <c r="J45" s="7" t="str">
        <f ca="1"/>
        <v>No_FullHD_Present</v>
      </c>
      <c r="K45" s="7" t="str">
        <f ca="1"/>
        <v>No_FullHD_Present</v>
      </c>
      <c r="L45" s="7" t="str">
        <f ca="1"/>
        <v>No_FullHD_Present</v>
      </c>
      <c r="M45" s="7" t="str">
        <f ca="1"/>
        <v>No_FullHD_Present</v>
      </c>
      <c r="N45" s="7" t="str">
        <f ca="1"/>
        <v>No_FullHD_Present</v>
      </c>
      <c r="O45" s="7" t="str">
        <f ca="1"/>
        <v/>
      </c>
      <c r="P45" s="7" t="str">
        <f ca="1"/>
        <v/>
      </c>
      <c r="Q45" s="7" t="str">
        <f ca="1"/>
        <v/>
      </c>
      <c r="T45" s="7" t="str">
        <f ca="1"/>
        <v>Z8</v>
      </c>
      <c r="U45" s="7" t="str">
        <f ca="1"/>
        <v>0xA022</v>
      </c>
      <c r="V45" s="7" t="str">
        <f ca="1"/>
        <v>Store_Unformatted</v>
      </c>
      <c r="X45" s="8" t="s">
        <v>266</v>
      </c>
      <c r="Y45" s="8" t="s">
        <v>266</v>
      </c>
      <c r="Z45" s="8" t="s">
        <v>268</v>
      </c>
      <c r="AA45" s="8" t="s">
        <v>268</v>
      </c>
      <c r="AB45" s="7" t="s">
        <v>268</v>
      </c>
      <c r="AC45" s="7" t="s">
        <v>268</v>
      </c>
      <c r="AD45" s="7" t="s">
        <v>268</v>
      </c>
      <c r="AE45" s="7" t="s">
        <v>268</v>
      </c>
      <c r="AF45" s="7" t="s">
        <v>268</v>
      </c>
      <c r="AG45" s="7" t="s">
        <v>268</v>
      </c>
      <c r="AH45" s="7" t="s">
        <v>268</v>
      </c>
      <c r="AI45" s="7" t="s">
        <v>268</v>
      </c>
      <c r="AJ45" s="7" t="s">
        <v>268</v>
      </c>
      <c r="AK45" s="7" t="s">
        <v>268</v>
      </c>
    </row>
    <row r="46" spans="1:37" x14ac:dyDescent="0.25">
      <c r="A46" s="13" t="str">
        <f ca="1"/>
        <v>0xA021</v>
      </c>
      <c r="B46" s="14" t="str">
        <f ca="1"/>
        <v>Store_Error</v>
      </c>
      <c r="D46" s="8" t="str">
        <f ca="1"/>
        <v>Store_Error</v>
      </c>
      <c r="E46" s="8" t="str">
        <f ca="1"/>
        <v>Store_Error</v>
      </c>
      <c r="F46" s="8" t="str">
        <f ca="1"/>
        <v>Store_Error</v>
      </c>
      <c r="G46" s="8" t="str">
        <f ca="1"/>
        <v>Store_Error</v>
      </c>
      <c r="H46" s="7" t="str">
        <f ca="1"/>
        <v>Store_Error</v>
      </c>
      <c r="I46" s="7" t="str">
        <f ca="1"/>
        <v>Store_Error</v>
      </c>
      <c r="J46" s="7" t="str">
        <f ca="1"/>
        <v>Store_Error</v>
      </c>
      <c r="K46" s="7" t="str">
        <f ca="1"/>
        <v>Store_Error</v>
      </c>
      <c r="L46" s="7" t="str">
        <f ca="1"/>
        <v>Store_Error</v>
      </c>
      <c r="M46" s="7" t="str">
        <f ca="1"/>
        <v>Store_Error</v>
      </c>
      <c r="N46" s="7" t="str">
        <f ca="1"/>
        <v>Store_Error</v>
      </c>
      <c r="O46" s="7" t="str">
        <f ca="1"/>
        <v>Store_Error</v>
      </c>
      <c r="P46" s="7" t="str">
        <f ca="1"/>
        <v/>
      </c>
      <c r="Q46" s="7" t="str">
        <f ca="1"/>
        <v/>
      </c>
      <c r="T46" s="7" t="str">
        <f ca="1"/>
        <v>Z8</v>
      </c>
      <c r="U46" s="7" t="str">
        <f ca="1"/>
        <v>0xA200</v>
      </c>
      <c r="V46" s="7" t="str">
        <f ca="1"/>
        <v>Bulb_Release_Busy</v>
      </c>
      <c r="X46" s="8" t="s">
        <v>267</v>
      </c>
      <c r="Y46" s="8" t="s">
        <v>267</v>
      </c>
      <c r="Z46" s="8" t="s">
        <v>269</v>
      </c>
      <c r="AA46" s="8" t="s">
        <v>269</v>
      </c>
      <c r="AB46" s="7" t="s">
        <v>269</v>
      </c>
      <c r="AC46" s="7" t="s">
        <v>269</v>
      </c>
      <c r="AD46" s="7" t="s">
        <v>269</v>
      </c>
      <c r="AE46" s="7" t="s">
        <v>269</v>
      </c>
      <c r="AF46" s="7" t="s">
        <v>269</v>
      </c>
      <c r="AG46" s="7" t="s">
        <v>269</v>
      </c>
      <c r="AH46" s="7" t="s">
        <v>269</v>
      </c>
      <c r="AI46" s="7" t="s">
        <v>269</v>
      </c>
      <c r="AJ46" s="7" t="s">
        <v>269</v>
      </c>
      <c r="AK46" s="7" t="s">
        <v>269</v>
      </c>
    </row>
    <row r="47" spans="1:37" x14ac:dyDescent="0.25">
      <c r="A47" s="13" t="str">
        <f ca="1"/>
        <v>0xA022</v>
      </c>
      <c r="B47" s="14" t="str">
        <f ca="1"/>
        <v>Store_Unformatted</v>
      </c>
      <c r="D47" s="8" t="str">
        <f ca="1"/>
        <v>Store_Unformatted</v>
      </c>
      <c r="E47" s="8" t="str">
        <f ca="1"/>
        <v>Store_Unformatted</v>
      </c>
      <c r="F47" s="8" t="str">
        <f ca="1"/>
        <v>Store_Unformatted</v>
      </c>
      <c r="G47" s="8" t="str">
        <f ca="1"/>
        <v>Store_Unformatted</v>
      </c>
      <c r="H47" s="7" t="str">
        <f ca="1"/>
        <v>Store_Unformatted</v>
      </c>
      <c r="I47" s="7" t="str">
        <f ca="1"/>
        <v>Store_Unformatted</v>
      </c>
      <c r="J47" s="7" t="str">
        <f ca="1"/>
        <v>Store_Unformatted</v>
      </c>
      <c r="K47" s="7" t="str">
        <f ca="1"/>
        <v>Store_Unformatted</v>
      </c>
      <c r="L47" s="7" t="str">
        <f ca="1"/>
        <v>Store_Unformatted</v>
      </c>
      <c r="M47" s="7" t="str">
        <f ca="1"/>
        <v>Store_Unformatted</v>
      </c>
      <c r="N47" s="7" t="str">
        <f ca="1"/>
        <v>Store_Unformatted</v>
      </c>
      <c r="O47" s="7" t="str">
        <f ca="1"/>
        <v>Store_Unformatted</v>
      </c>
      <c r="P47" s="7" t="str">
        <f ca="1"/>
        <v/>
      </c>
      <c r="Q47" s="7" t="str">
        <f ca="1"/>
        <v/>
      </c>
      <c r="T47" s="7" t="str">
        <f ca="1"/>
        <v>Z8</v>
      </c>
      <c r="U47" s="7" t="str">
        <f ca="1"/>
        <v>0xA201</v>
      </c>
      <c r="V47" s="7" t="str">
        <f ca="1"/>
        <v>Silent_Release_Busy</v>
      </c>
      <c r="X47" s="8" t="s">
        <v>268</v>
      </c>
      <c r="Y47" s="8" t="s">
        <v>268</v>
      </c>
      <c r="Z47" s="8" t="s">
        <v>270</v>
      </c>
      <c r="AA47" s="8" t="s">
        <v>270</v>
      </c>
      <c r="AB47" s="7" t="s">
        <v>270</v>
      </c>
      <c r="AC47" s="7" t="s">
        <v>270</v>
      </c>
      <c r="AD47" s="7" t="s">
        <v>270</v>
      </c>
      <c r="AE47" s="7" t="s">
        <v>270</v>
      </c>
      <c r="AF47" s="7" t="s">
        <v>270</v>
      </c>
      <c r="AG47" s="7" t="s">
        <v>270</v>
      </c>
      <c r="AH47" s="7" t="s">
        <v>270</v>
      </c>
      <c r="AI47" s="7" t="s">
        <v>270</v>
      </c>
      <c r="AJ47" s="7" t="s">
        <v>270</v>
      </c>
      <c r="AK47" s="7" t="s">
        <v>270</v>
      </c>
    </row>
    <row r="48" spans="1:37" x14ac:dyDescent="0.25">
      <c r="A48" s="13" t="str">
        <f ca="1"/>
        <v>0xA200</v>
      </c>
      <c r="B48" s="14" t="str">
        <f ca="1"/>
        <v>Bulb_Release_Busy</v>
      </c>
      <c r="D48" s="8" t="str">
        <f ca="1"/>
        <v>Bulb_Release_Busy</v>
      </c>
      <c r="E48" s="8" t="str">
        <f ca="1"/>
        <v>Bulb_Release_Busy</v>
      </c>
      <c r="F48" s="8" t="str">
        <f ca="1"/>
        <v>Bulb_Release_Busy</v>
      </c>
      <c r="G48" s="8" t="str">
        <f ca="1"/>
        <v>Bulb_Release_Busy</v>
      </c>
      <c r="H48" s="7" t="str">
        <f ca="1"/>
        <v>Bulb_Release_Busy</v>
      </c>
      <c r="I48" s="7" t="str">
        <f ca="1"/>
        <v>Bulb_Release_Busy</v>
      </c>
      <c r="J48" s="7" t="str">
        <f ca="1"/>
        <v>Bulb_Release_Busy</v>
      </c>
      <c r="K48" s="7" t="str">
        <f ca="1"/>
        <v>Bulb_Release_Busy</v>
      </c>
      <c r="L48" s="7" t="str">
        <f ca="1"/>
        <v>Bulb_Release_Busy</v>
      </c>
      <c r="M48" s="7" t="str">
        <f ca="1"/>
        <v>Bulb_Release_Busy</v>
      </c>
      <c r="N48" s="7" t="str">
        <f ca="1"/>
        <v>Bulb_Release_Busy</v>
      </c>
      <c r="O48" s="7" t="str">
        <f ca="1"/>
        <v>Bulb_Release_Busy</v>
      </c>
      <c r="P48" s="7" t="str">
        <f ca="1"/>
        <v/>
      </c>
      <c r="Q48" s="7" t="str">
        <f ca="1"/>
        <v/>
      </c>
      <c r="T48" s="7" t="str">
        <f ca="1"/>
        <v>Z8</v>
      </c>
      <c r="U48" s="7" t="str">
        <f ca="1"/>
        <v>0xA202</v>
      </c>
      <c r="V48" s="7" t="str">
        <f ca="1"/>
        <v>MovieFrame_Release_Busy</v>
      </c>
      <c r="X48" s="8" t="s">
        <v>269</v>
      </c>
      <c r="Y48" s="8" t="s">
        <v>269</v>
      </c>
      <c r="Z48" s="8" t="s">
        <v>271</v>
      </c>
      <c r="AA48" s="8" t="s">
        <v>271</v>
      </c>
      <c r="AB48" s="7" t="s">
        <v>271</v>
      </c>
      <c r="AC48" s="7" t="s">
        <v>271</v>
      </c>
      <c r="AD48" s="7" t="s">
        <v>271</v>
      </c>
      <c r="AE48" s="7" t="s">
        <v>271</v>
      </c>
      <c r="AF48" s="7" t="s">
        <v>271</v>
      </c>
      <c r="AG48" s="7" t="s">
        <v>271</v>
      </c>
      <c r="AH48" s="7" t="s">
        <v>271</v>
      </c>
      <c r="AI48" s="7" t="s">
        <v>271</v>
      </c>
      <c r="AJ48" s="7" t="s">
        <v>271</v>
      </c>
      <c r="AK48" s="7" t="s">
        <v>271</v>
      </c>
    </row>
    <row r="49" spans="1:37" x14ac:dyDescent="0.25">
      <c r="A49" s="13" t="str">
        <f ca="1"/>
        <v>0xA201</v>
      </c>
      <c r="B49" s="14" t="str">
        <f ca="1"/>
        <v>Silent_Release_Busy</v>
      </c>
      <c r="D49" s="8" t="str">
        <f ca="1"/>
        <v>Silent_Release_Busy</v>
      </c>
      <c r="E49" s="8" t="str">
        <f ca="1"/>
        <v>Silent_Release_Busy</v>
      </c>
      <c r="F49" s="8" t="str">
        <f ca="1"/>
        <v>Silent_Release_Busy</v>
      </c>
      <c r="G49" s="8" t="str">
        <f ca="1"/>
        <v>Silent_Release_Busy</v>
      </c>
      <c r="H49" s="7" t="str">
        <f ca="1"/>
        <v>Silent_Release_Busy</v>
      </c>
      <c r="I49" s="7" t="str">
        <f ca="1"/>
        <v>Silent_Release_Busy</v>
      </c>
      <c r="J49" s="7" t="str">
        <f ca="1"/>
        <v>Silent_Release_Busy</v>
      </c>
      <c r="K49" s="7" t="str">
        <f ca="1"/>
        <v>Silent_Release_Busy</v>
      </c>
      <c r="L49" s="7" t="str">
        <f ca="1"/>
        <v>Silent_Release_Busy</v>
      </c>
      <c r="M49" s="7" t="str">
        <f ca="1"/>
        <v>Silent_Release_Busy</v>
      </c>
      <c r="N49" s="7" t="str">
        <f ca="1"/>
        <v>Silent_Release_Busy</v>
      </c>
      <c r="O49" s="7" t="str">
        <f ca="1"/>
        <v>Silent_Release_Busy</v>
      </c>
      <c r="P49" s="7" t="str">
        <f ca="1"/>
        <v/>
      </c>
      <c r="Q49" s="7" t="str">
        <f ca="1"/>
        <v/>
      </c>
      <c r="T49" s="7" t="str">
        <f ca="1"/>
        <v>Z8</v>
      </c>
      <c r="U49" s="7" t="str">
        <f ca="1"/>
        <v>0xA204</v>
      </c>
      <c r="V49" s="7" t="str">
        <f ca="1"/>
        <v>Shutter_Speed_Time</v>
      </c>
      <c r="X49" s="8" t="s">
        <v>270</v>
      </c>
      <c r="Y49" s="8" t="s">
        <v>270</v>
      </c>
      <c r="Z49" s="8" t="s">
        <v>272</v>
      </c>
      <c r="AA49" s="8" t="s">
        <v>272</v>
      </c>
      <c r="AB49" s="7" t="s">
        <v>272</v>
      </c>
      <c r="AC49" s="7" t="s">
        <v>272</v>
      </c>
      <c r="AD49" s="7" t="s">
        <v>272</v>
      </c>
      <c r="AE49" s="7" t="s">
        <v>272</v>
      </c>
      <c r="AF49" s="7" t="s">
        <v>272</v>
      </c>
      <c r="AG49" s="7" t="s">
        <v>272</v>
      </c>
      <c r="AH49" s="7" t="s">
        <v>272</v>
      </c>
      <c r="AI49" s="7" t="s">
        <v>272</v>
      </c>
      <c r="AJ49" s="7" t="s">
        <v>272</v>
      </c>
      <c r="AK49" s="7" t="s">
        <v>272</v>
      </c>
    </row>
    <row r="50" spans="1:37" x14ac:dyDescent="0.25">
      <c r="A50" s="13" t="str">
        <f ca="1"/>
        <v>0xA202</v>
      </c>
      <c r="B50" s="14" t="str">
        <f ca="1"/>
        <v>MovieFrame_Release_Busy</v>
      </c>
      <c r="D50" s="8" t="str">
        <f ca="1"/>
        <v>MovieFrame_Release_Busy</v>
      </c>
      <c r="E50" s="8" t="str">
        <f ca="1"/>
        <v>MovieFrame_Release_Busy</v>
      </c>
      <c r="F50" s="8" t="str">
        <f ca="1"/>
        <v>MovieFrame_Release_Busy</v>
      </c>
      <c r="G50" s="8" t="str">
        <f ca="1"/>
        <v>MovieFrame_Release_Busy</v>
      </c>
      <c r="H50" s="7" t="str">
        <f ca="1"/>
        <v>MovieFrame_Release_Busy</v>
      </c>
      <c r="I50" s="7" t="str">
        <f ca="1"/>
        <v>MovieFrame_Release_Busy</v>
      </c>
      <c r="J50" s="7" t="str">
        <f ca="1"/>
        <v>MovieFrame_Release_Busy</v>
      </c>
      <c r="K50" s="7" t="str">
        <f ca="1"/>
        <v>MovieFrame_Release_Busy</v>
      </c>
      <c r="L50" s="7" t="str">
        <f ca="1"/>
        <v>MovieFrame_Release_Busy</v>
      </c>
      <c r="M50" s="7" t="str">
        <f ca="1"/>
        <v>MovieFrame_Release_Busy</v>
      </c>
      <c r="N50" s="7" t="str">
        <f ca="1"/>
        <v>MovieFrame_Release_Busy</v>
      </c>
      <c r="O50" s="7" t="str">
        <f ca="1"/>
        <v>MovieFrame_Release_Busy</v>
      </c>
      <c r="P50" s="7" t="str">
        <f ca="1"/>
        <v/>
      </c>
      <c r="Q50" s="7" t="str">
        <f ca="1"/>
        <v/>
      </c>
      <c r="T50" s="7" t="str">
        <f ca="1"/>
        <v>Z8</v>
      </c>
      <c r="U50" s="7" t="str">
        <f ca="1"/>
        <v>0xA209</v>
      </c>
      <c r="V50" s="7" t="str">
        <f ca="1"/>
        <v>Invalid_SBAttribute_Value</v>
      </c>
      <c r="X50" s="8" t="s">
        <v>271</v>
      </c>
      <c r="Y50" s="8" t="s">
        <v>271</v>
      </c>
      <c r="Z50" s="8" t="s">
        <v>273</v>
      </c>
      <c r="AA50" s="8" t="s">
        <v>273</v>
      </c>
      <c r="AB50" s="7" t="s">
        <v>273</v>
      </c>
      <c r="AC50" s="7" t="s">
        <v>273</v>
      </c>
      <c r="AD50" s="7" t="s">
        <v>273</v>
      </c>
      <c r="AE50" s="7" t="s">
        <v>273</v>
      </c>
      <c r="AF50" s="7" t="s">
        <v>273</v>
      </c>
      <c r="AG50" s="7" t="s">
        <v>273</v>
      </c>
      <c r="AH50" s="7" t="s">
        <v>273</v>
      </c>
      <c r="AI50" s="7" t="s">
        <v>273</v>
      </c>
      <c r="AJ50" s="7" t="s">
        <v>273</v>
      </c>
      <c r="AK50" s="7" t="s">
        <v>273</v>
      </c>
    </row>
    <row r="51" spans="1:37" x14ac:dyDescent="0.25">
      <c r="A51" s="13" t="str">
        <f ca="1"/>
        <v>0xA204</v>
      </c>
      <c r="B51" s="14" t="str">
        <f ca="1"/>
        <v>Shutter_Speed_Time</v>
      </c>
      <c r="D51" s="8" t="str">
        <f ca="1"/>
        <v>Shutter_Speed_Time</v>
      </c>
      <c r="E51" s="8" t="str">
        <f ca="1"/>
        <v>Shutter_Speed_Time</v>
      </c>
      <c r="F51" s="8" t="str">
        <f ca="1"/>
        <v>Shutter_Speed_Time</v>
      </c>
      <c r="G51" s="8" t="str">
        <f ca="1"/>
        <v>Shutter_Speed_Time</v>
      </c>
      <c r="H51" s="7" t="str">
        <f ca="1"/>
        <v>Shutter_Speed_Time</v>
      </c>
      <c r="I51" s="7" t="str">
        <f ca="1"/>
        <v>Shutter_Speed_Time</v>
      </c>
      <c r="J51" s="7" t="str">
        <f ca="1"/>
        <v>Shutter_Speed_Time</v>
      </c>
      <c r="K51" s="7" t="str">
        <f ca="1"/>
        <v>Shutter_Speed_Time</v>
      </c>
      <c r="L51" s="7" t="str">
        <f ca="1"/>
        <v>Shutter_Speed_Time</v>
      </c>
      <c r="M51" s="7" t="str">
        <f ca="1"/>
        <v>Shutter_Speed_Time</v>
      </c>
      <c r="N51" s="7" t="str">
        <f ca="1"/>
        <v>Shutter_Speed_Time</v>
      </c>
      <c r="O51" s="7" t="str">
        <f ca="1"/>
        <v/>
      </c>
      <c r="P51" s="7" t="str">
        <f ca="1"/>
        <v/>
      </c>
      <c r="Q51" s="7" t="str">
        <f ca="1"/>
        <v/>
      </c>
      <c r="T51" s="7" t="str">
        <f ca="1"/>
        <v>Z8</v>
      </c>
      <c r="U51" s="7" t="str">
        <f ca="1"/>
        <v>0xA210</v>
      </c>
      <c r="V51" s="7" t="str">
        <f ca="1"/>
        <v>Invalid_Data</v>
      </c>
      <c r="X51" s="8" t="s">
        <v>272</v>
      </c>
      <c r="Y51" s="8" t="s">
        <v>272</v>
      </c>
      <c r="Z51" s="8" t="s">
        <v>274</v>
      </c>
      <c r="AA51" s="8" t="s">
        <v>274</v>
      </c>
      <c r="AB51" s="7" t="s">
        <v>274</v>
      </c>
      <c r="AC51" s="7" t="s">
        <v>274</v>
      </c>
      <c r="AD51" s="7" t="s">
        <v>274</v>
      </c>
      <c r="AE51" s="7" t="s">
        <v>274</v>
      </c>
      <c r="AF51" s="7" t="s">
        <v>274</v>
      </c>
      <c r="AG51" s="7" t="s">
        <v>274</v>
      </c>
      <c r="AH51" s="7" t="s">
        <v>274</v>
      </c>
      <c r="AI51" s="7" t="s">
        <v>274</v>
      </c>
      <c r="AJ51" s="7" t="s">
        <v>274</v>
      </c>
      <c r="AK51" s="7" t="s">
        <v>274</v>
      </c>
    </row>
    <row r="52" spans="1:37" x14ac:dyDescent="0.25">
      <c r="A52" s="13" t="str">
        <f ca="1"/>
        <v>0xA207</v>
      </c>
      <c r="B52" s="14" t="str">
        <f ca="1"/>
        <v>Waiting_2ndRelease</v>
      </c>
      <c r="D52" s="8" t="str">
        <f ca="1"/>
        <v/>
      </c>
      <c r="E52" s="8" t="str">
        <f ca="1"/>
        <v/>
      </c>
      <c r="F52" s="8" t="str">
        <f ca="1"/>
        <v/>
      </c>
      <c r="G52" s="8" t="str">
        <f ca="1"/>
        <v/>
      </c>
      <c r="H52" s="7" t="str">
        <f ca="1"/>
        <v/>
      </c>
      <c r="I52" s="7" t="str">
        <f ca="1"/>
        <v/>
      </c>
      <c r="J52" s="7" t="str">
        <f ca="1"/>
        <v/>
      </c>
      <c r="K52" s="7" t="str">
        <f ca="1"/>
        <v/>
      </c>
      <c r="L52" s="7" t="str">
        <f ca="1"/>
        <v>Waiting_2ndRelease</v>
      </c>
      <c r="M52" s="7" t="str">
        <f ca="1"/>
        <v>Waiting_2ndRelease</v>
      </c>
      <c r="N52" s="7" t="str">
        <f ca="1"/>
        <v/>
      </c>
      <c r="O52" s="7" t="str">
        <f ca="1"/>
        <v/>
      </c>
      <c r="P52" s="7" t="str">
        <f ca="1"/>
        <v/>
      </c>
      <c r="Q52" s="7" t="str">
        <f ca="1"/>
        <v/>
      </c>
      <c r="T52" s="7" t="str">
        <f ca="1"/>
        <v>Z8</v>
      </c>
      <c r="U52" s="7" t="str">
        <f ca="1"/>
        <v>0xA801</v>
      </c>
      <c r="V52" s="7" t="str">
        <f ca="1"/>
        <v>Invalid_ObjectPropCode</v>
      </c>
      <c r="X52" s="8" t="s">
        <v>273</v>
      </c>
      <c r="Y52" s="8" t="s">
        <v>273</v>
      </c>
      <c r="Z52" s="8" t="s">
        <v>275</v>
      </c>
      <c r="AA52" s="8" t="s">
        <v>275</v>
      </c>
      <c r="AB52" s="7" t="s">
        <v>275</v>
      </c>
      <c r="AC52" s="7" t="s">
        <v>275</v>
      </c>
      <c r="AD52" s="7" t="s">
        <v>275</v>
      </c>
      <c r="AE52" s="7" t="s">
        <v>275</v>
      </c>
      <c r="AF52" s="7" t="s">
        <v>275</v>
      </c>
      <c r="AG52" s="7" t="s">
        <v>275</v>
      </c>
      <c r="AH52" s="7" t="s">
        <v>275</v>
      </c>
      <c r="AI52" s="7" t="s">
        <v>275</v>
      </c>
      <c r="AJ52" s="7" t="s">
        <v>275</v>
      </c>
      <c r="AK52" s="7" t="s">
        <v>275</v>
      </c>
    </row>
    <row r="53" spans="1:37" x14ac:dyDescent="0.25">
      <c r="A53" s="13" t="str">
        <f ca="1"/>
        <v>0xA208</v>
      </c>
      <c r="B53" s="14" t="str">
        <f ca="1"/>
        <v>MirrorUpCapture_Already_Start</v>
      </c>
      <c r="D53" s="8" t="str">
        <f ca="1"/>
        <v/>
      </c>
      <c r="E53" s="8" t="str">
        <f ca="1"/>
        <v/>
      </c>
      <c r="F53" s="8" t="str">
        <f ca="1"/>
        <v/>
      </c>
      <c r="G53" s="8" t="str">
        <f ca="1"/>
        <v/>
      </c>
      <c r="H53" s="7" t="str">
        <f ca="1"/>
        <v/>
      </c>
      <c r="I53" s="7" t="str">
        <f ca="1"/>
        <v/>
      </c>
      <c r="J53" s="7" t="str">
        <f ca="1"/>
        <v/>
      </c>
      <c r="K53" s="7" t="str">
        <f ca="1"/>
        <v/>
      </c>
      <c r="L53" s="7" t="str">
        <f ca="1"/>
        <v>MirrorUpCapture_Already_Start</v>
      </c>
      <c r="M53" s="7" t="str">
        <f ca="1"/>
        <v>MirrorUpCapture_Already_Start</v>
      </c>
      <c r="N53" s="7" t="str">
        <f ca="1"/>
        <v/>
      </c>
      <c r="O53" s="7" t="str">
        <f ca="1"/>
        <v/>
      </c>
      <c r="P53" s="7" t="str">
        <f ca="1"/>
        <v/>
      </c>
      <c r="Q53" s="7" t="str">
        <f ca="1"/>
        <v/>
      </c>
      <c r="T53" s="7" t="str">
        <f ca="1"/>
        <v>Z8</v>
      </c>
      <c r="U53" s="7" t="str">
        <f ca="1"/>
        <v>0xA802</v>
      </c>
      <c r="V53" s="7" t="str">
        <f ca="1"/>
        <v>Invalid_ObjectProp_Format</v>
      </c>
      <c r="X53" s="8" t="s">
        <v>274</v>
      </c>
      <c r="Y53" s="8" t="s">
        <v>274</v>
      </c>
      <c r="Z53" s="8" t="s">
        <v>276</v>
      </c>
      <c r="AA53" s="8" t="s">
        <v>276</v>
      </c>
      <c r="AB53" s="7" t="s">
        <v>276</v>
      </c>
      <c r="AC53" s="7" t="s">
        <v>276</v>
      </c>
      <c r="AD53" s="7" t="s">
        <v>276</v>
      </c>
      <c r="AE53" s="7" t="s">
        <v>276</v>
      </c>
      <c r="AF53" s="7" t="s">
        <v>276</v>
      </c>
      <c r="AG53" s="7" t="s">
        <v>276</v>
      </c>
      <c r="AH53" s="7" t="s">
        <v>276</v>
      </c>
      <c r="AI53" s="7" t="s">
        <v>276</v>
      </c>
      <c r="AJ53" s="7" t="s">
        <v>276</v>
      </c>
      <c r="AK53" s="7" t="s">
        <v>276</v>
      </c>
    </row>
    <row r="54" spans="1:37" x14ac:dyDescent="0.25">
      <c r="A54" s="13" t="str">
        <f ca="1"/>
        <v>0xA209</v>
      </c>
      <c r="B54" s="14" t="str">
        <f ca="1"/>
        <v>Invalid_SBAttribute_Value</v>
      </c>
      <c r="D54" s="8" t="str">
        <f ca="1"/>
        <v>Invalid_SBAttribute_Value</v>
      </c>
      <c r="E54" s="8" t="str">
        <f ca="1"/>
        <v>Invalid_SBAttribute_Value</v>
      </c>
      <c r="F54" s="8" t="str">
        <f ca="1"/>
        <v>Invalid_SBAttribute_Value</v>
      </c>
      <c r="G54" s="8" t="str">
        <f ca="1"/>
        <v>Invalid_SBAttribute_Value</v>
      </c>
      <c r="H54" s="7" t="str">
        <f ca="1"/>
        <v/>
      </c>
      <c r="I54" s="7" t="str">
        <f ca="1"/>
        <v>Invalid_SBAttribute_Value</v>
      </c>
      <c r="J54" s="7" t="str">
        <f ca="1"/>
        <v>Invalid_SBAttribute_Value</v>
      </c>
      <c r="K54" s="7" t="str">
        <f ca="1"/>
        <v>Invalid_SBAttribute_Value</v>
      </c>
      <c r="L54" s="7" t="str">
        <f ca="1"/>
        <v>Invalid_SBAttribute_Value</v>
      </c>
      <c r="M54" s="7" t="str">
        <f ca="1"/>
        <v>Invalid_SBAttribute_Value</v>
      </c>
      <c r="N54" s="7" t="str">
        <f ca="1"/>
        <v/>
      </c>
      <c r="O54" s="7" t="str">
        <f ca="1"/>
        <v/>
      </c>
      <c r="P54" s="7" t="str">
        <f ca="1"/>
        <v/>
      </c>
      <c r="Q54" s="7" t="str">
        <f ca="1"/>
        <v/>
      </c>
      <c r="T54" s="7" t="str">
        <f ca="1"/>
        <v>Z8</v>
      </c>
      <c r="U54" s="7" t="str">
        <f ca="1"/>
        <v>0xA80A</v>
      </c>
      <c r="V54" s="7" t="str">
        <f ca="1"/>
        <v>ObjectProp_Not_Supported</v>
      </c>
      <c r="X54" s="8" t="s">
        <v>275</v>
      </c>
      <c r="Y54" s="8" t="s">
        <v>275</v>
      </c>
      <c r="Z54" s="8" t="s">
        <v>277</v>
      </c>
      <c r="AA54" s="8" t="s">
        <v>277</v>
      </c>
      <c r="AB54" s="7" t="s">
        <v>277</v>
      </c>
      <c r="AC54" s="7" t="s">
        <v>277</v>
      </c>
      <c r="AD54" s="7" t="s">
        <v>277</v>
      </c>
      <c r="AE54" s="7" t="s">
        <v>277</v>
      </c>
      <c r="AF54" s="7" t="s">
        <v>277</v>
      </c>
      <c r="AG54" s="7" t="s">
        <v>277</v>
      </c>
      <c r="AH54" s="7" t="s">
        <v>277</v>
      </c>
      <c r="AI54" s="7" t="s">
        <v>277</v>
      </c>
      <c r="AJ54" s="7" t="s">
        <v>277</v>
      </c>
      <c r="AK54" s="7" t="s">
        <v>277</v>
      </c>
    </row>
    <row r="55" spans="1:37" x14ac:dyDescent="0.25">
      <c r="A55" s="13" t="str">
        <f ca="1"/>
        <v>0xA210</v>
      </c>
      <c r="B55" s="14" t="str">
        <f ca="1"/>
        <v>Invalid_Data</v>
      </c>
      <c r="D55" s="8" t="str">
        <f ca="1"/>
        <v>Invalid_Data</v>
      </c>
      <c r="E55" s="8" t="str">
        <f ca="1"/>
        <v>Invalid_Data</v>
      </c>
      <c r="F55" s="8" t="str">
        <f ca="1"/>
        <v/>
      </c>
      <c r="G55" s="8" t="str">
        <f ca="1"/>
        <v/>
      </c>
      <c r="H55" s="7" t="str">
        <f ca="1"/>
        <v/>
      </c>
      <c r="I55" s="7" t="str">
        <f ca="1"/>
        <v/>
      </c>
      <c r="J55" s="7" t="str">
        <f ca="1"/>
        <v/>
      </c>
      <c r="K55" s="7" t="str">
        <f ca="1"/>
        <v/>
      </c>
      <c r="L55" s="7" t="str">
        <f ca="1"/>
        <v>Invalid_Data</v>
      </c>
      <c r="M55" s="7" t="str">
        <f ca="1"/>
        <v/>
      </c>
      <c r="N55" s="7" t="str">
        <f ca="1"/>
        <v/>
      </c>
      <c r="O55" s="7" t="str">
        <f ca="1"/>
        <v/>
      </c>
      <c r="P55" s="7" t="str">
        <f ca="1"/>
        <v/>
      </c>
      <c r="Q55" s="7" t="str">
        <f ca="1"/>
        <v/>
      </c>
      <c r="T55" s="7" t="str">
        <f ca="1"/>
        <v>Z9</v>
      </c>
      <c r="U55" s="7" t="str">
        <f ca="1"/>
        <v>0x2001</v>
      </c>
      <c r="V55" s="7" t="str">
        <f ca="1"/>
        <v>OK</v>
      </c>
      <c r="X55" s="8" t="s">
        <v>276</v>
      </c>
      <c r="Y55" s="8" t="s">
        <v>276</v>
      </c>
      <c r="Z55" s="8" t="s">
        <v>278</v>
      </c>
      <c r="AA55" s="8" t="s">
        <v>278</v>
      </c>
      <c r="AB55" s="7" t="s">
        <v>278</v>
      </c>
      <c r="AC55" s="7" t="s">
        <v>278</v>
      </c>
      <c r="AD55" s="7" t="s">
        <v>278</v>
      </c>
      <c r="AE55" s="7" t="s">
        <v>278</v>
      </c>
      <c r="AF55" s="7" t="s">
        <v>278</v>
      </c>
      <c r="AG55" s="7" t="s">
        <v>280</v>
      </c>
      <c r="AH55" s="7" t="s">
        <v>280</v>
      </c>
      <c r="AI55" s="7" t="s">
        <v>280</v>
      </c>
      <c r="AJ55" s="7" t="s">
        <v>278</v>
      </c>
      <c r="AK55" s="7" t="s">
        <v>278</v>
      </c>
    </row>
    <row r="56" spans="1:37" x14ac:dyDescent="0.25">
      <c r="A56" s="13" t="str">
        <f ca="1"/>
        <v>0xA801</v>
      </c>
      <c r="B56" s="14" t="str">
        <f ca="1"/>
        <v>Invalid_ObjectPropCode</v>
      </c>
      <c r="D56" s="8" t="str">
        <f ca="1"/>
        <v>Invalid_ObjectPropCode</v>
      </c>
      <c r="E56" s="8" t="str">
        <f ca="1"/>
        <v>Invalid_ObjectPropCode</v>
      </c>
      <c r="F56" s="8" t="str">
        <f ca="1"/>
        <v>Invalid_ObjectPropCode</v>
      </c>
      <c r="G56" s="8" t="str">
        <f ca="1"/>
        <v>Invalid_ObjectPropCode</v>
      </c>
      <c r="H56" s="7" t="str">
        <f ca="1"/>
        <v>Invalid_ObjectPropCode</v>
      </c>
      <c r="I56" s="7" t="str">
        <f ca="1"/>
        <v>Invalid_ObjectPropCode</v>
      </c>
      <c r="J56" s="7" t="str">
        <f ca="1"/>
        <v>Invalid_ObjectPropCode</v>
      </c>
      <c r="K56" s="7" t="str">
        <f ca="1"/>
        <v>Invalid_ObjectPropCode</v>
      </c>
      <c r="L56" s="7" t="str">
        <f ca="1"/>
        <v>Invalid_ObjectPropCode</v>
      </c>
      <c r="M56" s="7" t="str">
        <f ca="1"/>
        <v>Invalid_ObjectPropCode</v>
      </c>
      <c r="N56" s="7" t="str">
        <f ca="1"/>
        <v>Invalid_ObjectPropCode</v>
      </c>
      <c r="O56" s="7" t="str">
        <f ca="1"/>
        <v>Invalid_ObjectPropCode</v>
      </c>
      <c r="P56" s="7" t="str">
        <f ca="1"/>
        <v>Invalid_ObjectPropCode</v>
      </c>
      <c r="Q56" s="7" t="str">
        <f ca="1"/>
        <v>Invalid_ObjectPropCode</v>
      </c>
      <c r="T56" s="7" t="str">
        <f ca="1"/>
        <v>Z9</v>
      </c>
      <c r="U56" s="7" t="str">
        <f ca="1"/>
        <v>0x2002</v>
      </c>
      <c r="V56" s="7" t="str">
        <f ca="1"/>
        <v>General_Error</v>
      </c>
      <c r="X56" s="8" t="s">
        <v>277</v>
      </c>
      <c r="Y56" s="8" t="s">
        <v>277</v>
      </c>
      <c r="Z56" s="8" t="s">
        <v>279</v>
      </c>
      <c r="AA56" s="8" t="s">
        <v>279</v>
      </c>
      <c r="AB56" s="7" t="s">
        <v>279</v>
      </c>
      <c r="AC56" s="7" t="s">
        <v>279</v>
      </c>
      <c r="AD56" s="7" t="s">
        <v>279</v>
      </c>
      <c r="AE56" s="7" t="s">
        <v>279</v>
      </c>
      <c r="AF56" s="7" t="s">
        <v>279</v>
      </c>
      <c r="AG56" s="7" t="s">
        <v>281</v>
      </c>
      <c r="AH56" s="7" t="s">
        <v>281</v>
      </c>
      <c r="AI56" s="7" t="s">
        <v>281</v>
      </c>
      <c r="AJ56" s="7" t="s">
        <v>1745</v>
      </c>
      <c r="AK56" s="7" t="s">
        <v>1745</v>
      </c>
    </row>
    <row r="57" spans="1:37" x14ac:dyDescent="0.25">
      <c r="A57" s="13" t="str">
        <f ca="1"/>
        <v>0xA802</v>
      </c>
      <c r="B57" s="14" t="str">
        <f ca="1"/>
        <v>Invalid_ObjectProp_Format</v>
      </c>
      <c r="D57" s="8" t="str">
        <f ca="1"/>
        <v>Invalid_ObjectProp_Format</v>
      </c>
      <c r="E57" s="8" t="str">
        <f ca="1"/>
        <v>Invalid_ObjectProp_Format</v>
      </c>
      <c r="F57" s="8" t="str">
        <f ca="1"/>
        <v>Invalid_ObjectProp_Format</v>
      </c>
      <c r="G57" s="8" t="str">
        <f ca="1"/>
        <v>Invalid_ObjectProp_Format</v>
      </c>
      <c r="H57" s="7" t="str">
        <f ca="1"/>
        <v>Invalid_ObjectProp_Format</v>
      </c>
      <c r="I57" s="7" t="str">
        <f ca="1"/>
        <v>Invalid_ObjectProp_Format</v>
      </c>
      <c r="J57" s="7" t="str">
        <f ca="1"/>
        <v>Invalid_ObjectProp_Format</v>
      </c>
      <c r="K57" s="7" t="str">
        <f ca="1"/>
        <v>Invalid_ObjectProp_Format</v>
      </c>
      <c r="L57" s="7" t="str">
        <f ca="1"/>
        <v>Invalid_ObjectProp_Format</v>
      </c>
      <c r="M57" s="7" t="str">
        <f ca="1"/>
        <v>Invalid_ObjectProp_Format</v>
      </c>
      <c r="N57" s="7" t="str">
        <f ca="1"/>
        <v>Invalid_ObjectProp_Format</v>
      </c>
      <c r="O57" s="7" t="str">
        <f ca="1"/>
        <v>Invalid_ObjectProp_Format</v>
      </c>
      <c r="P57" s="7" t="str">
        <f ca="1"/>
        <v>Invalid_ObjectProp_Format</v>
      </c>
      <c r="Q57" s="7" t="str">
        <f ca="1"/>
        <v>Invalid_ObjectProp_Format</v>
      </c>
      <c r="T57" s="7" t="str">
        <f ca="1"/>
        <v>Z9</v>
      </c>
      <c r="U57" s="7" t="str">
        <f ca="1"/>
        <v>0x2003</v>
      </c>
      <c r="V57" s="7" t="str">
        <f ca="1"/>
        <v>Session_Not_Open</v>
      </c>
      <c r="X57" s="8" t="s">
        <v>278</v>
      </c>
      <c r="Y57" s="8" t="s">
        <v>278</v>
      </c>
      <c r="Z57" s="8" t="s">
        <v>280</v>
      </c>
      <c r="AA57" s="8" t="s">
        <v>280</v>
      </c>
      <c r="AB57" s="7" t="s">
        <v>280</v>
      </c>
      <c r="AC57" s="7" t="s">
        <v>280</v>
      </c>
      <c r="AD57" s="7" t="s">
        <v>280</v>
      </c>
      <c r="AE57" s="7" t="s">
        <v>280</v>
      </c>
      <c r="AF57" s="7" t="s">
        <v>280</v>
      </c>
      <c r="AG57" s="7" t="s">
        <v>282</v>
      </c>
      <c r="AH57" s="7" t="s">
        <v>282</v>
      </c>
      <c r="AI57" s="7" t="s">
        <v>282</v>
      </c>
      <c r="AJ57" s="7" t="s">
        <v>280</v>
      </c>
      <c r="AK57" s="7" t="s">
        <v>280</v>
      </c>
    </row>
    <row r="58" spans="1:37" x14ac:dyDescent="0.25">
      <c r="A58" s="13" t="str">
        <f ca="1"/>
        <v>0xA803</v>
      </c>
      <c r="B58" s="14" t="str">
        <f ca="1"/>
        <v>Invalid_ObjectProp_Value</v>
      </c>
      <c r="D58" s="8" t="str">
        <f ca="1"/>
        <v/>
      </c>
      <c r="E58" s="8" t="str">
        <f ca="1"/>
        <v>Invalid_ObjectProp_Value</v>
      </c>
      <c r="F58" s="8" t="str">
        <f ca="1"/>
        <v/>
      </c>
      <c r="G58" s="8" t="str">
        <f ca="1"/>
        <v/>
      </c>
      <c r="H58" s="7" t="str">
        <f ca="1"/>
        <v/>
      </c>
      <c r="I58" s="7" t="str">
        <f ca="1"/>
        <v/>
      </c>
      <c r="J58" s="7" t="str">
        <f ca="1"/>
        <v/>
      </c>
      <c r="K58" s="7" t="str">
        <f ca="1"/>
        <v/>
      </c>
      <c r="L58" s="7" t="str">
        <f ca="1"/>
        <v/>
      </c>
      <c r="M58" s="7" t="str">
        <f ca="1"/>
        <v/>
      </c>
      <c r="N58" s="7" t="str">
        <f ca="1"/>
        <v/>
      </c>
      <c r="O58" s="7" t="str">
        <f ca="1"/>
        <v/>
      </c>
      <c r="P58" s="7" t="str">
        <f ca="1"/>
        <v/>
      </c>
      <c r="Q58" s="7" t="str">
        <f ca="1"/>
        <v/>
      </c>
      <c r="T58" s="7" t="str">
        <f ca="1"/>
        <v>Z9</v>
      </c>
      <c r="U58" s="7" t="str">
        <f ca="1"/>
        <v>0x2004</v>
      </c>
      <c r="V58" s="7" t="str">
        <f ca="1"/>
        <v>Invalid_TransactionID</v>
      </c>
      <c r="X58" s="8" t="s">
        <v>279</v>
      </c>
      <c r="Y58" s="8" t="s">
        <v>279</v>
      </c>
      <c r="Z58" s="8" t="s">
        <v>281</v>
      </c>
      <c r="AA58" s="8" t="s">
        <v>281</v>
      </c>
      <c r="AB58" s="7" t="s">
        <v>281</v>
      </c>
      <c r="AC58" s="7" t="s">
        <v>281</v>
      </c>
      <c r="AD58" s="7" t="s">
        <v>281</v>
      </c>
      <c r="AE58" s="7" t="s">
        <v>281</v>
      </c>
      <c r="AF58" s="7" t="s">
        <v>281</v>
      </c>
      <c r="AG58" s="7" t="s">
        <v>283</v>
      </c>
      <c r="AH58" s="7" t="s">
        <v>283</v>
      </c>
      <c r="AI58" s="7" t="s">
        <v>283</v>
      </c>
      <c r="AJ58" s="7" t="s">
        <v>281</v>
      </c>
      <c r="AK58" s="7" t="s">
        <v>281</v>
      </c>
    </row>
    <row r="59" spans="1:37" x14ac:dyDescent="0.25">
      <c r="A59" s="13" t="str">
        <f ca="1"/>
        <v>0xA80A</v>
      </c>
      <c r="B59" s="14" t="str">
        <f ca="1"/>
        <v>ObjectProp_Not_Supported</v>
      </c>
      <c r="D59" s="8" t="str">
        <f ca="1"/>
        <v>ObjectProp_Not_Supported</v>
      </c>
      <c r="E59" s="8" t="str">
        <f ca="1"/>
        <v>ObjectProp_Not_Supported</v>
      </c>
      <c r="F59" s="8" t="str">
        <f ca="1"/>
        <v>ObjectProp_Not_Supported</v>
      </c>
      <c r="G59" s="8" t="str">
        <f ca="1"/>
        <v>ObjectProp_Not_Supported</v>
      </c>
      <c r="H59" s="7" t="str">
        <f ca="1"/>
        <v>ObjectProp_Not_Supported</v>
      </c>
      <c r="I59" s="7" t="str">
        <f ca="1"/>
        <v>ObjectProp_Not_Supported</v>
      </c>
      <c r="J59" s="7" t="str">
        <f ca="1"/>
        <v>ObjectProp_Not_Supported</v>
      </c>
      <c r="K59" s="7" t="str">
        <f ca="1"/>
        <v>ObjectProp_Not_Supported</v>
      </c>
      <c r="L59" s="7" t="str">
        <f ca="1"/>
        <v>ObjectProp_Not_Supported</v>
      </c>
      <c r="M59" s="7" t="str">
        <f ca="1"/>
        <v>ObjectProp_Not_Supported</v>
      </c>
      <c r="N59" s="7" t="str">
        <f ca="1"/>
        <v/>
      </c>
      <c r="O59" s="7" t="str">
        <f ca="1"/>
        <v/>
      </c>
      <c r="P59" s="7" t="str">
        <f ca="1"/>
        <v>ObjectProp_Not_Supported</v>
      </c>
      <c r="Q59" s="7" t="str">
        <f ca="1"/>
        <v>ObjectProp_Not_Supported</v>
      </c>
      <c r="T59" s="7" t="str">
        <f ca="1"/>
        <v>Z9</v>
      </c>
      <c r="U59" s="7" t="str">
        <f ca="1"/>
        <v>0x2005</v>
      </c>
      <c r="V59" s="7" t="str">
        <f ca="1"/>
        <v>Operation_Not_Supported</v>
      </c>
      <c r="X59" s="8" t="s">
        <v>280</v>
      </c>
      <c r="Y59" s="8" t="s">
        <v>280</v>
      </c>
      <c r="Z59" s="8" t="s">
        <v>282</v>
      </c>
      <c r="AA59" s="8" t="s">
        <v>282</v>
      </c>
      <c r="AB59" s="7" t="s">
        <v>282</v>
      </c>
      <c r="AC59" s="7" t="s">
        <v>282</v>
      </c>
      <c r="AD59" s="7" t="s">
        <v>282</v>
      </c>
      <c r="AE59" s="7" t="s">
        <v>282</v>
      </c>
      <c r="AF59" s="7" t="s">
        <v>282</v>
      </c>
      <c r="AG59" s="7" t="s">
        <v>284</v>
      </c>
      <c r="AH59" s="7" t="s">
        <v>284</v>
      </c>
      <c r="AI59" s="7" t="s">
        <v>284</v>
      </c>
      <c r="AJ59" s="7" t="s">
        <v>282</v>
      </c>
      <c r="AK59" s="7" t="s">
        <v>282</v>
      </c>
    </row>
    <row r="60" spans="1:37" x14ac:dyDescent="0.25">
      <c r="T60" s="7" t="str">
        <f ca="1"/>
        <v>Z9</v>
      </c>
      <c r="U60" s="7" t="str">
        <f ca="1"/>
        <v>0x2006</v>
      </c>
      <c r="V60" s="7" t="str">
        <f ca="1"/>
        <v>Parameter_Not_Supported</v>
      </c>
      <c r="X60" s="8" t="s">
        <v>281</v>
      </c>
      <c r="Y60" s="8" t="s">
        <v>281</v>
      </c>
      <c r="Z60" s="8" t="s">
        <v>283</v>
      </c>
      <c r="AA60" s="8" t="s">
        <v>283</v>
      </c>
      <c r="AB60" s="7" t="s">
        <v>283</v>
      </c>
      <c r="AC60" s="7" t="s">
        <v>283</v>
      </c>
      <c r="AD60" s="7" t="s">
        <v>283</v>
      </c>
      <c r="AE60" s="7" t="s">
        <v>283</v>
      </c>
      <c r="AF60" s="7" t="s">
        <v>283</v>
      </c>
      <c r="AG60" s="7" t="s">
        <v>285</v>
      </c>
      <c r="AH60" s="7" t="s">
        <v>285</v>
      </c>
      <c r="AI60" s="7" t="s">
        <v>285</v>
      </c>
      <c r="AJ60" s="7" t="s">
        <v>283</v>
      </c>
      <c r="AK60" s="7" t="s">
        <v>283</v>
      </c>
    </row>
    <row r="61" spans="1:37" x14ac:dyDescent="0.25">
      <c r="T61" s="7" t="str">
        <f ca="1"/>
        <v>Z9</v>
      </c>
      <c r="U61" s="7" t="str">
        <f ca="1"/>
        <v>0x2007</v>
      </c>
      <c r="V61" s="7" t="str">
        <f ca="1"/>
        <v>Incomplete_Transfer</v>
      </c>
      <c r="X61" s="8" t="s">
        <v>282</v>
      </c>
      <c r="Y61" s="8" t="s">
        <v>282</v>
      </c>
      <c r="Z61" s="8" t="s">
        <v>284</v>
      </c>
      <c r="AA61" s="8" t="s">
        <v>284</v>
      </c>
      <c r="AB61" s="7" t="s">
        <v>284</v>
      </c>
      <c r="AC61" s="7" t="s">
        <v>284</v>
      </c>
      <c r="AD61" s="7" t="s">
        <v>284</v>
      </c>
      <c r="AE61" s="7" t="s">
        <v>284</v>
      </c>
      <c r="AF61" s="7" t="s">
        <v>284</v>
      </c>
      <c r="AG61" s="7" t="s">
        <v>286</v>
      </c>
      <c r="AH61" s="7" t="s">
        <v>286</v>
      </c>
      <c r="AI61" s="7" t="s">
        <v>286</v>
      </c>
      <c r="AJ61" s="7" t="s">
        <v>284</v>
      </c>
      <c r="AK61" s="7" t="s">
        <v>284</v>
      </c>
    </row>
    <row r="62" spans="1:37" x14ac:dyDescent="0.25">
      <c r="T62" s="7" t="str">
        <f ca="1"/>
        <v>Z9</v>
      </c>
      <c r="U62" s="7" t="str">
        <f ca="1"/>
        <v>0x2008</v>
      </c>
      <c r="V62" s="7" t="str">
        <f ca="1"/>
        <v>Invalid_StorageID</v>
      </c>
      <c r="X62" s="8" t="s">
        <v>283</v>
      </c>
      <c r="Y62" s="8" t="s">
        <v>283</v>
      </c>
      <c r="Z62" s="8" t="s">
        <v>285</v>
      </c>
      <c r="AA62" s="8" t="s">
        <v>285</v>
      </c>
      <c r="AB62" s="7" t="s">
        <v>285</v>
      </c>
      <c r="AC62" s="7" t="s">
        <v>285</v>
      </c>
      <c r="AD62" s="7" t="s">
        <v>285</v>
      </c>
      <c r="AE62" s="7" t="s">
        <v>285</v>
      </c>
      <c r="AF62" s="7" t="s">
        <v>285</v>
      </c>
      <c r="AG62" s="7" t="s">
        <v>287</v>
      </c>
      <c r="AH62" s="7" t="s">
        <v>287</v>
      </c>
      <c r="AI62" s="7" t="s">
        <v>287</v>
      </c>
      <c r="AJ62" s="7" t="s">
        <v>285</v>
      </c>
      <c r="AK62" s="7" t="s">
        <v>285</v>
      </c>
    </row>
    <row r="63" spans="1:37" x14ac:dyDescent="0.25">
      <c r="T63" s="7" t="str">
        <f ca="1"/>
        <v>Z9</v>
      </c>
      <c r="U63" s="7" t="str">
        <f ca="1"/>
        <v>0x2009</v>
      </c>
      <c r="V63" s="7" t="str">
        <f ca="1"/>
        <v>Invalid_Object_Handle</v>
      </c>
      <c r="X63" s="8" t="s">
        <v>284</v>
      </c>
      <c r="Y63" s="8" t="s">
        <v>284</v>
      </c>
      <c r="Z63" s="8" t="s">
        <v>286</v>
      </c>
      <c r="AA63" s="8" t="s">
        <v>286</v>
      </c>
      <c r="AB63" s="7" t="s">
        <v>286</v>
      </c>
      <c r="AC63" s="7" t="s">
        <v>286</v>
      </c>
      <c r="AD63" s="7" t="s">
        <v>286</v>
      </c>
      <c r="AE63" s="7" t="s">
        <v>286</v>
      </c>
      <c r="AF63" s="7" t="s">
        <v>286</v>
      </c>
      <c r="AG63" s="7" t="s">
        <v>288</v>
      </c>
      <c r="AH63" s="7" t="s">
        <v>288</v>
      </c>
      <c r="AI63" s="7" t="s">
        <v>288</v>
      </c>
      <c r="AJ63" s="7" t="s">
        <v>286</v>
      </c>
      <c r="AK63" s="7" t="s">
        <v>286</v>
      </c>
    </row>
    <row r="64" spans="1:37" x14ac:dyDescent="0.25">
      <c r="T64" s="7" t="str">
        <f ca="1"/>
        <v>Z9</v>
      </c>
      <c r="U64" s="7" t="str">
        <f ca="1"/>
        <v>0x200A</v>
      </c>
      <c r="V64" s="7" t="str">
        <f ca="1"/>
        <v>DeviceProp_Not_Supported</v>
      </c>
      <c r="X64" s="8" t="s">
        <v>285</v>
      </c>
      <c r="Y64" s="8" t="s">
        <v>285</v>
      </c>
      <c r="Z64" s="8" t="s">
        <v>287</v>
      </c>
      <c r="AA64" s="8" t="s">
        <v>287</v>
      </c>
      <c r="AB64" s="7" t="s">
        <v>287</v>
      </c>
      <c r="AC64" s="7" t="s">
        <v>287</v>
      </c>
      <c r="AD64" s="7" t="s">
        <v>287</v>
      </c>
      <c r="AE64" s="7" t="s">
        <v>287</v>
      </c>
      <c r="AF64" s="7" t="s">
        <v>287</v>
      </c>
      <c r="AG64" s="7" t="s">
        <v>289</v>
      </c>
      <c r="AH64" s="7" t="s">
        <v>289</v>
      </c>
      <c r="AI64" s="7" t="s">
        <v>289</v>
      </c>
      <c r="AJ64" s="7" t="s">
        <v>287</v>
      </c>
      <c r="AK64" s="7" t="s">
        <v>287</v>
      </c>
    </row>
    <row r="65" spans="20:37" x14ac:dyDescent="0.25">
      <c r="T65" s="7" t="str">
        <f ca="1"/>
        <v>Z9</v>
      </c>
      <c r="U65" s="7" t="str">
        <f ca="1"/>
        <v>0x200B</v>
      </c>
      <c r="V65" s="7" t="str">
        <f ca="1"/>
        <v>Invalid_ObjectFormatCode</v>
      </c>
      <c r="X65" s="8" t="s">
        <v>286</v>
      </c>
      <c r="Y65" s="8" t="s">
        <v>286</v>
      </c>
      <c r="Z65" s="8" t="s">
        <v>288</v>
      </c>
      <c r="AA65" s="8" t="s">
        <v>288</v>
      </c>
      <c r="AB65" s="7" t="s">
        <v>288</v>
      </c>
      <c r="AC65" s="7" t="s">
        <v>288</v>
      </c>
      <c r="AD65" s="7" t="s">
        <v>288</v>
      </c>
      <c r="AE65" s="7" t="s">
        <v>288</v>
      </c>
      <c r="AF65" s="7" t="s">
        <v>288</v>
      </c>
      <c r="AG65" s="7" t="s">
        <v>290</v>
      </c>
      <c r="AH65" s="7" t="s">
        <v>290</v>
      </c>
      <c r="AI65" s="7" t="s">
        <v>1731</v>
      </c>
      <c r="AJ65" s="7" t="s">
        <v>288</v>
      </c>
      <c r="AK65" s="7" t="s">
        <v>288</v>
      </c>
    </row>
    <row r="66" spans="20:37" x14ac:dyDescent="0.25">
      <c r="T66" s="7" t="str">
        <f ca="1"/>
        <v>Z9</v>
      </c>
      <c r="U66" s="7" t="str">
        <f ca="1"/>
        <v>0x200C</v>
      </c>
      <c r="V66" s="7" t="str">
        <f ca="1"/>
        <v>Store_Full</v>
      </c>
      <c r="X66" s="8" t="s">
        <v>287</v>
      </c>
      <c r="Y66" s="8" t="s">
        <v>287</v>
      </c>
      <c r="Z66" s="8" t="s">
        <v>289</v>
      </c>
      <c r="AA66" s="8" t="s">
        <v>289</v>
      </c>
      <c r="AB66" s="7" t="s">
        <v>289</v>
      </c>
      <c r="AC66" s="7" t="s">
        <v>289</v>
      </c>
      <c r="AD66" s="7" t="s">
        <v>289</v>
      </c>
      <c r="AE66" s="7" t="s">
        <v>289</v>
      </c>
      <c r="AF66" s="7" t="s">
        <v>289</v>
      </c>
      <c r="AG66" s="7" t="s">
        <v>291</v>
      </c>
      <c r="AH66" s="7" t="s">
        <v>291</v>
      </c>
      <c r="AI66" s="7" t="s">
        <v>1732</v>
      </c>
      <c r="AJ66" s="7" t="s">
        <v>289</v>
      </c>
      <c r="AK66" s="7" t="s">
        <v>289</v>
      </c>
    </row>
    <row r="67" spans="20:37" x14ac:dyDescent="0.25">
      <c r="T67" s="7" t="str">
        <f ca="1"/>
        <v>Z9</v>
      </c>
      <c r="U67" s="7" t="str">
        <f ca="1"/>
        <v>0x200D</v>
      </c>
      <c r="V67" s="7" t="str">
        <f ca="1"/>
        <v>Object_Write_Protect</v>
      </c>
      <c r="X67" s="8" t="s">
        <v>288</v>
      </c>
      <c r="Y67" s="8" t="s">
        <v>288</v>
      </c>
      <c r="Z67" s="8" t="s">
        <v>290</v>
      </c>
      <c r="AA67" s="8" t="s">
        <v>290</v>
      </c>
      <c r="AB67" s="7" t="s">
        <v>290</v>
      </c>
      <c r="AC67" s="7" t="s">
        <v>290</v>
      </c>
      <c r="AD67" s="7" t="s">
        <v>290</v>
      </c>
      <c r="AE67" s="7" t="s">
        <v>290</v>
      </c>
      <c r="AF67" s="7" t="s">
        <v>290</v>
      </c>
      <c r="AG67" s="7" t="s">
        <v>292</v>
      </c>
      <c r="AH67" s="7" t="s">
        <v>292</v>
      </c>
      <c r="AI67" s="7" t="s">
        <v>290</v>
      </c>
      <c r="AJ67" s="7" t="s">
        <v>1731</v>
      </c>
      <c r="AK67" s="7" t="s">
        <v>1731</v>
      </c>
    </row>
    <row r="68" spans="20:37" x14ac:dyDescent="0.25">
      <c r="T68" s="7" t="str">
        <f ca="1"/>
        <v>Z9</v>
      </c>
      <c r="U68" s="7" t="str">
        <f ca="1"/>
        <v>0x200E</v>
      </c>
      <c r="V68" s="7" t="str">
        <f ca="1"/>
        <v>Store_Read_Only</v>
      </c>
      <c r="X68" s="8" t="s">
        <v>289</v>
      </c>
      <c r="Y68" s="8" t="s">
        <v>289</v>
      </c>
      <c r="Z68" s="8" t="s">
        <v>291</v>
      </c>
      <c r="AA68" s="8" t="s">
        <v>291</v>
      </c>
      <c r="AB68" s="7" t="s">
        <v>291</v>
      </c>
      <c r="AC68" s="7" t="s">
        <v>291</v>
      </c>
      <c r="AD68" s="7" t="s">
        <v>291</v>
      </c>
      <c r="AE68" s="7" t="s">
        <v>291</v>
      </c>
      <c r="AF68" s="7" t="s">
        <v>291</v>
      </c>
      <c r="AG68" s="7" t="s">
        <v>293</v>
      </c>
      <c r="AH68" s="7" t="s">
        <v>293</v>
      </c>
      <c r="AI68" s="7" t="s">
        <v>291</v>
      </c>
      <c r="AJ68" s="7" t="s">
        <v>1732</v>
      </c>
      <c r="AK68" s="7" t="s">
        <v>1732</v>
      </c>
    </row>
    <row r="69" spans="20:37" x14ac:dyDescent="0.25">
      <c r="T69" s="7" t="str">
        <f ca="1"/>
        <v>Z9</v>
      </c>
      <c r="U69" s="7" t="str">
        <f ca="1"/>
        <v>0x200F</v>
      </c>
      <c r="V69" s="7" t="str">
        <f ca="1"/>
        <v>Access_Denied</v>
      </c>
      <c r="X69" s="8" t="s">
        <v>290</v>
      </c>
      <c r="Y69" s="8" t="s">
        <v>290</v>
      </c>
      <c r="Z69" s="8" t="s">
        <v>292</v>
      </c>
      <c r="AA69" s="8" t="s">
        <v>292</v>
      </c>
      <c r="AB69" s="7" t="s">
        <v>292</v>
      </c>
      <c r="AC69" s="7" t="s">
        <v>292</v>
      </c>
      <c r="AD69" s="7" t="s">
        <v>292</v>
      </c>
      <c r="AE69" s="7" t="s">
        <v>292</v>
      </c>
      <c r="AF69" s="7" t="s">
        <v>292</v>
      </c>
      <c r="AG69" s="7" t="s">
        <v>294</v>
      </c>
      <c r="AH69" s="7" t="s">
        <v>294</v>
      </c>
      <c r="AI69" s="7" t="s">
        <v>292</v>
      </c>
      <c r="AJ69" s="7" t="s">
        <v>290</v>
      </c>
      <c r="AK69" s="7" t="s">
        <v>290</v>
      </c>
    </row>
    <row r="70" spans="20:37" x14ac:dyDescent="0.25">
      <c r="T70" s="7" t="str">
        <f ca="1"/>
        <v>Z9</v>
      </c>
      <c r="U70" s="7" t="str">
        <f ca="1"/>
        <v>0x2010</v>
      </c>
      <c r="V70" s="7" t="str">
        <f ca="1"/>
        <v>No_Thumbnail_Present</v>
      </c>
      <c r="X70" s="8" t="s">
        <v>291</v>
      </c>
      <c r="Y70" s="8" t="s">
        <v>291</v>
      </c>
      <c r="Z70" s="8" t="s">
        <v>293</v>
      </c>
      <c r="AA70" s="8" t="s">
        <v>293</v>
      </c>
      <c r="AB70" s="7" t="s">
        <v>293</v>
      </c>
      <c r="AC70" s="7" t="s">
        <v>293</v>
      </c>
      <c r="AD70" s="7" t="s">
        <v>293</v>
      </c>
      <c r="AE70" s="7" t="s">
        <v>293</v>
      </c>
      <c r="AF70" s="7" t="s">
        <v>293</v>
      </c>
      <c r="AG70" s="7" t="s">
        <v>295</v>
      </c>
      <c r="AH70" s="7" t="s">
        <v>295</v>
      </c>
      <c r="AI70" s="7" t="s">
        <v>293</v>
      </c>
      <c r="AJ70" s="7" t="s">
        <v>291</v>
      </c>
      <c r="AK70" s="7" t="s">
        <v>291</v>
      </c>
    </row>
    <row r="71" spans="20:37" x14ac:dyDescent="0.25">
      <c r="T71" s="7" t="str">
        <f ca="1"/>
        <v>Z9</v>
      </c>
      <c r="U71" s="7" t="str">
        <f ca="1"/>
        <v>0x2012</v>
      </c>
      <c r="V71" s="7" t="str">
        <f ca="1"/>
        <v>Partial_Deletion</v>
      </c>
      <c r="X71" s="8" t="s">
        <v>292</v>
      </c>
      <c r="Y71" s="8" t="s">
        <v>292</v>
      </c>
      <c r="Z71" s="8" t="s">
        <v>294</v>
      </c>
      <c r="AA71" s="8" t="s">
        <v>294</v>
      </c>
      <c r="AB71" s="7" t="s">
        <v>294</v>
      </c>
      <c r="AC71" s="7" t="s">
        <v>294</v>
      </c>
      <c r="AD71" s="7" t="s">
        <v>294</v>
      </c>
      <c r="AE71" s="7" t="s">
        <v>294</v>
      </c>
      <c r="AF71" s="7" t="s">
        <v>294</v>
      </c>
      <c r="AG71" s="7" t="s">
        <v>1703</v>
      </c>
      <c r="AH71" s="7" t="s">
        <v>1703</v>
      </c>
      <c r="AI71" s="7" t="s">
        <v>294</v>
      </c>
      <c r="AJ71" s="7" t="s">
        <v>292</v>
      </c>
      <c r="AK71" s="7" t="s">
        <v>292</v>
      </c>
    </row>
    <row r="72" spans="20:37" x14ac:dyDescent="0.25">
      <c r="T72" s="7" t="str">
        <f ca="1"/>
        <v>Z9</v>
      </c>
      <c r="U72" s="7" t="str">
        <f ca="1"/>
        <v>0x2013</v>
      </c>
      <c r="V72" s="7" t="str">
        <f ca="1"/>
        <v>Store_Not_Available</v>
      </c>
      <c r="X72" s="8" t="s">
        <v>293</v>
      </c>
      <c r="Y72" s="8" t="s">
        <v>293</v>
      </c>
      <c r="Z72" s="8" t="s">
        <v>295</v>
      </c>
      <c r="AA72" s="8" t="s">
        <v>295</v>
      </c>
      <c r="AB72" s="7" t="s">
        <v>295</v>
      </c>
      <c r="AC72" s="7" t="s">
        <v>295</v>
      </c>
      <c r="AD72" s="7" t="s">
        <v>295</v>
      </c>
      <c r="AE72" s="7" t="s">
        <v>295</v>
      </c>
      <c r="AF72" s="7" t="s">
        <v>295</v>
      </c>
      <c r="AG72" s="7" t="s">
        <v>1704</v>
      </c>
      <c r="AH72" s="7" t="s">
        <v>1704</v>
      </c>
      <c r="AI72" s="7" t="s">
        <v>295</v>
      </c>
      <c r="AJ72" s="7" t="s">
        <v>293</v>
      </c>
      <c r="AK72" s="7" t="s">
        <v>293</v>
      </c>
    </row>
    <row r="73" spans="20:37" x14ac:dyDescent="0.25">
      <c r="T73" s="7" t="str">
        <f ca="1"/>
        <v>Z9</v>
      </c>
      <c r="U73" s="7" t="str">
        <f ca="1"/>
        <v>0x2014</v>
      </c>
      <c r="V73" s="7" t="str">
        <f ca="1"/>
        <v>Specification_By_Format_Unsupported</v>
      </c>
      <c r="X73" s="8" t="s">
        <v>294</v>
      </c>
      <c r="Y73" s="8" t="s">
        <v>294</v>
      </c>
      <c r="Z73" s="8" t="s">
        <v>296</v>
      </c>
      <c r="AA73" s="8" t="s">
        <v>296</v>
      </c>
      <c r="AB73" s="7" t="s">
        <v>296</v>
      </c>
      <c r="AC73" s="7" t="s">
        <v>296</v>
      </c>
      <c r="AD73" s="7" t="s">
        <v>296</v>
      </c>
      <c r="AE73" s="7" t="s">
        <v>296</v>
      </c>
      <c r="AF73" s="7" t="s">
        <v>296</v>
      </c>
      <c r="AG73" s="7" t="s">
        <v>296</v>
      </c>
      <c r="AH73" s="7" t="s">
        <v>296</v>
      </c>
      <c r="AI73" s="7" t="s">
        <v>1703</v>
      </c>
      <c r="AJ73" s="7" t="s">
        <v>294</v>
      </c>
      <c r="AK73" s="7" t="s">
        <v>294</v>
      </c>
    </row>
    <row r="74" spans="20:37" x14ac:dyDescent="0.25">
      <c r="T74" s="7" t="str">
        <f ca="1"/>
        <v>Z9</v>
      </c>
      <c r="U74" s="7" t="str">
        <f ca="1"/>
        <v>0x2015</v>
      </c>
      <c r="V74" s="7" t="str">
        <f ca="1"/>
        <v>No_Valid_ObjectInfo</v>
      </c>
      <c r="X74" s="8" t="s">
        <v>295</v>
      </c>
      <c r="Y74" s="8" t="s">
        <v>295</v>
      </c>
      <c r="Z74" s="8" t="s">
        <v>297</v>
      </c>
      <c r="AA74" s="8" t="s">
        <v>297</v>
      </c>
      <c r="AB74" s="7" t="s">
        <v>297</v>
      </c>
      <c r="AC74" s="7" t="s">
        <v>297</v>
      </c>
      <c r="AD74" s="7" t="s">
        <v>297</v>
      </c>
      <c r="AE74" s="7" t="s">
        <v>297</v>
      </c>
      <c r="AF74" s="7" t="s">
        <v>297</v>
      </c>
      <c r="AG74" s="7" t="s">
        <v>297</v>
      </c>
      <c r="AH74" s="7" t="s">
        <v>297</v>
      </c>
      <c r="AI74" s="7" t="s">
        <v>1704</v>
      </c>
      <c r="AJ74" s="7" t="s">
        <v>295</v>
      </c>
      <c r="AK74" s="7" t="s">
        <v>295</v>
      </c>
    </row>
    <row r="75" spans="20:37" x14ac:dyDescent="0.25">
      <c r="T75" s="7" t="str">
        <f ca="1"/>
        <v>Z9</v>
      </c>
      <c r="U75" s="7" t="str">
        <f ca="1"/>
        <v>0x2018</v>
      </c>
      <c r="V75" s="7" t="str">
        <f ca="1"/>
        <v>Capture_Already_Terminated</v>
      </c>
      <c r="X75" s="8" t="s">
        <v>296</v>
      </c>
      <c r="Y75" s="8" t="s">
        <v>296</v>
      </c>
      <c r="Z75" s="8" t="s">
        <v>298</v>
      </c>
      <c r="AA75" s="8" t="s">
        <v>298</v>
      </c>
      <c r="AB75" s="7" t="s">
        <v>298</v>
      </c>
      <c r="AC75" s="7" t="s">
        <v>298</v>
      </c>
      <c r="AD75" s="7" t="s">
        <v>298</v>
      </c>
      <c r="AE75" s="7" t="s">
        <v>298</v>
      </c>
      <c r="AF75" s="7" t="s">
        <v>298</v>
      </c>
      <c r="AG75" s="7" t="s">
        <v>298</v>
      </c>
      <c r="AH75" s="7" t="s">
        <v>298</v>
      </c>
      <c r="AI75" s="7" t="s">
        <v>296</v>
      </c>
      <c r="AJ75" s="7" t="s">
        <v>1703</v>
      </c>
      <c r="AK75" s="7" t="s">
        <v>1703</v>
      </c>
    </row>
    <row r="76" spans="20:37" x14ac:dyDescent="0.25">
      <c r="T76" s="7" t="str">
        <f ca="1"/>
        <v>Z9</v>
      </c>
      <c r="U76" s="7" t="str">
        <f ca="1"/>
        <v>0x2019</v>
      </c>
      <c r="V76" s="7" t="str">
        <f ca="1"/>
        <v>Device_Busy</v>
      </c>
      <c r="X76" s="8" t="s">
        <v>297</v>
      </c>
      <c r="Y76" s="8" t="s">
        <v>297</v>
      </c>
      <c r="Z76" s="8" t="s">
        <v>299</v>
      </c>
      <c r="AA76" s="8" t="s">
        <v>299</v>
      </c>
      <c r="AB76" s="7" t="s">
        <v>299</v>
      </c>
      <c r="AC76" s="7" t="s">
        <v>299</v>
      </c>
      <c r="AD76" s="7" t="s">
        <v>299</v>
      </c>
      <c r="AE76" s="7" t="s">
        <v>299</v>
      </c>
      <c r="AF76" s="7" t="s">
        <v>299</v>
      </c>
      <c r="AG76" s="7" t="s">
        <v>299</v>
      </c>
      <c r="AH76" s="7" t="s">
        <v>299</v>
      </c>
      <c r="AI76" s="7" t="s">
        <v>297</v>
      </c>
      <c r="AJ76" s="7" t="s">
        <v>1704</v>
      </c>
      <c r="AK76" s="7" t="s">
        <v>1704</v>
      </c>
    </row>
    <row r="77" spans="20:37" x14ac:dyDescent="0.25">
      <c r="T77" s="7" t="str">
        <f ca="1"/>
        <v>Z9</v>
      </c>
      <c r="U77" s="7" t="str">
        <f ca="1"/>
        <v>0x201A</v>
      </c>
      <c r="V77" s="7" t="str">
        <f ca="1"/>
        <v>Invalid_Parent_Object</v>
      </c>
      <c r="X77" s="8" t="s">
        <v>298</v>
      </c>
      <c r="Y77" s="8" t="s">
        <v>298</v>
      </c>
      <c r="Z77" s="8" t="s">
        <v>300</v>
      </c>
      <c r="AA77" s="8" t="s">
        <v>300</v>
      </c>
      <c r="AB77" s="7" t="s">
        <v>300</v>
      </c>
      <c r="AC77" s="7" t="s">
        <v>300</v>
      </c>
      <c r="AD77" s="7" t="s">
        <v>300</v>
      </c>
      <c r="AE77" s="7" t="s">
        <v>300</v>
      </c>
      <c r="AF77" s="7" t="s">
        <v>300</v>
      </c>
      <c r="AG77" s="7" t="s">
        <v>300</v>
      </c>
      <c r="AH77" s="7" t="s">
        <v>300</v>
      </c>
      <c r="AI77" s="7" t="s">
        <v>298</v>
      </c>
      <c r="AJ77" s="7" t="s">
        <v>296</v>
      </c>
      <c r="AK77" s="7" t="s">
        <v>296</v>
      </c>
    </row>
    <row r="78" spans="20:37" x14ac:dyDescent="0.25">
      <c r="T78" s="7" t="str">
        <f ca="1"/>
        <v>Z9</v>
      </c>
      <c r="U78" s="7" t="str">
        <f ca="1"/>
        <v>0x201B</v>
      </c>
      <c r="V78" s="7" t="str">
        <f ca="1"/>
        <v>Invalid_DeviceProp_Format</v>
      </c>
      <c r="X78" s="8" t="s">
        <v>299</v>
      </c>
      <c r="Y78" s="8" t="s">
        <v>299</v>
      </c>
      <c r="Z78" s="8" t="s">
        <v>301</v>
      </c>
      <c r="AA78" s="8" t="s">
        <v>301</v>
      </c>
      <c r="AB78" s="7" t="s">
        <v>301</v>
      </c>
      <c r="AC78" s="7" t="s">
        <v>301</v>
      </c>
      <c r="AD78" s="7" t="s">
        <v>301</v>
      </c>
      <c r="AE78" s="7" t="s">
        <v>301</v>
      </c>
      <c r="AF78" s="7" t="s">
        <v>301</v>
      </c>
      <c r="AG78" s="7" t="s">
        <v>301</v>
      </c>
      <c r="AH78" s="7" t="s">
        <v>301</v>
      </c>
      <c r="AI78" s="7" t="s">
        <v>299</v>
      </c>
      <c r="AJ78" s="7" t="s">
        <v>297</v>
      </c>
      <c r="AK78" s="7" t="s">
        <v>297</v>
      </c>
    </row>
    <row r="79" spans="20:37" x14ac:dyDescent="0.25">
      <c r="T79" s="7" t="str">
        <f ca="1"/>
        <v>Z9</v>
      </c>
      <c r="U79" s="7" t="str">
        <f ca="1"/>
        <v>0x201C</v>
      </c>
      <c r="V79" s="7" t="str">
        <f ca="1"/>
        <v>Invalid_DeviceProp_Value</v>
      </c>
      <c r="X79" s="8" t="s">
        <v>300</v>
      </c>
      <c r="Y79" s="8" t="s">
        <v>300</v>
      </c>
      <c r="Z79" s="8" t="s">
        <v>302</v>
      </c>
      <c r="AA79" s="8" t="s">
        <v>302</v>
      </c>
      <c r="AB79" s="7" t="s">
        <v>302</v>
      </c>
      <c r="AC79" s="7" t="s">
        <v>302</v>
      </c>
      <c r="AD79" s="7" t="s">
        <v>302</v>
      </c>
      <c r="AE79" s="7" t="s">
        <v>302</v>
      </c>
      <c r="AF79" s="7" t="s">
        <v>302</v>
      </c>
      <c r="AG79" s="7" t="s">
        <v>302</v>
      </c>
      <c r="AH79" s="7" t="s">
        <v>302</v>
      </c>
      <c r="AI79" s="7" t="s">
        <v>300</v>
      </c>
      <c r="AJ79" s="7" t="s">
        <v>298</v>
      </c>
      <c r="AK79" s="7" t="s">
        <v>298</v>
      </c>
    </row>
    <row r="80" spans="20:37" x14ac:dyDescent="0.25">
      <c r="T80" s="7" t="str">
        <f ca="1"/>
        <v>Z9</v>
      </c>
      <c r="U80" s="7" t="str">
        <f ca="1"/>
        <v>0x201D</v>
      </c>
      <c r="V80" s="7" t="str">
        <f ca="1"/>
        <v>Invalid_Parameter</v>
      </c>
      <c r="X80" s="8" t="s">
        <v>301</v>
      </c>
      <c r="Y80" s="8" t="s">
        <v>301</v>
      </c>
      <c r="Z80" s="8" t="s">
        <v>303</v>
      </c>
      <c r="AA80" s="8" t="s">
        <v>303</v>
      </c>
      <c r="AB80" s="7" t="s">
        <v>303</v>
      </c>
      <c r="AC80" s="7" t="s">
        <v>303</v>
      </c>
      <c r="AD80" s="7" t="s">
        <v>303</v>
      </c>
      <c r="AE80" s="7" t="s">
        <v>303</v>
      </c>
      <c r="AF80" s="7" t="s">
        <v>303</v>
      </c>
      <c r="AG80" s="7" t="s">
        <v>1705</v>
      </c>
      <c r="AH80" s="7" t="s">
        <v>1705</v>
      </c>
      <c r="AI80" s="7" t="s">
        <v>301</v>
      </c>
      <c r="AJ80" s="7" t="s">
        <v>299</v>
      </c>
      <c r="AK80" s="7" t="s">
        <v>299</v>
      </c>
    </row>
    <row r="81" spans="20:37" x14ac:dyDescent="0.25">
      <c r="T81" s="7" t="str">
        <f ca="1"/>
        <v>Z9</v>
      </c>
      <c r="U81" s="7" t="str">
        <f ca="1"/>
        <v>0x201E</v>
      </c>
      <c r="V81" s="7" t="str">
        <f ca="1"/>
        <v>Session_Already_Open</v>
      </c>
      <c r="X81" s="8" t="s">
        <v>302</v>
      </c>
      <c r="Y81" s="8" t="s">
        <v>302</v>
      </c>
      <c r="Z81" s="8" t="s">
        <v>304</v>
      </c>
      <c r="AA81" s="8" t="s">
        <v>304</v>
      </c>
      <c r="AB81" s="7" t="s">
        <v>304</v>
      </c>
      <c r="AC81" s="7" t="s">
        <v>304</v>
      </c>
      <c r="AD81" s="7" t="s">
        <v>304</v>
      </c>
      <c r="AE81" s="7" t="s">
        <v>304</v>
      </c>
      <c r="AF81" s="7" t="s">
        <v>304</v>
      </c>
      <c r="AG81" s="7" t="s">
        <v>304</v>
      </c>
      <c r="AH81" s="7" t="s">
        <v>304</v>
      </c>
      <c r="AI81" s="7" t="s">
        <v>302</v>
      </c>
      <c r="AJ81" s="7" t="s">
        <v>300</v>
      </c>
      <c r="AK81" s="7" t="s">
        <v>300</v>
      </c>
    </row>
    <row r="82" spans="20:37" x14ac:dyDescent="0.25">
      <c r="T82" s="7" t="str">
        <f ca="1"/>
        <v>Z9</v>
      </c>
      <c r="U82" s="7" t="str">
        <f ca="1"/>
        <v>0x201F</v>
      </c>
      <c r="V82" s="7" t="str">
        <f ca="1"/>
        <v>Transaction_Cancelled</v>
      </c>
      <c r="X82" s="8" t="s">
        <v>303</v>
      </c>
      <c r="Y82" s="8" t="s">
        <v>303</v>
      </c>
      <c r="Z82" s="8" t="s">
        <v>305</v>
      </c>
      <c r="AA82" s="8" t="s">
        <v>305</v>
      </c>
      <c r="AB82" s="7" t="s">
        <v>305</v>
      </c>
      <c r="AC82" s="7" t="s">
        <v>305</v>
      </c>
      <c r="AD82" s="7" t="s">
        <v>305</v>
      </c>
      <c r="AE82" s="7" t="s">
        <v>305</v>
      </c>
      <c r="AF82" s="7" t="s">
        <v>305</v>
      </c>
      <c r="AG82" s="7" t="s">
        <v>305</v>
      </c>
      <c r="AH82" s="7" t="s">
        <v>305</v>
      </c>
      <c r="AI82" s="7" t="s">
        <v>1705</v>
      </c>
      <c r="AJ82" s="7" t="s">
        <v>301</v>
      </c>
      <c r="AK82" s="7" t="s">
        <v>301</v>
      </c>
    </row>
    <row r="83" spans="20:37" x14ac:dyDescent="0.25">
      <c r="T83" s="7" t="str">
        <f ca="1"/>
        <v>Z9</v>
      </c>
      <c r="U83" s="7" t="str">
        <f ca="1"/>
        <v>0x2020</v>
      </c>
      <c r="V83" s="7" t="str">
        <f ca="1"/>
        <v>Specification_of_Destination_Unsupported</v>
      </c>
      <c r="X83" s="8" t="s">
        <v>304</v>
      </c>
      <c r="Y83" s="8" t="s">
        <v>304</v>
      </c>
      <c r="Z83" s="8" t="s">
        <v>306</v>
      </c>
      <c r="AA83" s="8" t="s">
        <v>306</v>
      </c>
      <c r="AB83" s="7" t="s">
        <v>306</v>
      </c>
      <c r="AC83" s="7" t="s">
        <v>306</v>
      </c>
      <c r="AD83" s="7" t="s">
        <v>306</v>
      </c>
      <c r="AE83" s="7" t="s">
        <v>306</v>
      </c>
      <c r="AF83" s="7" t="s">
        <v>306</v>
      </c>
      <c r="AG83" s="7" t="s">
        <v>306</v>
      </c>
      <c r="AH83" s="7" t="s">
        <v>306</v>
      </c>
      <c r="AI83" s="7" t="s">
        <v>306</v>
      </c>
      <c r="AJ83" s="7" t="s">
        <v>302</v>
      </c>
      <c r="AK83" s="7" t="s">
        <v>302</v>
      </c>
    </row>
    <row r="84" spans="20:37" x14ac:dyDescent="0.25">
      <c r="T84" s="7" t="str">
        <f ca="1"/>
        <v>Z9</v>
      </c>
      <c r="U84" s="7" t="str">
        <f ca="1"/>
        <v>0xA001</v>
      </c>
      <c r="V84" s="7" t="str">
        <f ca="1"/>
        <v>Hardware_Error</v>
      </c>
      <c r="X84" s="8" t="s">
        <v>305</v>
      </c>
      <c r="Y84" s="8" t="s">
        <v>305</v>
      </c>
      <c r="Z84" s="8" t="s">
        <v>307</v>
      </c>
      <c r="AA84" s="8" t="s">
        <v>307</v>
      </c>
      <c r="AB84" s="7" t="s">
        <v>307</v>
      </c>
      <c r="AC84" s="7" t="s">
        <v>307</v>
      </c>
      <c r="AD84" s="7" t="s">
        <v>307</v>
      </c>
      <c r="AE84" s="7" t="s">
        <v>307</v>
      </c>
      <c r="AF84" s="7" t="s">
        <v>307</v>
      </c>
      <c r="AG84" s="7" t="s">
        <v>307</v>
      </c>
      <c r="AH84" s="7" t="s">
        <v>307</v>
      </c>
      <c r="AI84" s="7" t="s">
        <v>307</v>
      </c>
      <c r="AJ84" s="7" t="s">
        <v>1705</v>
      </c>
      <c r="AK84" s="7" t="s">
        <v>1705</v>
      </c>
    </row>
    <row r="85" spans="20:37" x14ac:dyDescent="0.25">
      <c r="T85" s="7" t="str">
        <f ca="1"/>
        <v>Z9</v>
      </c>
      <c r="U85" s="7" t="str">
        <f ca="1"/>
        <v>0xA002</v>
      </c>
      <c r="V85" s="7" t="str">
        <f ca="1"/>
        <v>Out_of_Focus</v>
      </c>
      <c r="X85" s="8" t="s">
        <v>306</v>
      </c>
      <c r="Y85" s="8" t="s">
        <v>306</v>
      </c>
      <c r="Z85" s="8" t="s">
        <v>308</v>
      </c>
      <c r="AA85" s="8" t="s">
        <v>308</v>
      </c>
      <c r="AB85" s="7" t="s">
        <v>308</v>
      </c>
      <c r="AC85" s="7" t="s">
        <v>308</v>
      </c>
      <c r="AD85" s="7" t="s">
        <v>308</v>
      </c>
      <c r="AE85" s="7" t="s">
        <v>308</v>
      </c>
      <c r="AF85" s="7" t="s">
        <v>308</v>
      </c>
      <c r="AG85" s="7" t="s">
        <v>308</v>
      </c>
      <c r="AH85" s="7" t="s">
        <v>308</v>
      </c>
      <c r="AI85" s="7" t="s">
        <v>308</v>
      </c>
      <c r="AJ85" s="7" t="s">
        <v>322</v>
      </c>
      <c r="AK85" s="7" t="s">
        <v>322</v>
      </c>
    </row>
    <row r="86" spans="20:37" x14ac:dyDescent="0.25">
      <c r="T86" s="7" t="str">
        <f ca="1"/>
        <v>Z9</v>
      </c>
      <c r="U86" s="7" t="str">
        <f ca="1"/>
        <v>0xA003</v>
      </c>
      <c r="V86" s="7" t="str">
        <f ca="1"/>
        <v>Change_CameraMode_Failed</v>
      </c>
      <c r="X86" s="8" t="s">
        <v>307</v>
      </c>
      <c r="Y86" s="8" t="s">
        <v>307</v>
      </c>
      <c r="Z86" s="8" t="s">
        <v>309</v>
      </c>
      <c r="AA86" s="8" t="s">
        <v>309</v>
      </c>
      <c r="AB86" s="7" t="s">
        <v>309</v>
      </c>
      <c r="AC86" s="7" t="s">
        <v>309</v>
      </c>
      <c r="AD86" s="7" t="s">
        <v>309</v>
      </c>
      <c r="AE86" s="7" t="s">
        <v>309</v>
      </c>
      <c r="AF86" s="7" t="s">
        <v>309</v>
      </c>
      <c r="AG86" s="7" t="s">
        <v>309</v>
      </c>
      <c r="AH86" s="7" t="s">
        <v>309</v>
      </c>
      <c r="AI86" s="7" t="s">
        <v>309</v>
      </c>
      <c r="AJ86" s="7" t="s">
        <v>323</v>
      </c>
      <c r="AK86" s="7" t="s">
        <v>323</v>
      </c>
    </row>
    <row r="87" spans="20:37" x14ac:dyDescent="0.25">
      <c r="T87" s="7" t="str">
        <f ca="1"/>
        <v>Z9</v>
      </c>
      <c r="U87" s="7" t="str">
        <f ca="1"/>
        <v>0xA004</v>
      </c>
      <c r="V87" s="7" t="str">
        <f ca="1"/>
        <v>Invalid_Status</v>
      </c>
      <c r="X87" s="8" t="s">
        <v>308</v>
      </c>
      <c r="Y87" s="8" t="s">
        <v>308</v>
      </c>
      <c r="Z87" s="8" t="s">
        <v>310</v>
      </c>
      <c r="AA87" s="8" t="s">
        <v>310</v>
      </c>
      <c r="AB87" s="7" t="s">
        <v>310</v>
      </c>
      <c r="AC87" s="7" t="s">
        <v>310</v>
      </c>
      <c r="AD87" s="7" t="s">
        <v>310</v>
      </c>
      <c r="AE87" s="7" t="s">
        <v>310</v>
      </c>
      <c r="AF87" s="7" t="s">
        <v>310</v>
      </c>
      <c r="AG87" s="7" t="s">
        <v>310</v>
      </c>
      <c r="AH87" s="7" t="s">
        <v>310</v>
      </c>
      <c r="AI87" s="7" t="s">
        <v>310</v>
      </c>
      <c r="AJ87" s="7" t="s">
        <v>324</v>
      </c>
      <c r="AK87" s="7" t="s">
        <v>324</v>
      </c>
    </row>
    <row r="88" spans="20:37" x14ac:dyDescent="0.25">
      <c r="T88" s="7" t="str">
        <f ca="1"/>
        <v>Z9</v>
      </c>
      <c r="U88" s="7" t="str">
        <f ca="1"/>
        <v>0xA006</v>
      </c>
      <c r="V88" s="7" t="str">
        <f ca="1"/>
        <v>Wb_Preset_Error</v>
      </c>
      <c r="X88" s="8" t="s">
        <v>309</v>
      </c>
      <c r="Y88" s="8" t="s">
        <v>309</v>
      </c>
      <c r="Z88" s="8" t="s">
        <v>311</v>
      </c>
      <c r="AA88" s="8" t="s">
        <v>311</v>
      </c>
      <c r="AB88" s="7" t="s">
        <v>311</v>
      </c>
      <c r="AC88" s="7" t="s">
        <v>311</v>
      </c>
      <c r="AD88" s="7" t="s">
        <v>311</v>
      </c>
      <c r="AE88" s="7" t="s">
        <v>311</v>
      </c>
      <c r="AF88" s="7" t="s">
        <v>311</v>
      </c>
      <c r="AG88" s="7" t="s">
        <v>311</v>
      </c>
      <c r="AH88" s="7" t="s">
        <v>311</v>
      </c>
      <c r="AI88" s="7" t="s">
        <v>311</v>
      </c>
      <c r="AJ88" s="7" t="s">
        <v>325</v>
      </c>
      <c r="AK88" s="7" t="s">
        <v>325</v>
      </c>
    </row>
    <row r="89" spans="20:37" x14ac:dyDescent="0.25">
      <c r="T89" s="7" t="str">
        <f ca="1"/>
        <v>Z9</v>
      </c>
      <c r="U89" s="7" t="str">
        <f ca="1"/>
        <v>0xA007</v>
      </c>
      <c r="V89" s="7" t="str">
        <f ca="1"/>
        <v>Dust_Reference_Error</v>
      </c>
      <c r="X89" s="8" t="s">
        <v>310</v>
      </c>
      <c r="Y89" s="8" t="s">
        <v>310</v>
      </c>
      <c r="Z89" s="8" t="s">
        <v>312</v>
      </c>
      <c r="AA89" s="8" t="s">
        <v>312</v>
      </c>
      <c r="AB89" s="7" t="s">
        <v>312</v>
      </c>
      <c r="AC89" s="7" t="s">
        <v>312</v>
      </c>
      <c r="AD89" s="7" t="s">
        <v>312</v>
      </c>
      <c r="AE89" s="7" t="s">
        <v>312</v>
      </c>
      <c r="AF89" s="7" t="s">
        <v>312</v>
      </c>
      <c r="AG89" s="7" t="s">
        <v>312</v>
      </c>
      <c r="AH89" s="7" t="s">
        <v>312</v>
      </c>
      <c r="AI89" s="7" t="s">
        <v>312</v>
      </c>
      <c r="AJ89" s="7" t="s">
        <v>326</v>
      </c>
      <c r="AK89" s="7" t="s">
        <v>326</v>
      </c>
    </row>
    <row r="90" spans="20:37" x14ac:dyDescent="0.25">
      <c r="T90" s="7" t="str">
        <f ca="1"/>
        <v>Z9</v>
      </c>
      <c r="U90" s="7" t="str">
        <f ca="1"/>
        <v>0xA008</v>
      </c>
      <c r="V90" s="7" t="str">
        <f ca="1"/>
        <v>Shutter_Speed_Bulb</v>
      </c>
      <c r="X90" s="8" t="s">
        <v>311</v>
      </c>
      <c r="Y90" s="8" t="s">
        <v>311</v>
      </c>
      <c r="Z90" s="8" t="s">
        <v>313</v>
      </c>
      <c r="AA90" s="8" t="s">
        <v>313</v>
      </c>
      <c r="AB90" s="7" t="s">
        <v>313</v>
      </c>
      <c r="AC90" s="7" t="s">
        <v>313</v>
      </c>
      <c r="AD90" s="7" t="s">
        <v>313</v>
      </c>
      <c r="AE90" s="7" t="s">
        <v>313</v>
      </c>
      <c r="AF90" s="7" t="s">
        <v>313</v>
      </c>
      <c r="AG90" s="7" t="s">
        <v>313</v>
      </c>
      <c r="AH90" s="7" t="s">
        <v>313</v>
      </c>
      <c r="AI90" s="7" t="s">
        <v>313</v>
      </c>
      <c r="AJ90" s="7" t="s">
        <v>327</v>
      </c>
      <c r="AK90" s="7" t="s">
        <v>327</v>
      </c>
    </row>
    <row r="91" spans="20:37" x14ac:dyDescent="0.25">
      <c r="T91" s="7" t="str">
        <f ca="1"/>
        <v>Z9</v>
      </c>
      <c r="U91" s="7" t="str">
        <f ca="1"/>
        <v>0xA00A</v>
      </c>
      <c r="V91" s="7" t="str">
        <f ca="1"/>
        <v>CameraMode_Not_Adjust_Fnumber</v>
      </c>
      <c r="X91" s="8" t="s">
        <v>312</v>
      </c>
      <c r="Y91" s="8" t="s">
        <v>312</v>
      </c>
      <c r="Z91" s="8" t="s">
        <v>314</v>
      </c>
      <c r="AA91" s="8" t="s">
        <v>314</v>
      </c>
      <c r="AB91" s="7" t="s">
        <v>314</v>
      </c>
      <c r="AC91" s="7" t="s">
        <v>314</v>
      </c>
      <c r="AD91" s="7" t="s">
        <v>314</v>
      </c>
      <c r="AE91" s="7" t="s">
        <v>314</v>
      </c>
      <c r="AF91" s="7" t="s">
        <v>314</v>
      </c>
      <c r="AG91" s="7" t="s">
        <v>314</v>
      </c>
      <c r="AH91" s="7" t="s">
        <v>314</v>
      </c>
      <c r="AI91" s="7" t="s">
        <v>314</v>
      </c>
    </row>
    <row r="92" spans="20:37" x14ac:dyDescent="0.25">
      <c r="T92" s="7" t="str">
        <f ca="1"/>
        <v>Z9</v>
      </c>
      <c r="U92" s="7" t="str">
        <f ca="1"/>
        <v>0xA00B</v>
      </c>
      <c r="V92" s="7" t="str">
        <f ca="1"/>
        <v>Not_LiveView</v>
      </c>
      <c r="X92" s="8" t="s">
        <v>313</v>
      </c>
      <c r="Y92" s="8" t="s">
        <v>313</v>
      </c>
      <c r="Z92" s="8" t="s">
        <v>315</v>
      </c>
      <c r="AA92" s="8" t="s">
        <v>315</v>
      </c>
      <c r="AB92" s="7" t="s">
        <v>315</v>
      </c>
      <c r="AC92" s="7" t="s">
        <v>315</v>
      </c>
      <c r="AD92" s="7" t="s">
        <v>315</v>
      </c>
      <c r="AE92" s="7" t="s">
        <v>315</v>
      </c>
      <c r="AF92" s="7" t="s">
        <v>315</v>
      </c>
      <c r="AG92" s="7" t="s">
        <v>315</v>
      </c>
      <c r="AH92" s="7" t="s">
        <v>315</v>
      </c>
      <c r="AI92" s="7" t="s">
        <v>315</v>
      </c>
    </row>
    <row r="93" spans="20:37" x14ac:dyDescent="0.25">
      <c r="T93" s="7" t="str">
        <f ca="1"/>
        <v>Z9</v>
      </c>
      <c r="U93" s="7" t="str">
        <f ca="1"/>
        <v>0xA00C</v>
      </c>
      <c r="V93" s="7" t="str">
        <f ca="1"/>
        <v>MfDrive_Step_End</v>
      </c>
      <c r="X93" s="8" t="s">
        <v>314</v>
      </c>
      <c r="Y93" s="8" t="s">
        <v>314</v>
      </c>
      <c r="Z93" s="8" t="s">
        <v>316</v>
      </c>
      <c r="AA93" s="8" t="s">
        <v>316</v>
      </c>
      <c r="AB93" s="7" t="s">
        <v>316</v>
      </c>
      <c r="AC93" s="7" t="s">
        <v>316</v>
      </c>
      <c r="AD93" s="7" t="s">
        <v>316</v>
      </c>
      <c r="AE93" s="7" t="s">
        <v>316</v>
      </c>
      <c r="AF93" s="7" t="s">
        <v>316</v>
      </c>
      <c r="AG93" s="7" t="s">
        <v>316</v>
      </c>
      <c r="AH93" s="7" t="s">
        <v>316</v>
      </c>
      <c r="AI93" s="7" t="s">
        <v>322</v>
      </c>
    </row>
    <row r="94" spans="20:37" x14ac:dyDescent="0.25">
      <c r="T94" s="7" t="str">
        <f ca="1"/>
        <v>Z9</v>
      </c>
      <c r="U94" s="7" t="str">
        <f ca="1"/>
        <v>0xA00E</v>
      </c>
      <c r="V94" s="7" t="str">
        <f ca="1"/>
        <v>MfDrive_Step_Insufficiency</v>
      </c>
      <c r="X94" s="8" t="s">
        <v>315</v>
      </c>
      <c r="Y94" s="8" t="s">
        <v>315</v>
      </c>
      <c r="Z94" s="8" t="s">
        <v>317</v>
      </c>
      <c r="AA94" s="8" t="s">
        <v>317</v>
      </c>
      <c r="AB94" s="7" t="s">
        <v>317</v>
      </c>
      <c r="AC94" s="7" t="s">
        <v>317</v>
      </c>
      <c r="AD94" s="7" t="s">
        <v>317</v>
      </c>
      <c r="AE94" s="7" t="s">
        <v>317</v>
      </c>
      <c r="AF94" s="7" t="s">
        <v>317</v>
      </c>
      <c r="AG94" s="7" t="s">
        <v>317</v>
      </c>
      <c r="AH94" s="7" t="s">
        <v>317</v>
      </c>
      <c r="AI94" s="7" t="s">
        <v>323</v>
      </c>
    </row>
    <row r="95" spans="20:37" x14ac:dyDescent="0.25">
      <c r="T95" s="7" t="str">
        <f ca="1"/>
        <v>Z9</v>
      </c>
      <c r="U95" s="7" t="str">
        <f ca="1"/>
        <v>0xA00F</v>
      </c>
      <c r="V95" s="7" t="str">
        <f ca="1"/>
        <v>No_FullHD_Present</v>
      </c>
      <c r="X95" s="8" t="s">
        <v>316</v>
      </c>
      <c r="Y95" s="8" t="s">
        <v>316</v>
      </c>
      <c r="Z95" s="8" t="s">
        <v>318</v>
      </c>
      <c r="AA95" s="8" t="s">
        <v>318</v>
      </c>
      <c r="AB95" s="7" t="s">
        <v>322</v>
      </c>
      <c r="AC95" s="7" t="s">
        <v>318</v>
      </c>
      <c r="AD95" s="7" t="s">
        <v>318</v>
      </c>
      <c r="AE95" s="7" t="s">
        <v>318</v>
      </c>
      <c r="AF95" s="7" t="s">
        <v>1655</v>
      </c>
      <c r="AG95" s="7" t="s">
        <v>1655</v>
      </c>
      <c r="AH95" s="7" t="s">
        <v>322</v>
      </c>
      <c r="AI95" s="7" t="s">
        <v>324</v>
      </c>
    </row>
    <row r="96" spans="20:37" x14ac:dyDescent="0.25">
      <c r="T96" s="7" t="str">
        <f ca="1"/>
        <v>Z9</v>
      </c>
      <c r="U96" s="7" t="str">
        <f ca="1"/>
        <v>0xA021</v>
      </c>
      <c r="V96" s="7" t="str">
        <f ca="1"/>
        <v>Store_Error</v>
      </c>
      <c r="X96" s="8" t="s">
        <v>317</v>
      </c>
      <c r="Y96" s="8" t="s">
        <v>317</v>
      </c>
      <c r="Z96" s="8" t="s">
        <v>319</v>
      </c>
      <c r="AA96" s="8" t="s">
        <v>319</v>
      </c>
      <c r="AB96" s="7" t="s">
        <v>323</v>
      </c>
      <c r="AC96" s="7" t="s">
        <v>319</v>
      </c>
      <c r="AD96" s="7" t="s">
        <v>319</v>
      </c>
      <c r="AE96" s="7" t="s">
        <v>319</v>
      </c>
      <c r="AF96" s="7" t="s">
        <v>1656</v>
      </c>
      <c r="AG96" s="7" t="s">
        <v>1656</v>
      </c>
      <c r="AH96" s="7" t="s">
        <v>323</v>
      </c>
      <c r="AI96" s="7" t="s">
        <v>325</v>
      </c>
    </row>
    <row r="97" spans="20:34" x14ac:dyDescent="0.25">
      <c r="T97" s="7" t="str">
        <f ca="1"/>
        <v>Z9</v>
      </c>
      <c r="U97" s="7" t="str">
        <f ca="1"/>
        <v>0xA022</v>
      </c>
      <c r="V97" s="7" t="str">
        <f ca="1"/>
        <v>Store_Unformatted</v>
      </c>
      <c r="X97" s="8" t="s">
        <v>318</v>
      </c>
      <c r="Y97" s="8" t="s">
        <v>318</v>
      </c>
      <c r="Z97" s="8" t="s">
        <v>322</v>
      </c>
      <c r="AA97" s="8" t="s">
        <v>322</v>
      </c>
      <c r="AB97" s="7" t="s">
        <v>324</v>
      </c>
      <c r="AC97" s="7" t="s">
        <v>322</v>
      </c>
      <c r="AD97" s="7" t="s">
        <v>322</v>
      </c>
      <c r="AE97" s="7" t="s">
        <v>322</v>
      </c>
      <c r="AF97" s="7" t="s">
        <v>1657</v>
      </c>
      <c r="AG97" s="7" t="s">
        <v>1657</v>
      </c>
      <c r="AH97" s="7" t="s">
        <v>324</v>
      </c>
    </row>
    <row r="98" spans="20:34" x14ac:dyDescent="0.25">
      <c r="T98" s="7" t="str">
        <f ca="1"/>
        <v>Z9</v>
      </c>
      <c r="U98" s="7" t="str">
        <f ca="1"/>
        <v>0xA200</v>
      </c>
      <c r="V98" s="7" t="str">
        <f ca="1"/>
        <v>Bulb_Release_Busy</v>
      </c>
      <c r="X98" s="8" t="s">
        <v>319</v>
      </c>
      <c r="Y98" s="8" t="s">
        <v>319</v>
      </c>
      <c r="Z98" s="8" t="s">
        <v>323</v>
      </c>
      <c r="AA98" s="8" t="s">
        <v>323</v>
      </c>
      <c r="AB98" s="7" t="s">
        <v>325</v>
      </c>
      <c r="AC98" s="7" t="s">
        <v>323</v>
      </c>
      <c r="AD98" s="7" t="s">
        <v>323</v>
      </c>
      <c r="AE98" s="7" t="s">
        <v>323</v>
      </c>
      <c r="AF98" s="7" t="s">
        <v>1658</v>
      </c>
      <c r="AG98" s="7" t="s">
        <v>1658</v>
      </c>
      <c r="AH98" s="7" t="s">
        <v>325</v>
      </c>
    </row>
    <row r="99" spans="20:34" x14ac:dyDescent="0.25">
      <c r="T99" s="7" t="str">
        <f ca="1"/>
        <v>Z9</v>
      </c>
      <c r="U99" s="7" t="str">
        <f ca="1"/>
        <v>0xA201</v>
      </c>
      <c r="V99" s="7" t="str">
        <f ca="1"/>
        <v>Silent_Release_Busy</v>
      </c>
      <c r="X99" s="8" t="s">
        <v>320</v>
      </c>
      <c r="Y99" s="8" t="s">
        <v>320</v>
      </c>
      <c r="Z99" s="8" t="s">
        <v>324</v>
      </c>
      <c r="AA99" s="8" t="s">
        <v>324</v>
      </c>
      <c r="AB99" s="7" t="s">
        <v>326</v>
      </c>
      <c r="AC99" s="7" t="s">
        <v>324</v>
      </c>
      <c r="AD99" s="7" t="s">
        <v>324</v>
      </c>
      <c r="AE99" s="7" t="s">
        <v>324</v>
      </c>
      <c r="AF99" s="7" t="s">
        <v>318</v>
      </c>
      <c r="AG99" s="7" t="s">
        <v>318</v>
      </c>
    </row>
    <row r="100" spans="20:34" x14ac:dyDescent="0.25">
      <c r="T100" s="7" t="str">
        <f ca="1"/>
        <v>Z9</v>
      </c>
      <c r="U100" s="7" t="str">
        <f ca="1"/>
        <v>0xA202</v>
      </c>
      <c r="V100" s="7" t="str">
        <f ca="1"/>
        <v>MovieFrame_Release_Busy</v>
      </c>
      <c r="X100" s="8" t="s">
        <v>321</v>
      </c>
      <c r="Y100" s="8" t="s">
        <v>321</v>
      </c>
      <c r="Z100" s="8" t="s">
        <v>325</v>
      </c>
      <c r="AA100" s="8" t="s">
        <v>325</v>
      </c>
      <c r="AB100" s="7" t="s">
        <v>327</v>
      </c>
      <c r="AC100" s="7" t="s">
        <v>325</v>
      </c>
      <c r="AD100" s="7" t="s">
        <v>325</v>
      </c>
      <c r="AE100" s="7" t="s">
        <v>325</v>
      </c>
      <c r="AF100" s="7" t="s">
        <v>319</v>
      </c>
      <c r="AG100" s="7" t="s">
        <v>319</v>
      </c>
    </row>
    <row r="101" spans="20:34" x14ac:dyDescent="0.25">
      <c r="T101" s="7" t="str">
        <f ca="1"/>
        <v>Z9</v>
      </c>
      <c r="U101" s="7" t="str">
        <f ca="1"/>
        <v>0xA204</v>
      </c>
      <c r="V101" s="7" t="str">
        <f ca="1"/>
        <v>Shutter_Speed_Time</v>
      </c>
      <c r="X101" s="8" t="s">
        <v>322</v>
      </c>
      <c r="Y101" s="8" t="s">
        <v>322</v>
      </c>
      <c r="Z101" s="8" t="s">
        <v>326</v>
      </c>
      <c r="AA101" s="8" t="s">
        <v>326</v>
      </c>
      <c r="AC101" s="7" t="s">
        <v>326</v>
      </c>
      <c r="AD101" s="7" t="s">
        <v>326</v>
      </c>
      <c r="AE101" s="7" t="s">
        <v>326</v>
      </c>
      <c r="AF101" s="7" t="s">
        <v>320</v>
      </c>
      <c r="AG101" s="7" t="s">
        <v>322</v>
      </c>
    </row>
    <row r="102" spans="20:34" x14ac:dyDescent="0.25">
      <c r="T102" s="7" t="str">
        <f ca="1"/>
        <v>Z9</v>
      </c>
      <c r="U102" s="7" t="str">
        <f ca="1"/>
        <v>0xA209</v>
      </c>
      <c r="V102" s="7" t="str">
        <f ca="1"/>
        <v>Invalid_SBAttribute_Value</v>
      </c>
      <c r="X102" s="8" t="s">
        <v>323</v>
      </c>
      <c r="Y102" s="8" t="s">
        <v>323</v>
      </c>
      <c r="Z102" s="8" t="s">
        <v>327</v>
      </c>
      <c r="AA102" s="8" t="s">
        <v>327</v>
      </c>
      <c r="AC102" s="7" t="s">
        <v>327</v>
      </c>
      <c r="AD102" s="7" t="s">
        <v>327</v>
      </c>
      <c r="AE102" s="7" t="s">
        <v>327</v>
      </c>
      <c r="AF102" s="7" t="s">
        <v>321</v>
      </c>
      <c r="AG102" s="7" t="s">
        <v>323</v>
      </c>
    </row>
    <row r="103" spans="20:34" x14ac:dyDescent="0.25">
      <c r="T103" s="7" t="str">
        <f ca="1"/>
        <v>Z9</v>
      </c>
      <c r="U103" s="7" t="str">
        <f ca="1"/>
        <v>0xA210</v>
      </c>
      <c r="V103" s="7" t="str">
        <f ca="1"/>
        <v>Invalid_Data</v>
      </c>
      <c r="X103" s="8" t="s">
        <v>324</v>
      </c>
      <c r="Y103" s="8" t="s">
        <v>324</v>
      </c>
      <c r="AF103" s="7" t="s">
        <v>322</v>
      </c>
      <c r="AG103" s="7" t="s">
        <v>324</v>
      </c>
    </row>
    <row r="104" spans="20:34" x14ac:dyDescent="0.25">
      <c r="T104" s="7" t="str">
        <f ca="1"/>
        <v>Z9</v>
      </c>
      <c r="U104" s="7" t="str">
        <f ca="1"/>
        <v>0xA801</v>
      </c>
      <c r="V104" s="7" t="str">
        <f ca="1"/>
        <v>Invalid_ObjectPropCode</v>
      </c>
      <c r="X104" s="8" t="s">
        <v>325</v>
      </c>
      <c r="Y104" s="8" t="s">
        <v>325</v>
      </c>
      <c r="AF104" s="7" t="s">
        <v>323</v>
      </c>
      <c r="AG104" s="7" t="s">
        <v>325</v>
      </c>
    </row>
    <row r="105" spans="20:34" x14ac:dyDescent="0.25">
      <c r="T105" s="7" t="str">
        <f ca="1"/>
        <v>Z9</v>
      </c>
      <c r="U105" s="7" t="str">
        <f ca="1"/>
        <v>0xA802</v>
      </c>
      <c r="V105" s="7" t="str">
        <f ca="1"/>
        <v>Invalid_ObjectProp_Format</v>
      </c>
      <c r="X105" s="8" t="s">
        <v>326</v>
      </c>
      <c r="Y105" s="8" t="s">
        <v>1145</v>
      </c>
      <c r="AF105" s="7" t="s">
        <v>324</v>
      </c>
      <c r="AG105" s="7" t="s">
        <v>326</v>
      </c>
    </row>
    <row r="106" spans="20:34" x14ac:dyDescent="0.25">
      <c r="T106" s="7" t="str">
        <f ca="1"/>
        <v>Z9</v>
      </c>
      <c r="U106" s="7" t="str">
        <f ca="1"/>
        <v>0xA803</v>
      </c>
      <c r="V106" s="7" t="str">
        <f ca="1"/>
        <v>Invalid_ObjectProp_Value</v>
      </c>
      <c r="X106" s="8" t="s">
        <v>327</v>
      </c>
      <c r="Y106" s="8" t="s">
        <v>1146</v>
      </c>
      <c r="AF106" s="7" t="s">
        <v>325</v>
      </c>
      <c r="AG106" s="7" t="s">
        <v>327</v>
      </c>
    </row>
    <row r="107" spans="20:34" x14ac:dyDescent="0.25">
      <c r="T107" s="7" t="str">
        <f ca="1"/>
        <v>Z9</v>
      </c>
      <c r="U107" s="7" t="str">
        <f ca="1"/>
        <v>0xA80A</v>
      </c>
      <c r="V107" s="7" t="str">
        <f ca="1"/>
        <v>ObjectProp_Not_Supported</v>
      </c>
      <c r="Y107" s="8" t="s">
        <v>326</v>
      </c>
      <c r="AF107" s="7" t="s">
        <v>326</v>
      </c>
    </row>
    <row r="108" spans="20:34" x14ac:dyDescent="0.25">
      <c r="T108" s="7" t="str">
        <f ca="1"/>
        <v>Z6 II</v>
      </c>
      <c r="U108" s="7" t="str">
        <f ca="1"/>
        <v>0x2001</v>
      </c>
      <c r="V108" s="7" t="str">
        <f ca="1"/>
        <v>OK</v>
      </c>
      <c r="Y108" s="8" t="s">
        <v>327</v>
      </c>
      <c r="AF108" s="7" t="s">
        <v>327</v>
      </c>
    </row>
    <row r="109" spans="20:34" x14ac:dyDescent="0.25">
      <c r="T109" s="7" t="str">
        <f ca="1"/>
        <v>Z6 II</v>
      </c>
      <c r="U109" s="7" t="str">
        <f ca="1"/>
        <v>0x2002</v>
      </c>
      <c r="V109" s="7" t="str">
        <f ca="1"/>
        <v>General_Error</v>
      </c>
    </row>
    <row r="110" spans="20:34" x14ac:dyDescent="0.25">
      <c r="T110" s="7" t="str">
        <f ca="1"/>
        <v>Z6 II</v>
      </c>
      <c r="U110" s="7" t="str">
        <f ca="1"/>
        <v>0x2003</v>
      </c>
      <c r="V110" s="7" t="str">
        <f ca="1"/>
        <v>Session_Not_Open</v>
      </c>
    </row>
    <row r="111" spans="20:34" x14ac:dyDescent="0.25">
      <c r="T111" s="7" t="str">
        <f ca="1"/>
        <v>Z6 II</v>
      </c>
      <c r="U111" s="7" t="str">
        <f ca="1"/>
        <v>0x2004</v>
      </c>
      <c r="V111" s="7" t="str">
        <f ca="1"/>
        <v>Invalid_TransactionID</v>
      </c>
    </row>
    <row r="112" spans="20:34" x14ac:dyDescent="0.25">
      <c r="T112" s="7" t="str">
        <f ca="1"/>
        <v>Z6 II</v>
      </c>
      <c r="U112" s="7" t="str">
        <f ca="1"/>
        <v>0x2005</v>
      </c>
      <c r="V112" s="7" t="str">
        <f ca="1"/>
        <v>Operation_Not_Supported</v>
      </c>
    </row>
    <row r="113" spans="20:22" x14ac:dyDescent="0.25">
      <c r="T113" s="7" t="str">
        <f ca="1"/>
        <v>Z6 II</v>
      </c>
      <c r="U113" s="7" t="str">
        <f ca="1"/>
        <v>0x2006</v>
      </c>
      <c r="V113" s="7" t="str">
        <f ca="1"/>
        <v>Parameter_Not_Supported</v>
      </c>
    </row>
    <row r="114" spans="20:22" x14ac:dyDescent="0.25">
      <c r="T114" s="7" t="str">
        <f ca="1"/>
        <v>Z6 II</v>
      </c>
      <c r="U114" s="7" t="str">
        <f ca="1"/>
        <v>0x2007</v>
      </c>
      <c r="V114" s="7" t="str">
        <f ca="1"/>
        <v>Incomplete_Transfer</v>
      </c>
    </row>
    <row r="115" spans="20:22" x14ac:dyDescent="0.25">
      <c r="T115" s="7" t="str">
        <f ca="1"/>
        <v>Z6 II</v>
      </c>
      <c r="U115" s="7" t="str">
        <f ca="1"/>
        <v>0x2008</v>
      </c>
      <c r="V115" s="7" t="str">
        <f ca="1"/>
        <v>Invalid_StorageID</v>
      </c>
    </row>
    <row r="116" spans="20:22" x14ac:dyDescent="0.25">
      <c r="T116" s="7" t="str">
        <f ca="1"/>
        <v>Z6 II</v>
      </c>
      <c r="U116" s="7" t="str">
        <f ca="1"/>
        <v>0x2009</v>
      </c>
      <c r="V116" s="7" t="str">
        <f ca="1"/>
        <v>Invalid_Object_Handle</v>
      </c>
    </row>
    <row r="117" spans="20:22" x14ac:dyDescent="0.25">
      <c r="T117" s="7" t="str">
        <f ca="1"/>
        <v>Z6 II</v>
      </c>
      <c r="U117" s="7" t="str">
        <f ca="1"/>
        <v>0x200A</v>
      </c>
      <c r="V117" s="7" t="str">
        <f ca="1"/>
        <v>DeviceProp_Not_Supported</v>
      </c>
    </row>
    <row r="118" spans="20:22" x14ac:dyDescent="0.25">
      <c r="T118" s="7" t="str">
        <f ca="1"/>
        <v>Z6 II</v>
      </c>
      <c r="U118" s="7" t="str">
        <f ca="1"/>
        <v>0x200B</v>
      </c>
      <c r="V118" s="7" t="str">
        <f ca="1"/>
        <v>Invalid_ObjectFormatCode</v>
      </c>
    </row>
    <row r="119" spans="20:22" x14ac:dyDescent="0.25">
      <c r="T119" s="7" t="str">
        <f ca="1"/>
        <v>Z6 II</v>
      </c>
      <c r="U119" s="7" t="str">
        <f ca="1"/>
        <v>0x200C</v>
      </c>
      <c r="V119" s="7" t="str">
        <f ca="1"/>
        <v>Store_Full</v>
      </c>
    </row>
    <row r="120" spans="20:22" x14ac:dyDescent="0.25">
      <c r="T120" s="7" t="str">
        <f ca="1"/>
        <v>Z6 II</v>
      </c>
      <c r="U120" s="7" t="str">
        <f ca="1"/>
        <v>0x200D</v>
      </c>
      <c r="V120" s="7" t="str">
        <f ca="1"/>
        <v>Object_Write_Protect</v>
      </c>
    </row>
    <row r="121" spans="20:22" x14ac:dyDescent="0.25">
      <c r="T121" s="7" t="str">
        <f ca="1"/>
        <v>Z6 II</v>
      </c>
      <c r="U121" s="7" t="str">
        <f ca="1"/>
        <v>0x200E</v>
      </c>
      <c r="V121" s="7" t="str">
        <f ca="1"/>
        <v>Store_Read_Only</v>
      </c>
    </row>
    <row r="122" spans="20:22" x14ac:dyDescent="0.25">
      <c r="T122" s="7" t="str">
        <f ca="1"/>
        <v>Z6 II</v>
      </c>
      <c r="U122" s="7" t="str">
        <f ca="1"/>
        <v>0x200F</v>
      </c>
      <c r="V122" s="7" t="str">
        <f ca="1"/>
        <v>Access_Denied</v>
      </c>
    </row>
    <row r="123" spans="20:22" x14ac:dyDescent="0.25">
      <c r="T123" s="7" t="str">
        <f ca="1"/>
        <v>Z6 II</v>
      </c>
      <c r="U123" s="7" t="str">
        <f ca="1"/>
        <v>0x2010</v>
      </c>
      <c r="V123" s="7" t="str">
        <f ca="1"/>
        <v>No_Thumbnail_Present</v>
      </c>
    </row>
    <row r="124" spans="20:22" x14ac:dyDescent="0.25">
      <c r="T124" s="7" t="str">
        <f ca="1"/>
        <v>Z6 II</v>
      </c>
      <c r="U124" s="7" t="str">
        <f ca="1"/>
        <v>0x2012</v>
      </c>
      <c r="V124" s="7" t="str">
        <f ca="1"/>
        <v>Partial_Deletion</v>
      </c>
    </row>
    <row r="125" spans="20:22" x14ac:dyDescent="0.25">
      <c r="T125" s="7" t="str">
        <f ca="1"/>
        <v>Z6 II</v>
      </c>
      <c r="U125" s="7" t="str">
        <f ca="1"/>
        <v>0x2013</v>
      </c>
      <c r="V125" s="7" t="str">
        <f ca="1"/>
        <v>Store_Not_Available</v>
      </c>
    </row>
    <row r="126" spans="20:22" x14ac:dyDescent="0.25">
      <c r="T126" s="7" t="str">
        <f ca="1"/>
        <v>Z6 II</v>
      </c>
      <c r="U126" s="7" t="str">
        <f ca="1"/>
        <v>0x2014</v>
      </c>
      <c r="V126" s="7" t="str">
        <f ca="1"/>
        <v>Specification_By_Format_Unsupported</v>
      </c>
    </row>
    <row r="127" spans="20:22" x14ac:dyDescent="0.25">
      <c r="T127" s="7" t="str">
        <f ca="1"/>
        <v>Z6 II</v>
      </c>
      <c r="U127" s="7" t="str">
        <f ca="1"/>
        <v>0x2015</v>
      </c>
      <c r="V127" s="7" t="str">
        <f ca="1"/>
        <v>No_Valid_ObjectInfo</v>
      </c>
    </row>
    <row r="128" spans="20:22" x14ac:dyDescent="0.25">
      <c r="T128" s="7" t="str">
        <f ca="1"/>
        <v>Z6 II</v>
      </c>
      <c r="U128" s="7" t="str">
        <f ca="1"/>
        <v>0x2019</v>
      </c>
      <c r="V128" s="7" t="str">
        <f ca="1"/>
        <v>Device_Busy</v>
      </c>
    </row>
    <row r="129" spans="20:22" x14ac:dyDescent="0.25">
      <c r="T129" s="7" t="str">
        <f ca="1"/>
        <v>Z6 II</v>
      </c>
      <c r="U129" s="7" t="str">
        <f ca="1"/>
        <v>0x201A</v>
      </c>
      <c r="V129" s="7" t="str">
        <f ca="1"/>
        <v>Invalid_Parent_Object</v>
      </c>
    </row>
    <row r="130" spans="20:22" x14ac:dyDescent="0.25">
      <c r="T130" s="7" t="str">
        <f ca="1"/>
        <v>Z6 II</v>
      </c>
      <c r="U130" s="7" t="str">
        <f ca="1"/>
        <v>0x201B</v>
      </c>
      <c r="V130" s="7" t="str">
        <f ca="1"/>
        <v>Invalid_DeviceProp_Format</v>
      </c>
    </row>
    <row r="131" spans="20:22" x14ac:dyDescent="0.25">
      <c r="T131" s="7" t="str">
        <f ca="1"/>
        <v>Z6 II</v>
      </c>
      <c r="U131" s="7" t="str">
        <f ca="1"/>
        <v>0x201C</v>
      </c>
      <c r="V131" s="7" t="str">
        <f ca="1"/>
        <v>Invalid_DeviceProp_Value</v>
      </c>
    </row>
    <row r="132" spans="20:22" x14ac:dyDescent="0.25">
      <c r="T132" s="7" t="str">
        <f ca="1"/>
        <v>Z6 II</v>
      </c>
      <c r="U132" s="7" t="str">
        <f ca="1"/>
        <v>0x201D</v>
      </c>
      <c r="V132" s="7" t="str">
        <f ca="1"/>
        <v>Invalid_Parameter</v>
      </c>
    </row>
    <row r="133" spans="20:22" x14ac:dyDescent="0.25">
      <c r="T133" s="7" t="str">
        <f ca="1"/>
        <v>Z6 II</v>
      </c>
      <c r="U133" s="7" t="str">
        <f ca="1"/>
        <v>0x201E</v>
      </c>
      <c r="V133" s="7" t="str">
        <f ca="1"/>
        <v>Session_Already_Open</v>
      </c>
    </row>
    <row r="134" spans="20:22" x14ac:dyDescent="0.25">
      <c r="T134" s="7" t="str">
        <f ca="1"/>
        <v>Z6 II</v>
      </c>
      <c r="U134" s="7" t="str">
        <f ca="1"/>
        <v>0x201F</v>
      </c>
      <c r="V134" s="7" t="str">
        <f ca="1"/>
        <v>Transaction_Cancelled</v>
      </c>
    </row>
    <row r="135" spans="20:22" x14ac:dyDescent="0.25">
      <c r="T135" s="7" t="str">
        <f ca="1"/>
        <v>Z6 II</v>
      </c>
      <c r="U135" s="7" t="str">
        <f ca="1"/>
        <v>0x2020</v>
      </c>
      <c r="V135" s="7" t="str">
        <f ca="1"/>
        <v>Specification_of_Destination_Unsupported</v>
      </c>
    </row>
    <row r="136" spans="20:22" x14ac:dyDescent="0.25">
      <c r="T136" s="7" t="str">
        <f ca="1"/>
        <v>Z6 II</v>
      </c>
      <c r="U136" s="7" t="str">
        <f ca="1"/>
        <v>0xA001</v>
      </c>
      <c r="V136" s="7" t="str">
        <f ca="1"/>
        <v>Hardware_Error</v>
      </c>
    </row>
    <row r="137" spans="20:22" x14ac:dyDescent="0.25">
      <c r="T137" s="7" t="str">
        <f ca="1"/>
        <v>Z6 II</v>
      </c>
      <c r="U137" s="7" t="str">
        <f ca="1"/>
        <v>0xA002</v>
      </c>
      <c r="V137" s="7" t="str">
        <f ca="1"/>
        <v>Out_of_Focus</v>
      </c>
    </row>
    <row r="138" spans="20:22" x14ac:dyDescent="0.25">
      <c r="T138" s="7" t="str">
        <f ca="1"/>
        <v>Z6 II</v>
      </c>
      <c r="U138" s="7" t="str">
        <f ca="1"/>
        <v>0xA003</v>
      </c>
      <c r="V138" s="7" t="str">
        <f ca="1"/>
        <v>Change_CameraMode_Failed</v>
      </c>
    </row>
    <row r="139" spans="20:22" x14ac:dyDescent="0.25">
      <c r="T139" s="7" t="str">
        <f ca="1"/>
        <v>Z6 II</v>
      </c>
      <c r="U139" s="7" t="str">
        <f ca="1"/>
        <v>0xA004</v>
      </c>
      <c r="V139" s="7" t="str">
        <f ca="1"/>
        <v>Invalid_Status</v>
      </c>
    </row>
    <row r="140" spans="20:22" x14ac:dyDescent="0.25">
      <c r="T140" s="7" t="str">
        <f ca="1"/>
        <v>Z6 II</v>
      </c>
      <c r="U140" s="7" t="str">
        <f ca="1"/>
        <v>0xA006</v>
      </c>
      <c r="V140" s="7" t="str">
        <f ca="1"/>
        <v>Wb_Preset_Error</v>
      </c>
    </row>
    <row r="141" spans="20:22" x14ac:dyDescent="0.25">
      <c r="T141" s="7" t="str">
        <f ca="1"/>
        <v>Z6 II</v>
      </c>
      <c r="U141" s="7" t="str">
        <f ca="1"/>
        <v>0xA007</v>
      </c>
      <c r="V141" s="7" t="str">
        <f ca="1"/>
        <v>Dust_Reference_Error</v>
      </c>
    </row>
    <row r="142" spans="20:22" x14ac:dyDescent="0.25">
      <c r="T142" s="7" t="str">
        <f ca="1"/>
        <v>Z6 II</v>
      </c>
      <c r="U142" s="7" t="str">
        <f ca="1"/>
        <v>0xA008</v>
      </c>
      <c r="V142" s="7" t="str">
        <f ca="1"/>
        <v>Shutter_Speed_Bulb</v>
      </c>
    </row>
    <row r="143" spans="20:22" x14ac:dyDescent="0.25">
      <c r="T143" s="7" t="str">
        <f ca="1"/>
        <v>Z6 II</v>
      </c>
      <c r="U143" s="7" t="str">
        <f ca="1"/>
        <v>0xA00A</v>
      </c>
      <c r="V143" s="7" t="str">
        <f ca="1"/>
        <v>CameraMode_Not_Adjust_Fnumber</v>
      </c>
    </row>
    <row r="144" spans="20:22" x14ac:dyDescent="0.25">
      <c r="T144" s="7" t="str">
        <f ca="1"/>
        <v>Z6 II</v>
      </c>
      <c r="U144" s="7" t="str">
        <f ca="1"/>
        <v>0xA00B</v>
      </c>
      <c r="V144" s="7" t="str">
        <f ca="1"/>
        <v>Not_LiveView</v>
      </c>
    </row>
    <row r="145" spans="20:22" x14ac:dyDescent="0.25">
      <c r="T145" s="7" t="str">
        <f ca="1"/>
        <v>Z6 II</v>
      </c>
      <c r="U145" s="7" t="str">
        <f ca="1"/>
        <v>0xA00C</v>
      </c>
      <c r="V145" s="7" t="str">
        <f ca="1"/>
        <v>MfDrive_Step_End</v>
      </c>
    </row>
    <row r="146" spans="20:22" x14ac:dyDescent="0.25">
      <c r="T146" s="7" t="str">
        <f ca="1"/>
        <v>Z6 II</v>
      </c>
      <c r="U146" s="7" t="str">
        <f ca="1"/>
        <v>0xA00E</v>
      </c>
      <c r="V146" s="7" t="str">
        <f ca="1"/>
        <v>MfDrive_Step_Insufficiency</v>
      </c>
    </row>
    <row r="147" spans="20:22" x14ac:dyDescent="0.25">
      <c r="T147" s="7" t="str">
        <f ca="1"/>
        <v>Z6 II</v>
      </c>
      <c r="U147" s="7" t="str">
        <f ca="1"/>
        <v>0xA00F</v>
      </c>
      <c r="V147" s="7" t="str">
        <f ca="1"/>
        <v>No_FullHD_Present</v>
      </c>
    </row>
    <row r="148" spans="20:22" x14ac:dyDescent="0.25">
      <c r="T148" s="7" t="str">
        <f ca="1"/>
        <v>Z6 II</v>
      </c>
      <c r="U148" s="7" t="str">
        <f ca="1"/>
        <v>0xA021</v>
      </c>
      <c r="V148" s="7" t="str">
        <f ca="1"/>
        <v>Store_Error</v>
      </c>
    </row>
    <row r="149" spans="20:22" x14ac:dyDescent="0.25">
      <c r="T149" s="7" t="str">
        <f ca="1"/>
        <v>Z6 II</v>
      </c>
      <c r="U149" s="7" t="str">
        <f ca="1"/>
        <v>0xA022</v>
      </c>
      <c r="V149" s="7" t="str">
        <f ca="1"/>
        <v>Store_Unformatted</v>
      </c>
    </row>
    <row r="150" spans="20:22" x14ac:dyDescent="0.25">
      <c r="T150" s="7" t="str">
        <f ca="1"/>
        <v>Z6 II</v>
      </c>
      <c r="U150" s="7" t="str">
        <f ca="1"/>
        <v>0xA200</v>
      </c>
      <c r="V150" s="7" t="str">
        <f ca="1"/>
        <v>Bulb_Release_Busy</v>
      </c>
    </row>
    <row r="151" spans="20:22" x14ac:dyDescent="0.25">
      <c r="T151" s="7" t="str">
        <f ca="1"/>
        <v>Z6 II</v>
      </c>
      <c r="U151" s="7" t="str">
        <f ca="1"/>
        <v>0xA201</v>
      </c>
      <c r="V151" s="7" t="str">
        <f ca="1"/>
        <v>Silent_Release_Busy</v>
      </c>
    </row>
    <row r="152" spans="20:22" x14ac:dyDescent="0.25">
      <c r="T152" s="7" t="str">
        <f ca="1"/>
        <v>Z6 II</v>
      </c>
      <c r="U152" s="7" t="str">
        <f ca="1"/>
        <v>0xA202</v>
      </c>
      <c r="V152" s="7" t="str">
        <f ca="1"/>
        <v>MovieFrame_Release_Busy</v>
      </c>
    </row>
    <row r="153" spans="20:22" x14ac:dyDescent="0.25">
      <c r="T153" s="7" t="str">
        <f ca="1"/>
        <v>Z6 II</v>
      </c>
      <c r="U153" s="7" t="str">
        <f ca="1"/>
        <v>0xA204</v>
      </c>
      <c r="V153" s="7" t="str">
        <f ca="1"/>
        <v>Shutter_Speed_Time</v>
      </c>
    </row>
    <row r="154" spans="20:22" x14ac:dyDescent="0.25">
      <c r="T154" s="7" t="str">
        <f ca="1"/>
        <v>Z6 II</v>
      </c>
      <c r="U154" s="7" t="str">
        <f ca="1"/>
        <v>0xA209</v>
      </c>
      <c r="V154" s="7" t="str">
        <f ca="1"/>
        <v>Invalid_SBAttribute_Value</v>
      </c>
    </row>
    <row r="155" spans="20:22" x14ac:dyDescent="0.25">
      <c r="T155" s="7" t="str">
        <f ca="1"/>
        <v>Z6 II</v>
      </c>
      <c r="U155" s="7" t="str">
        <f ca="1"/>
        <v>0xA801</v>
      </c>
      <c r="V155" s="7" t="str">
        <f ca="1"/>
        <v>Invalid_ObjectPropCode</v>
      </c>
    </row>
    <row r="156" spans="20:22" x14ac:dyDescent="0.25">
      <c r="T156" s="7" t="str">
        <f ca="1"/>
        <v>Z6 II</v>
      </c>
      <c r="U156" s="7" t="str">
        <f ca="1"/>
        <v>0xA802</v>
      </c>
      <c r="V156" s="7" t="str">
        <f ca="1"/>
        <v>Invalid_ObjectProp_Format</v>
      </c>
    </row>
    <row r="157" spans="20:22" x14ac:dyDescent="0.25">
      <c r="T157" s="7" t="str">
        <f ca="1"/>
        <v>Z6 II</v>
      </c>
      <c r="U157" s="7" t="str">
        <f ca="1"/>
        <v>0xA80A</v>
      </c>
      <c r="V157" s="7" t="str">
        <f ca="1"/>
        <v>ObjectProp_Not_Supported</v>
      </c>
    </row>
    <row r="158" spans="20:22" x14ac:dyDescent="0.25">
      <c r="T158" s="7" t="str">
        <f ca="1"/>
        <v>Z7 II</v>
      </c>
      <c r="U158" s="7" t="str">
        <f ca="1"/>
        <v>0x2001</v>
      </c>
      <c r="V158" s="7" t="str">
        <f ca="1"/>
        <v>OK</v>
      </c>
    </row>
    <row r="159" spans="20:22" x14ac:dyDescent="0.25">
      <c r="T159" s="7" t="str">
        <f ca="1"/>
        <v>Z7 II</v>
      </c>
      <c r="U159" s="7" t="str">
        <f ca="1"/>
        <v>0x2002</v>
      </c>
      <c r="V159" s="7" t="str">
        <f ca="1"/>
        <v>General_Error</v>
      </c>
    </row>
    <row r="160" spans="20:22" x14ac:dyDescent="0.25">
      <c r="T160" s="7" t="str">
        <f ca="1"/>
        <v>Z7 II</v>
      </c>
      <c r="U160" s="7" t="str">
        <f ca="1"/>
        <v>0x2003</v>
      </c>
      <c r="V160" s="7" t="str">
        <f ca="1"/>
        <v>Session_Not_Open</v>
      </c>
    </row>
    <row r="161" spans="20:22" x14ac:dyDescent="0.25">
      <c r="T161" s="7" t="str">
        <f ca="1"/>
        <v>Z7 II</v>
      </c>
      <c r="U161" s="7" t="str">
        <f ca="1"/>
        <v>0x2004</v>
      </c>
      <c r="V161" s="7" t="str">
        <f ca="1"/>
        <v>Invalid_TransactionID</v>
      </c>
    </row>
    <row r="162" spans="20:22" x14ac:dyDescent="0.25">
      <c r="T162" s="7" t="str">
        <f ca="1"/>
        <v>Z7 II</v>
      </c>
      <c r="U162" s="7" t="str">
        <f ca="1"/>
        <v>0x2005</v>
      </c>
      <c r="V162" s="7" t="str">
        <f ca="1"/>
        <v>Operation_Not_Supported</v>
      </c>
    </row>
    <row r="163" spans="20:22" x14ac:dyDescent="0.25">
      <c r="T163" s="7" t="str">
        <f ca="1"/>
        <v>Z7 II</v>
      </c>
      <c r="U163" s="7" t="str">
        <f ca="1"/>
        <v>0x2006</v>
      </c>
      <c r="V163" s="7" t="str">
        <f ca="1"/>
        <v>Parameter_Not_Supported</v>
      </c>
    </row>
    <row r="164" spans="20:22" x14ac:dyDescent="0.25">
      <c r="T164" s="7" t="str">
        <f ca="1"/>
        <v>Z7 II</v>
      </c>
      <c r="U164" s="7" t="str">
        <f ca="1"/>
        <v>0x2007</v>
      </c>
      <c r="V164" s="7" t="str">
        <f ca="1"/>
        <v>Incomplete_Transfer</v>
      </c>
    </row>
    <row r="165" spans="20:22" x14ac:dyDescent="0.25">
      <c r="T165" s="7" t="str">
        <f ca="1"/>
        <v>Z7 II</v>
      </c>
      <c r="U165" s="7" t="str">
        <f ca="1"/>
        <v>0x2008</v>
      </c>
      <c r="V165" s="7" t="str">
        <f ca="1"/>
        <v>Invalid_StorageID</v>
      </c>
    </row>
    <row r="166" spans="20:22" x14ac:dyDescent="0.25">
      <c r="T166" s="7" t="str">
        <f ca="1"/>
        <v>Z7 II</v>
      </c>
      <c r="U166" s="7" t="str">
        <f ca="1"/>
        <v>0x2009</v>
      </c>
      <c r="V166" s="7" t="str">
        <f ca="1"/>
        <v>Invalid_Object_Handle</v>
      </c>
    </row>
    <row r="167" spans="20:22" x14ac:dyDescent="0.25">
      <c r="T167" s="7" t="str">
        <f ca="1"/>
        <v>Z7 II</v>
      </c>
      <c r="U167" s="7" t="str">
        <f ca="1"/>
        <v>0x200A</v>
      </c>
      <c r="V167" s="7" t="str">
        <f ca="1"/>
        <v>DeviceProp_Not_Supported</v>
      </c>
    </row>
    <row r="168" spans="20:22" x14ac:dyDescent="0.25">
      <c r="T168" s="7" t="str">
        <f ca="1"/>
        <v>Z7 II</v>
      </c>
      <c r="U168" s="7" t="str">
        <f ca="1"/>
        <v>0x200B</v>
      </c>
      <c r="V168" s="7" t="str">
        <f ca="1"/>
        <v>Invalid_ObjectFormatCode</v>
      </c>
    </row>
    <row r="169" spans="20:22" x14ac:dyDescent="0.25">
      <c r="T169" s="7" t="str">
        <f ca="1"/>
        <v>Z7 II</v>
      </c>
      <c r="U169" s="7" t="str">
        <f ca="1"/>
        <v>0x200C</v>
      </c>
      <c r="V169" s="7" t="str">
        <f ca="1"/>
        <v>Store_Full</v>
      </c>
    </row>
    <row r="170" spans="20:22" x14ac:dyDescent="0.25">
      <c r="T170" s="7" t="str">
        <f ca="1"/>
        <v>Z7 II</v>
      </c>
      <c r="U170" s="7" t="str">
        <f ca="1"/>
        <v>0x200D</v>
      </c>
      <c r="V170" s="7" t="str">
        <f ca="1"/>
        <v>Object_Write_Protect</v>
      </c>
    </row>
    <row r="171" spans="20:22" x14ac:dyDescent="0.25">
      <c r="T171" s="7" t="str">
        <f ca="1"/>
        <v>Z7 II</v>
      </c>
      <c r="U171" s="7" t="str">
        <f ca="1"/>
        <v>0x200E</v>
      </c>
      <c r="V171" s="7" t="str">
        <f ca="1"/>
        <v>Store_Read_Only</v>
      </c>
    </row>
    <row r="172" spans="20:22" x14ac:dyDescent="0.25">
      <c r="T172" s="7" t="str">
        <f ca="1"/>
        <v>Z7 II</v>
      </c>
      <c r="U172" s="7" t="str">
        <f ca="1"/>
        <v>0x200F</v>
      </c>
      <c r="V172" s="7" t="str">
        <f ca="1"/>
        <v>Access_Denied</v>
      </c>
    </row>
    <row r="173" spans="20:22" x14ac:dyDescent="0.25">
      <c r="T173" s="7" t="str">
        <f ca="1"/>
        <v>Z7 II</v>
      </c>
      <c r="U173" s="7" t="str">
        <f ca="1"/>
        <v>0x2010</v>
      </c>
      <c r="V173" s="7" t="str">
        <f ca="1"/>
        <v>No_Thumbnail_Present</v>
      </c>
    </row>
    <row r="174" spans="20:22" x14ac:dyDescent="0.25">
      <c r="T174" s="7" t="str">
        <f ca="1"/>
        <v>Z7 II</v>
      </c>
      <c r="U174" s="7" t="str">
        <f ca="1"/>
        <v>0x2012</v>
      </c>
      <c r="V174" s="7" t="str">
        <f ca="1"/>
        <v>Partial_Deletion</v>
      </c>
    </row>
    <row r="175" spans="20:22" x14ac:dyDescent="0.25">
      <c r="T175" s="7" t="str">
        <f ca="1"/>
        <v>Z7 II</v>
      </c>
      <c r="U175" s="7" t="str">
        <f ca="1"/>
        <v>0x2013</v>
      </c>
      <c r="V175" s="7" t="str">
        <f ca="1"/>
        <v>Store_Not_Available</v>
      </c>
    </row>
    <row r="176" spans="20:22" x14ac:dyDescent="0.25">
      <c r="T176" s="7" t="str">
        <f ca="1"/>
        <v>Z7 II</v>
      </c>
      <c r="U176" s="7" t="str">
        <f ca="1"/>
        <v>0x2014</v>
      </c>
      <c r="V176" s="7" t="str">
        <f ca="1"/>
        <v>Specification_By_Format_Unsupported</v>
      </c>
    </row>
    <row r="177" spans="20:22" x14ac:dyDescent="0.25">
      <c r="T177" s="7" t="str">
        <f ca="1"/>
        <v>Z7 II</v>
      </c>
      <c r="U177" s="7" t="str">
        <f ca="1"/>
        <v>0x2015</v>
      </c>
      <c r="V177" s="7" t="str">
        <f ca="1"/>
        <v>No_Valid_ObjectInfo</v>
      </c>
    </row>
    <row r="178" spans="20:22" x14ac:dyDescent="0.25">
      <c r="T178" s="7" t="str">
        <f ca="1"/>
        <v>Z7 II</v>
      </c>
      <c r="U178" s="7" t="str">
        <f ca="1"/>
        <v>0x2019</v>
      </c>
      <c r="V178" s="7" t="str">
        <f ca="1"/>
        <v>Device_Busy</v>
      </c>
    </row>
    <row r="179" spans="20:22" x14ac:dyDescent="0.25">
      <c r="T179" s="7" t="str">
        <f ca="1"/>
        <v>Z7 II</v>
      </c>
      <c r="U179" s="7" t="str">
        <f ca="1"/>
        <v>0x201A</v>
      </c>
      <c r="V179" s="7" t="str">
        <f ca="1"/>
        <v>Invalid_Parent_Object</v>
      </c>
    </row>
    <row r="180" spans="20:22" x14ac:dyDescent="0.25">
      <c r="T180" s="7" t="str">
        <f ca="1"/>
        <v>Z7 II</v>
      </c>
      <c r="U180" s="7" t="str">
        <f ca="1"/>
        <v>0x201B</v>
      </c>
      <c r="V180" s="7" t="str">
        <f ca="1"/>
        <v>Invalid_DeviceProp_Format</v>
      </c>
    </row>
    <row r="181" spans="20:22" x14ac:dyDescent="0.25">
      <c r="T181" s="7" t="str">
        <f ca="1"/>
        <v>Z7 II</v>
      </c>
      <c r="U181" s="7" t="str">
        <f ca="1"/>
        <v>0x201C</v>
      </c>
      <c r="V181" s="7" t="str">
        <f ca="1"/>
        <v>Invalid_DeviceProp_Value</v>
      </c>
    </row>
    <row r="182" spans="20:22" x14ac:dyDescent="0.25">
      <c r="T182" s="7" t="str">
        <f ca="1"/>
        <v>Z7 II</v>
      </c>
      <c r="U182" s="7" t="str">
        <f ca="1"/>
        <v>0x201D</v>
      </c>
      <c r="V182" s="7" t="str">
        <f ca="1"/>
        <v>Invalid_Parameter</v>
      </c>
    </row>
    <row r="183" spans="20:22" x14ac:dyDescent="0.25">
      <c r="T183" s="7" t="str">
        <f ca="1"/>
        <v>Z7 II</v>
      </c>
      <c r="U183" s="7" t="str">
        <f ca="1"/>
        <v>0x201E</v>
      </c>
      <c r="V183" s="7" t="str">
        <f ca="1"/>
        <v>Session_Already_Open</v>
      </c>
    </row>
    <row r="184" spans="20:22" x14ac:dyDescent="0.25">
      <c r="T184" s="7" t="str">
        <f ca="1"/>
        <v>Z7 II</v>
      </c>
      <c r="U184" s="7" t="str">
        <f ca="1"/>
        <v>0x201F</v>
      </c>
      <c r="V184" s="7" t="str">
        <f ca="1"/>
        <v>Transaction_Cancelled</v>
      </c>
    </row>
    <row r="185" spans="20:22" x14ac:dyDescent="0.25">
      <c r="T185" s="7" t="str">
        <f ca="1"/>
        <v>Z7 II</v>
      </c>
      <c r="U185" s="7" t="str">
        <f ca="1"/>
        <v>0x2020</v>
      </c>
      <c r="V185" s="7" t="str">
        <f ca="1"/>
        <v>Specification_of_Destination_Unsupported</v>
      </c>
    </row>
    <row r="186" spans="20:22" x14ac:dyDescent="0.25">
      <c r="T186" s="7" t="str">
        <f ca="1"/>
        <v>Z7 II</v>
      </c>
      <c r="U186" s="7" t="str">
        <f ca="1"/>
        <v>0xA001</v>
      </c>
      <c r="V186" s="7" t="str">
        <f ca="1"/>
        <v>Hardware_Error</v>
      </c>
    </row>
    <row r="187" spans="20:22" x14ac:dyDescent="0.25">
      <c r="T187" s="7" t="str">
        <f ca="1"/>
        <v>Z7 II</v>
      </c>
      <c r="U187" s="7" t="str">
        <f ca="1"/>
        <v>0xA002</v>
      </c>
      <c r="V187" s="7" t="str">
        <f ca="1"/>
        <v>Out_of_Focus</v>
      </c>
    </row>
    <row r="188" spans="20:22" x14ac:dyDescent="0.25">
      <c r="T188" s="7" t="str">
        <f ca="1"/>
        <v>Z7 II</v>
      </c>
      <c r="U188" s="7" t="str">
        <f ca="1"/>
        <v>0xA003</v>
      </c>
      <c r="V188" s="7" t="str">
        <f ca="1"/>
        <v>Change_CameraMode_Failed</v>
      </c>
    </row>
    <row r="189" spans="20:22" x14ac:dyDescent="0.25">
      <c r="T189" s="7" t="str">
        <f ca="1"/>
        <v>Z7 II</v>
      </c>
      <c r="U189" s="7" t="str">
        <f ca="1"/>
        <v>0xA004</v>
      </c>
      <c r="V189" s="7" t="str">
        <f ca="1"/>
        <v>Invalid_Status</v>
      </c>
    </row>
    <row r="190" spans="20:22" x14ac:dyDescent="0.25">
      <c r="T190" s="7" t="str">
        <f ca="1"/>
        <v>Z7 II</v>
      </c>
      <c r="U190" s="7" t="str">
        <f ca="1"/>
        <v>0xA006</v>
      </c>
      <c r="V190" s="7" t="str">
        <f ca="1"/>
        <v>Wb_Preset_Error</v>
      </c>
    </row>
    <row r="191" spans="20:22" x14ac:dyDescent="0.25">
      <c r="T191" s="7" t="str">
        <f ca="1"/>
        <v>Z7 II</v>
      </c>
      <c r="U191" s="7" t="str">
        <f ca="1"/>
        <v>0xA007</v>
      </c>
      <c r="V191" s="7" t="str">
        <f ca="1"/>
        <v>Dust_Reference_Error</v>
      </c>
    </row>
    <row r="192" spans="20:22" x14ac:dyDescent="0.25">
      <c r="T192" s="7" t="str">
        <f ca="1"/>
        <v>Z7 II</v>
      </c>
      <c r="U192" s="7" t="str">
        <f ca="1"/>
        <v>0xA008</v>
      </c>
      <c r="V192" s="7" t="str">
        <f ca="1"/>
        <v>Shutter_Speed_Bulb</v>
      </c>
    </row>
    <row r="193" spans="20:22" x14ac:dyDescent="0.25">
      <c r="T193" s="7" t="str">
        <f ca="1"/>
        <v>Z7 II</v>
      </c>
      <c r="U193" s="7" t="str">
        <f ca="1"/>
        <v>0xA00A</v>
      </c>
      <c r="V193" s="7" t="str">
        <f ca="1"/>
        <v>CameraMode_Not_Adjust_Fnumber</v>
      </c>
    </row>
    <row r="194" spans="20:22" x14ac:dyDescent="0.25">
      <c r="T194" s="7" t="str">
        <f ca="1"/>
        <v>Z7 II</v>
      </c>
      <c r="U194" s="7" t="str">
        <f ca="1"/>
        <v>0xA00B</v>
      </c>
      <c r="V194" s="7" t="str">
        <f ca="1"/>
        <v>Not_LiveView</v>
      </c>
    </row>
    <row r="195" spans="20:22" x14ac:dyDescent="0.25">
      <c r="T195" s="7" t="str">
        <f ca="1"/>
        <v>Z7 II</v>
      </c>
      <c r="U195" s="7" t="str">
        <f ca="1"/>
        <v>0xA00C</v>
      </c>
      <c r="V195" s="7" t="str">
        <f ca="1"/>
        <v>MfDrive_Step_End</v>
      </c>
    </row>
    <row r="196" spans="20:22" x14ac:dyDescent="0.25">
      <c r="T196" s="7" t="str">
        <f ca="1"/>
        <v>Z7 II</v>
      </c>
      <c r="U196" s="7" t="str">
        <f ca="1"/>
        <v>0xA00E</v>
      </c>
      <c r="V196" s="7" t="str">
        <f ca="1"/>
        <v>MfDrive_Step_Insufficiency</v>
      </c>
    </row>
    <row r="197" spans="20:22" x14ac:dyDescent="0.25">
      <c r="T197" s="7" t="str">
        <f ca="1"/>
        <v>Z7 II</v>
      </c>
      <c r="U197" s="7" t="str">
        <f ca="1"/>
        <v>0xA00F</v>
      </c>
      <c r="V197" s="7" t="str">
        <f ca="1"/>
        <v>No_FullHD_Present</v>
      </c>
    </row>
    <row r="198" spans="20:22" x14ac:dyDescent="0.25">
      <c r="T198" s="7" t="str">
        <f ca="1"/>
        <v>Z7 II</v>
      </c>
      <c r="U198" s="7" t="str">
        <f ca="1"/>
        <v>0xA021</v>
      </c>
      <c r="V198" s="7" t="str">
        <f ca="1"/>
        <v>Store_Error</v>
      </c>
    </row>
    <row r="199" spans="20:22" x14ac:dyDescent="0.25">
      <c r="T199" s="7" t="str">
        <f ca="1"/>
        <v>Z7 II</v>
      </c>
      <c r="U199" s="7" t="str">
        <f ca="1"/>
        <v>0xA022</v>
      </c>
      <c r="V199" s="7" t="str">
        <f ca="1"/>
        <v>Store_Unformatted</v>
      </c>
    </row>
    <row r="200" spans="20:22" x14ac:dyDescent="0.25">
      <c r="T200" s="7" t="str">
        <f ca="1"/>
        <v>Z7 II</v>
      </c>
      <c r="U200" s="7" t="str">
        <f ca="1"/>
        <v>0xA200</v>
      </c>
      <c r="V200" s="7" t="str">
        <f ca="1"/>
        <v>Bulb_Release_Busy</v>
      </c>
    </row>
    <row r="201" spans="20:22" x14ac:dyDescent="0.25">
      <c r="T201" s="7" t="str">
        <f ca="1"/>
        <v>Z7 II</v>
      </c>
      <c r="U201" s="7" t="str">
        <f ca="1"/>
        <v>0xA201</v>
      </c>
      <c r="V201" s="7" t="str">
        <f ca="1"/>
        <v>Silent_Release_Busy</v>
      </c>
    </row>
    <row r="202" spans="20:22" x14ac:dyDescent="0.25">
      <c r="T202" s="7" t="str">
        <f ca="1"/>
        <v>Z7 II</v>
      </c>
      <c r="U202" s="7" t="str">
        <f ca="1"/>
        <v>0xA202</v>
      </c>
      <c r="V202" s="7" t="str">
        <f ca="1"/>
        <v>MovieFrame_Release_Busy</v>
      </c>
    </row>
    <row r="203" spans="20:22" x14ac:dyDescent="0.25">
      <c r="T203" s="7" t="str">
        <f ca="1"/>
        <v>Z7 II</v>
      </c>
      <c r="U203" s="7" t="str">
        <f ca="1"/>
        <v>0xA204</v>
      </c>
      <c r="V203" s="7" t="str">
        <f ca="1"/>
        <v>Shutter_Speed_Time</v>
      </c>
    </row>
    <row r="204" spans="20:22" x14ac:dyDescent="0.25">
      <c r="T204" s="7" t="str">
        <f ca="1"/>
        <v>Z7 II</v>
      </c>
      <c r="U204" s="7" t="str">
        <f ca="1"/>
        <v>0xA209</v>
      </c>
      <c r="V204" s="7" t="str">
        <f ca="1"/>
        <v>Invalid_SBAttribute_Value</v>
      </c>
    </row>
    <row r="205" spans="20:22" x14ac:dyDescent="0.25">
      <c r="T205" s="7" t="str">
        <f ca="1"/>
        <v>Z7 II</v>
      </c>
      <c r="U205" s="7" t="str">
        <f ca="1"/>
        <v>0xA801</v>
      </c>
      <c r="V205" s="7" t="str">
        <f ca="1"/>
        <v>Invalid_ObjectPropCode</v>
      </c>
    </row>
    <row r="206" spans="20:22" x14ac:dyDescent="0.25">
      <c r="T206" s="7" t="str">
        <f ca="1"/>
        <v>Z7 II</v>
      </c>
      <c r="U206" s="7" t="str">
        <f ca="1"/>
        <v>0xA802</v>
      </c>
      <c r="V206" s="7" t="str">
        <f ca="1"/>
        <v>Invalid_ObjectProp_Format</v>
      </c>
    </row>
    <row r="207" spans="20:22" x14ac:dyDescent="0.25">
      <c r="T207" s="7" t="str">
        <f ca="1"/>
        <v>Z7 II</v>
      </c>
      <c r="U207" s="7" t="str">
        <f ca="1"/>
        <v>0xA80A</v>
      </c>
      <c r="V207" s="7" t="str">
        <f ca="1"/>
        <v>ObjectProp_Not_Supported</v>
      </c>
    </row>
    <row r="208" spans="20:22" x14ac:dyDescent="0.25">
      <c r="T208" s="7" t="str">
        <f ca="1"/>
        <v>Z50</v>
      </c>
      <c r="U208" s="7" t="str">
        <f ca="1"/>
        <v>0x2001</v>
      </c>
      <c r="V208" s="7" t="str">
        <f ca="1"/>
        <v>OK</v>
      </c>
    </row>
    <row r="209" spans="20:22" x14ac:dyDescent="0.25">
      <c r="T209" s="7" t="str">
        <f ca="1"/>
        <v>Z50</v>
      </c>
      <c r="U209" s="7" t="str">
        <f ca="1"/>
        <v>0x2002</v>
      </c>
      <c r="V209" s="7" t="str">
        <f ca="1"/>
        <v>General_Error</v>
      </c>
    </row>
    <row r="210" spans="20:22" x14ac:dyDescent="0.25">
      <c r="T210" s="7" t="str">
        <f ca="1"/>
        <v>Z50</v>
      </c>
      <c r="U210" s="7" t="str">
        <f ca="1"/>
        <v>0x2003</v>
      </c>
      <c r="V210" s="7" t="str">
        <f ca="1"/>
        <v>Session_Not_Open</v>
      </c>
    </row>
    <row r="211" spans="20:22" x14ac:dyDescent="0.25">
      <c r="T211" s="7" t="str">
        <f ca="1"/>
        <v>Z50</v>
      </c>
      <c r="U211" s="7" t="str">
        <f ca="1"/>
        <v>0x2004</v>
      </c>
      <c r="V211" s="7" t="str">
        <f ca="1"/>
        <v>Invalid_TransactionID</v>
      </c>
    </row>
    <row r="212" spans="20:22" x14ac:dyDescent="0.25">
      <c r="T212" s="7" t="str">
        <f ca="1"/>
        <v>Z50</v>
      </c>
      <c r="U212" s="7" t="str">
        <f ca="1"/>
        <v>0x2005</v>
      </c>
      <c r="V212" s="7" t="str">
        <f ca="1"/>
        <v>Operation_Not_Supported</v>
      </c>
    </row>
    <row r="213" spans="20:22" x14ac:dyDescent="0.25">
      <c r="T213" s="7" t="str">
        <f ca="1"/>
        <v>Z50</v>
      </c>
      <c r="U213" s="7" t="str">
        <f ca="1"/>
        <v>0x2006</v>
      </c>
      <c r="V213" s="7" t="str">
        <f ca="1"/>
        <v>Parameter_Not_Supported</v>
      </c>
    </row>
    <row r="214" spans="20:22" x14ac:dyDescent="0.25">
      <c r="T214" s="7" t="str">
        <f ca="1"/>
        <v>Z50</v>
      </c>
      <c r="U214" s="7" t="str">
        <f ca="1"/>
        <v>0x2007</v>
      </c>
      <c r="V214" s="7" t="str">
        <f ca="1"/>
        <v>Incomplete_Transfer</v>
      </c>
    </row>
    <row r="215" spans="20:22" x14ac:dyDescent="0.25">
      <c r="T215" s="7" t="str">
        <f ca="1"/>
        <v>Z50</v>
      </c>
      <c r="U215" s="7" t="str">
        <f ca="1"/>
        <v>0x2008</v>
      </c>
      <c r="V215" s="7" t="str">
        <f ca="1"/>
        <v>Invalid_StorageID</v>
      </c>
    </row>
    <row r="216" spans="20:22" x14ac:dyDescent="0.25">
      <c r="T216" s="7" t="str">
        <f ca="1"/>
        <v>Z50</v>
      </c>
      <c r="U216" s="7" t="str">
        <f ca="1"/>
        <v>0x2009</v>
      </c>
      <c r="V216" s="7" t="str">
        <f ca="1"/>
        <v>Invalid_Object_Handle</v>
      </c>
    </row>
    <row r="217" spans="20:22" x14ac:dyDescent="0.25">
      <c r="T217" s="7" t="str">
        <f ca="1"/>
        <v>Z50</v>
      </c>
      <c r="U217" s="7" t="str">
        <f ca="1"/>
        <v>0x200A</v>
      </c>
      <c r="V217" s="7" t="str">
        <f ca="1"/>
        <v>DeviceProp_Not_Supported</v>
      </c>
    </row>
    <row r="218" spans="20:22" x14ac:dyDescent="0.25">
      <c r="T218" s="7" t="str">
        <f ca="1"/>
        <v>Z50</v>
      </c>
      <c r="U218" s="7" t="str">
        <f ca="1"/>
        <v>0x200B</v>
      </c>
      <c r="V218" s="7" t="str">
        <f ca="1"/>
        <v>Invalid_ObjectFormatCode</v>
      </c>
    </row>
    <row r="219" spans="20:22" x14ac:dyDescent="0.25">
      <c r="T219" s="7" t="str">
        <f ca="1"/>
        <v>Z50</v>
      </c>
      <c r="U219" s="7" t="str">
        <f ca="1"/>
        <v>0x200C</v>
      </c>
      <c r="V219" s="7" t="str">
        <f ca="1"/>
        <v>Store_Full</v>
      </c>
    </row>
    <row r="220" spans="20:22" x14ac:dyDescent="0.25">
      <c r="T220" s="7" t="str">
        <f ca="1"/>
        <v>Z50</v>
      </c>
      <c r="U220" s="7" t="str">
        <f ca="1"/>
        <v>0x200D</v>
      </c>
      <c r="V220" s="7" t="str">
        <f ca="1"/>
        <v>Object_Write_Protect</v>
      </c>
    </row>
    <row r="221" spans="20:22" x14ac:dyDescent="0.25">
      <c r="T221" s="7" t="str">
        <f ca="1"/>
        <v>Z50</v>
      </c>
      <c r="U221" s="7" t="str">
        <f ca="1"/>
        <v>0x200E</v>
      </c>
      <c r="V221" s="7" t="str">
        <f ca="1"/>
        <v>Store_Read_Only</v>
      </c>
    </row>
    <row r="222" spans="20:22" x14ac:dyDescent="0.25">
      <c r="T222" s="7" t="str">
        <f ca="1"/>
        <v>Z50</v>
      </c>
      <c r="U222" s="7" t="str">
        <f ca="1"/>
        <v>0x200F</v>
      </c>
      <c r="V222" s="7" t="str">
        <f ca="1"/>
        <v>Access_Denied</v>
      </c>
    </row>
    <row r="223" spans="20:22" x14ac:dyDescent="0.25">
      <c r="T223" s="7" t="str">
        <f ca="1"/>
        <v>Z50</v>
      </c>
      <c r="U223" s="7" t="str">
        <f ca="1"/>
        <v>0x2010</v>
      </c>
      <c r="V223" s="7" t="str">
        <f ca="1"/>
        <v>No_Thumbnail_Present</v>
      </c>
    </row>
    <row r="224" spans="20:22" x14ac:dyDescent="0.25">
      <c r="T224" s="7" t="str">
        <f ca="1"/>
        <v>Z50</v>
      </c>
      <c r="U224" s="7" t="str">
        <f ca="1"/>
        <v>0x2012</v>
      </c>
      <c r="V224" s="7" t="str">
        <f ca="1"/>
        <v>Partial_Deletion</v>
      </c>
    </row>
    <row r="225" spans="20:22" x14ac:dyDescent="0.25">
      <c r="T225" s="7" t="str">
        <f ca="1"/>
        <v>Z50</v>
      </c>
      <c r="U225" s="7" t="str">
        <f ca="1"/>
        <v>0x2013</v>
      </c>
      <c r="V225" s="7" t="str">
        <f ca="1"/>
        <v>Store_Not_Available</v>
      </c>
    </row>
    <row r="226" spans="20:22" x14ac:dyDescent="0.25">
      <c r="T226" s="7" t="str">
        <f ca="1"/>
        <v>Z50</v>
      </c>
      <c r="U226" s="7" t="str">
        <f ca="1"/>
        <v>0x2014</v>
      </c>
      <c r="V226" s="7" t="str">
        <f ca="1"/>
        <v>Specification_By_Format_Unsupported</v>
      </c>
    </row>
    <row r="227" spans="20:22" x14ac:dyDescent="0.25">
      <c r="T227" s="7" t="str">
        <f ca="1"/>
        <v>Z50</v>
      </c>
      <c r="U227" s="7" t="str">
        <f ca="1"/>
        <v>0x2015</v>
      </c>
      <c r="V227" s="7" t="str">
        <f ca="1"/>
        <v>No_Valid_ObjectInfo</v>
      </c>
    </row>
    <row r="228" spans="20:22" x14ac:dyDescent="0.25">
      <c r="T228" s="7" t="str">
        <f ca="1"/>
        <v>Z50</v>
      </c>
      <c r="U228" s="7" t="str">
        <f ca="1"/>
        <v>0x2019</v>
      </c>
      <c r="V228" s="7" t="str">
        <f ca="1"/>
        <v>Device_Busy</v>
      </c>
    </row>
    <row r="229" spans="20:22" x14ac:dyDescent="0.25">
      <c r="T229" s="7" t="str">
        <f ca="1"/>
        <v>Z50</v>
      </c>
      <c r="U229" s="7" t="str">
        <f ca="1"/>
        <v>0x201A</v>
      </c>
      <c r="V229" s="7" t="str">
        <f ca="1"/>
        <v>Invalid_Parent_Object</v>
      </c>
    </row>
    <row r="230" spans="20:22" x14ac:dyDescent="0.25">
      <c r="T230" s="7" t="str">
        <f ca="1"/>
        <v>Z50</v>
      </c>
      <c r="U230" s="7" t="str">
        <f ca="1"/>
        <v>0x201B</v>
      </c>
      <c r="V230" s="7" t="str">
        <f ca="1"/>
        <v>Invalid_DeviceProp_Format</v>
      </c>
    </row>
    <row r="231" spans="20:22" x14ac:dyDescent="0.25">
      <c r="T231" s="7" t="str">
        <f ca="1"/>
        <v>Z50</v>
      </c>
      <c r="U231" s="7" t="str">
        <f ca="1"/>
        <v>0x201C</v>
      </c>
      <c r="V231" s="7" t="str">
        <f ca="1"/>
        <v>Invalid_DeviceProp_Value</v>
      </c>
    </row>
    <row r="232" spans="20:22" x14ac:dyDescent="0.25">
      <c r="T232" s="7" t="str">
        <f ca="1"/>
        <v>Z50</v>
      </c>
      <c r="U232" s="7" t="str">
        <f ca="1"/>
        <v>0x201D</v>
      </c>
      <c r="V232" s="7" t="str">
        <f ca="1"/>
        <v>Invalid_Parameter</v>
      </c>
    </row>
    <row r="233" spans="20:22" x14ac:dyDescent="0.25">
      <c r="T233" s="7" t="str">
        <f ca="1"/>
        <v>Z50</v>
      </c>
      <c r="U233" s="7" t="str">
        <f ca="1"/>
        <v>0x201E</v>
      </c>
      <c r="V233" s="7" t="str">
        <f ca="1"/>
        <v>Session_Already_Open</v>
      </c>
    </row>
    <row r="234" spans="20:22" x14ac:dyDescent="0.25">
      <c r="T234" s="7" t="str">
        <f ca="1"/>
        <v>Z50</v>
      </c>
      <c r="U234" s="7" t="str">
        <f ca="1"/>
        <v>0x201F</v>
      </c>
      <c r="V234" s="7" t="str">
        <f ca="1"/>
        <v>Transaction_Cancelled</v>
      </c>
    </row>
    <row r="235" spans="20:22" x14ac:dyDescent="0.25">
      <c r="T235" s="7" t="str">
        <f ca="1"/>
        <v>Z50</v>
      </c>
      <c r="U235" s="7" t="str">
        <f ca="1"/>
        <v>0x2020</v>
      </c>
      <c r="V235" s="7" t="str">
        <f ca="1"/>
        <v>Specification_of_Destination_Unsupported</v>
      </c>
    </row>
    <row r="236" spans="20:22" x14ac:dyDescent="0.25">
      <c r="T236" s="7" t="str">
        <f ca="1"/>
        <v>Z50</v>
      </c>
      <c r="U236" s="7" t="str">
        <f ca="1"/>
        <v>0xA001</v>
      </c>
      <c r="V236" s="7" t="str">
        <f ca="1"/>
        <v>Hardware_Error</v>
      </c>
    </row>
    <row r="237" spans="20:22" x14ac:dyDescent="0.25">
      <c r="T237" s="7" t="str">
        <f ca="1"/>
        <v>Z50</v>
      </c>
      <c r="U237" s="7" t="str">
        <f ca="1"/>
        <v>0xA002</v>
      </c>
      <c r="V237" s="7" t="str">
        <f ca="1"/>
        <v>Out_of_Focus</v>
      </c>
    </row>
    <row r="238" spans="20:22" x14ac:dyDescent="0.25">
      <c r="T238" s="7" t="str">
        <f ca="1"/>
        <v>Z50</v>
      </c>
      <c r="U238" s="7" t="str">
        <f ca="1"/>
        <v>0xA003</v>
      </c>
      <c r="V238" s="7" t="str">
        <f ca="1"/>
        <v>Change_CameraMode_Failed</v>
      </c>
    </row>
    <row r="239" spans="20:22" x14ac:dyDescent="0.25">
      <c r="T239" s="7" t="str">
        <f ca="1"/>
        <v>Z50</v>
      </c>
      <c r="U239" s="7" t="str">
        <f ca="1"/>
        <v>0xA004</v>
      </c>
      <c r="V239" s="7" t="str">
        <f ca="1"/>
        <v>Invalid_Status</v>
      </c>
    </row>
    <row r="240" spans="20:22" x14ac:dyDescent="0.25">
      <c r="T240" s="7" t="str">
        <f ca="1"/>
        <v>Z50</v>
      </c>
      <c r="U240" s="7" t="str">
        <f ca="1"/>
        <v>0xA006</v>
      </c>
      <c r="V240" s="7" t="str">
        <f ca="1"/>
        <v>Wb_Preset_Error</v>
      </c>
    </row>
    <row r="241" spans="20:22" x14ac:dyDescent="0.25">
      <c r="T241" s="7" t="str">
        <f ca="1"/>
        <v>Z50</v>
      </c>
      <c r="U241" s="7" t="str">
        <f ca="1"/>
        <v>0xA007</v>
      </c>
      <c r="V241" s="7" t="str">
        <f ca="1"/>
        <v>Dust_Reference_Error</v>
      </c>
    </row>
    <row r="242" spans="20:22" x14ac:dyDescent="0.25">
      <c r="T242" s="7" t="str">
        <f ca="1"/>
        <v>Z50</v>
      </c>
      <c r="U242" s="7" t="str">
        <f ca="1"/>
        <v>0xA008</v>
      </c>
      <c r="V242" s="7" t="str">
        <f ca="1"/>
        <v>Shutter_Speed_Bulb</v>
      </c>
    </row>
    <row r="243" spans="20:22" x14ac:dyDescent="0.25">
      <c r="T243" s="7" t="str">
        <f ca="1"/>
        <v>Z50</v>
      </c>
      <c r="U243" s="7" t="str">
        <f ca="1"/>
        <v>0xA00A</v>
      </c>
      <c r="V243" s="7" t="str">
        <f ca="1"/>
        <v>CameraMode_Not_Adjust_Fnumber</v>
      </c>
    </row>
    <row r="244" spans="20:22" x14ac:dyDescent="0.25">
      <c r="T244" s="7" t="str">
        <f ca="1"/>
        <v>Z50</v>
      </c>
      <c r="U244" s="7" t="str">
        <f ca="1"/>
        <v>0xA00B</v>
      </c>
      <c r="V244" s="7" t="str">
        <f ca="1"/>
        <v>Not_LiveView</v>
      </c>
    </row>
    <row r="245" spans="20:22" x14ac:dyDescent="0.25">
      <c r="T245" s="7" t="str">
        <f ca="1"/>
        <v>Z50</v>
      </c>
      <c r="U245" s="7" t="str">
        <f ca="1"/>
        <v>0xA00C</v>
      </c>
      <c r="V245" s="7" t="str">
        <f ca="1"/>
        <v>MfDrive_Step_End</v>
      </c>
    </row>
    <row r="246" spans="20:22" x14ac:dyDescent="0.25">
      <c r="T246" s="7" t="str">
        <f ca="1"/>
        <v>Z50</v>
      </c>
      <c r="U246" s="7" t="str">
        <f ca="1"/>
        <v>0xA00E</v>
      </c>
      <c r="V246" s="7" t="str">
        <f ca="1"/>
        <v>MfDrive_Step_Insufficiency</v>
      </c>
    </row>
    <row r="247" spans="20:22" x14ac:dyDescent="0.25">
      <c r="T247" s="7" t="str">
        <f ca="1"/>
        <v>Z50</v>
      </c>
      <c r="U247" s="7" t="str">
        <f ca="1"/>
        <v>0xA00F</v>
      </c>
      <c r="V247" s="7" t="str">
        <f ca="1"/>
        <v>No_FullHD_Present</v>
      </c>
    </row>
    <row r="248" spans="20:22" x14ac:dyDescent="0.25">
      <c r="T248" s="7" t="str">
        <f ca="1"/>
        <v>Z50</v>
      </c>
      <c r="U248" s="7" t="str">
        <f ca="1"/>
        <v>0xA021</v>
      </c>
      <c r="V248" s="7" t="str">
        <f ca="1"/>
        <v>Store_Error</v>
      </c>
    </row>
    <row r="249" spans="20:22" x14ac:dyDescent="0.25">
      <c r="T249" s="7" t="str">
        <f ca="1"/>
        <v>Z50</v>
      </c>
      <c r="U249" s="7" t="str">
        <f ca="1"/>
        <v>0xA022</v>
      </c>
      <c r="V249" s="7" t="str">
        <f ca="1"/>
        <v>Store_Unformatted</v>
      </c>
    </row>
    <row r="250" spans="20:22" x14ac:dyDescent="0.25">
      <c r="T250" s="7" t="str">
        <f ca="1"/>
        <v>Z50</v>
      </c>
      <c r="U250" s="7" t="str">
        <f ca="1"/>
        <v>0xA200</v>
      </c>
      <c r="V250" s="7" t="str">
        <f ca="1"/>
        <v>Bulb_Release_Busy</v>
      </c>
    </row>
    <row r="251" spans="20:22" x14ac:dyDescent="0.25">
      <c r="T251" s="7" t="str">
        <f ca="1"/>
        <v>Z50</v>
      </c>
      <c r="U251" s="7" t="str">
        <f ca="1"/>
        <v>0xA201</v>
      </c>
      <c r="V251" s="7" t="str">
        <f ca="1"/>
        <v>Silent_Release_Busy</v>
      </c>
    </row>
    <row r="252" spans="20:22" x14ac:dyDescent="0.25">
      <c r="T252" s="7" t="str">
        <f ca="1"/>
        <v>Z50</v>
      </c>
      <c r="U252" s="7" t="str">
        <f ca="1"/>
        <v>0xA202</v>
      </c>
      <c r="V252" s="7" t="str">
        <f ca="1"/>
        <v>MovieFrame_Release_Busy</v>
      </c>
    </row>
    <row r="253" spans="20:22" x14ac:dyDescent="0.25">
      <c r="T253" s="7" t="str">
        <f ca="1"/>
        <v>Z50</v>
      </c>
      <c r="U253" s="7" t="str">
        <f ca="1"/>
        <v>0xA204</v>
      </c>
      <c r="V253" s="7" t="str">
        <f ca="1"/>
        <v>Shutter_Speed_Time</v>
      </c>
    </row>
    <row r="254" spans="20:22" x14ac:dyDescent="0.25">
      <c r="T254" s="7" t="str">
        <f ca="1"/>
        <v>Z50</v>
      </c>
      <c r="U254" s="7" t="str">
        <f ca="1"/>
        <v>0xA801</v>
      </c>
      <c r="V254" s="7" t="str">
        <f ca="1"/>
        <v>Invalid_ObjectPropCode</v>
      </c>
    </row>
    <row r="255" spans="20:22" x14ac:dyDescent="0.25">
      <c r="T255" s="7" t="str">
        <f ca="1"/>
        <v>Z50</v>
      </c>
      <c r="U255" s="7" t="str">
        <f ca="1"/>
        <v>0xA802</v>
      </c>
      <c r="V255" s="7" t="str">
        <f ca="1"/>
        <v>Invalid_ObjectProp_Format</v>
      </c>
    </row>
    <row r="256" spans="20:22" x14ac:dyDescent="0.25">
      <c r="T256" s="7" t="str">
        <f ca="1"/>
        <v>Z50</v>
      </c>
      <c r="U256" s="7" t="str">
        <f ca="1"/>
        <v>0xA80A</v>
      </c>
      <c r="V256" s="7" t="str">
        <f ca="1"/>
        <v>ObjectProp_Not_Supported</v>
      </c>
    </row>
    <row r="257" spans="20:22" x14ac:dyDescent="0.25">
      <c r="T257" s="7" t="str">
        <f ca="1"/>
        <v>Z6</v>
      </c>
      <c r="U257" s="7" t="str">
        <f ca="1"/>
        <v>0x2001</v>
      </c>
      <c r="V257" s="7" t="str">
        <f ca="1"/>
        <v>OK</v>
      </c>
    </row>
    <row r="258" spans="20:22" x14ac:dyDescent="0.25">
      <c r="T258" s="7" t="str">
        <f ca="1"/>
        <v>Z6</v>
      </c>
      <c r="U258" s="7" t="str">
        <f ca="1"/>
        <v>0x2002</v>
      </c>
      <c r="V258" s="7" t="str">
        <f ca="1"/>
        <v>General_Error</v>
      </c>
    </row>
    <row r="259" spans="20:22" x14ac:dyDescent="0.25">
      <c r="T259" s="7" t="str">
        <f ca="1"/>
        <v>Z6</v>
      </c>
      <c r="U259" s="7" t="str">
        <f ca="1"/>
        <v>0x2003</v>
      </c>
      <c r="V259" s="7" t="str">
        <f ca="1"/>
        <v>Session_Not_Open</v>
      </c>
    </row>
    <row r="260" spans="20:22" x14ac:dyDescent="0.25">
      <c r="T260" s="7" t="str">
        <f ca="1"/>
        <v>Z6</v>
      </c>
      <c r="U260" s="7" t="str">
        <f ca="1"/>
        <v>0x2004</v>
      </c>
      <c r="V260" s="7" t="str">
        <f ca="1"/>
        <v>Invalid_TransactionID</v>
      </c>
    </row>
    <row r="261" spans="20:22" x14ac:dyDescent="0.25">
      <c r="T261" s="7" t="str">
        <f ca="1"/>
        <v>Z6</v>
      </c>
      <c r="U261" s="7" t="str">
        <f ca="1"/>
        <v>0x2005</v>
      </c>
      <c r="V261" s="7" t="str">
        <f ca="1"/>
        <v>Operation_Not_Supported</v>
      </c>
    </row>
    <row r="262" spans="20:22" x14ac:dyDescent="0.25">
      <c r="T262" s="7" t="str">
        <f ca="1"/>
        <v>Z6</v>
      </c>
      <c r="U262" s="7" t="str">
        <f ca="1"/>
        <v>0x2006</v>
      </c>
      <c r="V262" s="7" t="str">
        <f ca="1"/>
        <v>Parameter_Not_Supported</v>
      </c>
    </row>
    <row r="263" spans="20:22" x14ac:dyDescent="0.25">
      <c r="T263" s="7" t="str">
        <f ca="1"/>
        <v>Z6</v>
      </c>
      <c r="U263" s="7" t="str">
        <f ca="1"/>
        <v>0x2007</v>
      </c>
      <c r="V263" s="7" t="str">
        <f ca="1"/>
        <v>Incomplete_Transfer</v>
      </c>
    </row>
    <row r="264" spans="20:22" x14ac:dyDescent="0.25">
      <c r="T264" s="7" t="str">
        <f ca="1"/>
        <v>Z6</v>
      </c>
      <c r="U264" s="7" t="str">
        <f ca="1"/>
        <v>0x2008</v>
      </c>
      <c r="V264" s="7" t="str">
        <f ca="1"/>
        <v>Invalid_StorageID</v>
      </c>
    </row>
    <row r="265" spans="20:22" x14ac:dyDescent="0.25">
      <c r="T265" s="7" t="str">
        <f ca="1"/>
        <v>Z6</v>
      </c>
      <c r="U265" s="7" t="str">
        <f ca="1"/>
        <v>0x2009</v>
      </c>
      <c r="V265" s="7" t="str">
        <f ca="1"/>
        <v>Invalid_Object_Handle</v>
      </c>
    </row>
    <row r="266" spans="20:22" x14ac:dyDescent="0.25">
      <c r="T266" s="7" t="str">
        <f ca="1"/>
        <v>Z6</v>
      </c>
      <c r="U266" s="7" t="str">
        <f ca="1"/>
        <v>0x200A</v>
      </c>
      <c r="V266" s="7" t="str">
        <f ca="1"/>
        <v>DeviceProp_Not_Supported</v>
      </c>
    </row>
    <row r="267" spans="20:22" x14ac:dyDescent="0.25">
      <c r="T267" s="7" t="str">
        <f ca="1"/>
        <v>Z6</v>
      </c>
      <c r="U267" s="7" t="str">
        <f ca="1"/>
        <v>0x200B</v>
      </c>
      <c r="V267" s="7" t="str">
        <f ca="1"/>
        <v>Invalid_ObjectFormatCode</v>
      </c>
    </row>
    <row r="268" spans="20:22" x14ac:dyDescent="0.25">
      <c r="T268" s="7" t="str">
        <f ca="1"/>
        <v>Z6</v>
      </c>
      <c r="U268" s="7" t="str">
        <f ca="1"/>
        <v>0x200C</v>
      </c>
      <c r="V268" s="7" t="str">
        <f ca="1"/>
        <v>Store_Full</v>
      </c>
    </row>
    <row r="269" spans="20:22" x14ac:dyDescent="0.25">
      <c r="T269" s="7" t="str">
        <f ca="1"/>
        <v>Z6</v>
      </c>
      <c r="U269" s="7" t="str">
        <f ca="1"/>
        <v>0x200D</v>
      </c>
      <c r="V269" s="7" t="str">
        <f ca="1"/>
        <v>Object_Write_Protect</v>
      </c>
    </row>
    <row r="270" spans="20:22" x14ac:dyDescent="0.25">
      <c r="T270" s="7" t="str">
        <f ca="1"/>
        <v>Z6</v>
      </c>
      <c r="U270" s="7" t="str">
        <f ca="1"/>
        <v>0x200E</v>
      </c>
      <c r="V270" s="7" t="str">
        <f ca="1"/>
        <v>Store_Read_Only</v>
      </c>
    </row>
    <row r="271" spans="20:22" x14ac:dyDescent="0.25">
      <c r="T271" s="7" t="str">
        <f ca="1"/>
        <v>Z6</v>
      </c>
      <c r="U271" s="7" t="str">
        <f ca="1"/>
        <v>0x200F</v>
      </c>
      <c r="V271" s="7" t="str">
        <f ca="1"/>
        <v>Access_Denied</v>
      </c>
    </row>
    <row r="272" spans="20:22" x14ac:dyDescent="0.25">
      <c r="T272" s="7" t="str">
        <f ca="1"/>
        <v>Z6</v>
      </c>
      <c r="U272" s="7" t="str">
        <f ca="1"/>
        <v>0x2010</v>
      </c>
      <c r="V272" s="7" t="str">
        <f ca="1"/>
        <v>No_Thumbnail_Present</v>
      </c>
    </row>
    <row r="273" spans="20:22" x14ac:dyDescent="0.25">
      <c r="T273" s="7" t="str">
        <f ca="1"/>
        <v>Z6</v>
      </c>
      <c r="U273" s="7" t="str">
        <f ca="1"/>
        <v>0x2012</v>
      </c>
      <c r="V273" s="7" t="str">
        <f ca="1"/>
        <v>Partial_Deletion</v>
      </c>
    </row>
    <row r="274" spans="20:22" x14ac:dyDescent="0.25">
      <c r="T274" s="7" t="str">
        <f ca="1"/>
        <v>Z6</v>
      </c>
      <c r="U274" s="7" t="str">
        <f ca="1"/>
        <v>0x2013</v>
      </c>
      <c r="V274" s="7" t="str">
        <f ca="1"/>
        <v>Store_Not_Available</v>
      </c>
    </row>
    <row r="275" spans="20:22" x14ac:dyDescent="0.25">
      <c r="T275" s="7" t="str">
        <f ca="1"/>
        <v>Z6</v>
      </c>
      <c r="U275" s="7" t="str">
        <f ca="1"/>
        <v>0x2014</v>
      </c>
      <c r="V275" s="7" t="str">
        <f ca="1"/>
        <v>Specification_By_Format_Unsupported</v>
      </c>
    </row>
    <row r="276" spans="20:22" x14ac:dyDescent="0.25">
      <c r="T276" s="7" t="str">
        <f ca="1"/>
        <v>Z6</v>
      </c>
      <c r="U276" s="7" t="str">
        <f ca="1"/>
        <v>0x2015</v>
      </c>
      <c r="V276" s="7" t="str">
        <f ca="1"/>
        <v>No_Valid_ObjectInfo</v>
      </c>
    </row>
    <row r="277" spans="20:22" x14ac:dyDescent="0.25">
      <c r="T277" s="7" t="str">
        <f ca="1"/>
        <v>Z6</v>
      </c>
      <c r="U277" s="7" t="str">
        <f ca="1"/>
        <v>0x2019</v>
      </c>
      <c r="V277" s="7" t="str">
        <f ca="1"/>
        <v>Device_Busy</v>
      </c>
    </row>
    <row r="278" spans="20:22" x14ac:dyDescent="0.25">
      <c r="T278" s="7" t="str">
        <f ca="1"/>
        <v>Z6</v>
      </c>
      <c r="U278" s="7" t="str">
        <f ca="1"/>
        <v>0x201A</v>
      </c>
      <c r="V278" s="7" t="str">
        <f ca="1"/>
        <v>Invalid_Parent_Object</v>
      </c>
    </row>
    <row r="279" spans="20:22" x14ac:dyDescent="0.25">
      <c r="T279" s="7" t="str">
        <f ca="1"/>
        <v>Z6</v>
      </c>
      <c r="U279" s="7" t="str">
        <f ca="1"/>
        <v>0x201B</v>
      </c>
      <c r="V279" s="7" t="str">
        <f ca="1"/>
        <v>Invalid_DeviceProp_Format</v>
      </c>
    </row>
    <row r="280" spans="20:22" x14ac:dyDescent="0.25">
      <c r="T280" s="7" t="str">
        <f ca="1"/>
        <v>Z6</v>
      </c>
      <c r="U280" s="7" t="str">
        <f ca="1"/>
        <v>0x201C</v>
      </c>
      <c r="V280" s="7" t="str">
        <f ca="1"/>
        <v>Invalid_DeviceProp_Value</v>
      </c>
    </row>
    <row r="281" spans="20:22" x14ac:dyDescent="0.25">
      <c r="T281" s="7" t="str">
        <f ca="1"/>
        <v>Z6</v>
      </c>
      <c r="U281" s="7" t="str">
        <f ca="1"/>
        <v>0x201D</v>
      </c>
      <c r="V281" s="7" t="str">
        <f ca="1"/>
        <v>Invalid_Parameter</v>
      </c>
    </row>
    <row r="282" spans="20:22" x14ac:dyDescent="0.25">
      <c r="T282" s="7" t="str">
        <f ca="1"/>
        <v>Z6</v>
      </c>
      <c r="U282" s="7" t="str">
        <f ca="1"/>
        <v>0x201E</v>
      </c>
      <c r="V282" s="7" t="str">
        <f ca="1"/>
        <v>Session_Already_Open</v>
      </c>
    </row>
    <row r="283" spans="20:22" x14ac:dyDescent="0.25">
      <c r="T283" s="7" t="str">
        <f ca="1"/>
        <v>Z6</v>
      </c>
      <c r="U283" s="7" t="str">
        <f ca="1"/>
        <v>0x201F</v>
      </c>
      <c r="V283" s="7" t="str">
        <f ca="1"/>
        <v>Transaction_Cancelled</v>
      </c>
    </row>
    <row r="284" spans="20:22" x14ac:dyDescent="0.25">
      <c r="T284" s="7" t="str">
        <f ca="1"/>
        <v>Z6</v>
      </c>
      <c r="U284" s="7" t="str">
        <f ca="1"/>
        <v>0x2020</v>
      </c>
      <c r="V284" s="7" t="str">
        <f ca="1"/>
        <v>Specification_of_Destination_Unsupported</v>
      </c>
    </row>
    <row r="285" spans="20:22" x14ac:dyDescent="0.25">
      <c r="T285" s="7" t="str">
        <f ca="1"/>
        <v>Z6</v>
      </c>
      <c r="U285" s="7" t="str">
        <f ca="1"/>
        <v>0xA001</v>
      </c>
      <c r="V285" s="7" t="str">
        <f ca="1"/>
        <v>Hardware_Error</v>
      </c>
    </row>
    <row r="286" spans="20:22" x14ac:dyDescent="0.25">
      <c r="T286" s="7" t="str">
        <f ca="1"/>
        <v>Z6</v>
      </c>
      <c r="U286" s="7" t="str">
        <f ca="1"/>
        <v>0xA002</v>
      </c>
      <c r="V286" s="7" t="str">
        <f ca="1"/>
        <v>Out_of_Focus</v>
      </c>
    </row>
    <row r="287" spans="20:22" x14ac:dyDescent="0.25">
      <c r="T287" s="7" t="str">
        <f ca="1"/>
        <v>Z6</v>
      </c>
      <c r="U287" s="7" t="str">
        <f ca="1"/>
        <v>0xA003</v>
      </c>
      <c r="V287" s="7" t="str">
        <f ca="1"/>
        <v>Change_CameraMode_Failed</v>
      </c>
    </row>
    <row r="288" spans="20:22" x14ac:dyDescent="0.25">
      <c r="T288" s="7" t="str">
        <f ca="1"/>
        <v>Z6</v>
      </c>
      <c r="U288" s="7" t="str">
        <f ca="1"/>
        <v>0xA004</v>
      </c>
      <c r="V288" s="7" t="str">
        <f ca="1"/>
        <v>Invalid_Status</v>
      </c>
    </row>
    <row r="289" spans="20:22" x14ac:dyDescent="0.25">
      <c r="T289" s="7" t="str">
        <f ca="1"/>
        <v>Z6</v>
      </c>
      <c r="U289" s="7" t="str">
        <f ca="1"/>
        <v>0xA006</v>
      </c>
      <c r="V289" s="7" t="str">
        <f ca="1"/>
        <v>Wb_Preset_Error</v>
      </c>
    </row>
    <row r="290" spans="20:22" x14ac:dyDescent="0.25">
      <c r="T290" s="7" t="str">
        <f ca="1"/>
        <v>Z6</v>
      </c>
      <c r="U290" s="7" t="str">
        <f ca="1"/>
        <v>0xA007</v>
      </c>
      <c r="V290" s="7" t="str">
        <f ca="1"/>
        <v>Dust_Reference_Error</v>
      </c>
    </row>
    <row r="291" spans="20:22" x14ac:dyDescent="0.25">
      <c r="T291" s="7" t="str">
        <f ca="1"/>
        <v>Z6</v>
      </c>
      <c r="U291" s="7" t="str">
        <f ca="1"/>
        <v>0xA008</v>
      </c>
      <c r="V291" s="7" t="str">
        <f ca="1"/>
        <v>Shutter_Speed_Bulb</v>
      </c>
    </row>
    <row r="292" spans="20:22" x14ac:dyDescent="0.25">
      <c r="T292" s="7" t="str">
        <f ca="1"/>
        <v>Z6</v>
      </c>
      <c r="U292" s="7" t="str">
        <f ca="1"/>
        <v>0xA00A</v>
      </c>
      <c r="V292" s="7" t="str">
        <f ca="1"/>
        <v>CameraMode_Not_Adjust_Fnumber</v>
      </c>
    </row>
    <row r="293" spans="20:22" x14ac:dyDescent="0.25">
      <c r="T293" s="7" t="str">
        <f ca="1"/>
        <v>Z6</v>
      </c>
      <c r="U293" s="7" t="str">
        <f ca="1"/>
        <v>0xA00B</v>
      </c>
      <c r="V293" s="7" t="str">
        <f ca="1"/>
        <v>Not_LiveView</v>
      </c>
    </row>
    <row r="294" spans="20:22" x14ac:dyDescent="0.25">
      <c r="T294" s="7" t="str">
        <f ca="1"/>
        <v>Z6</v>
      </c>
      <c r="U294" s="7" t="str">
        <f ca="1"/>
        <v>0xA00C</v>
      </c>
      <c r="V294" s="7" t="str">
        <f ca="1"/>
        <v>MfDrive_Step_End</v>
      </c>
    </row>
    <row r="295" spans="20:22" x14ac:dyDescent="0.25">
      <c r="T295" s="7" t="str">
        <f ca="1"/>
        <v>Z6</v>
      </c>
      <c r="U295" s="7" t="str">
        <f ca="1"/>
        <v>0xA00E</v>
      </c>
      <c r="V295" s="7" t="str">
        <f ca="1"/>
        <v>MfDrive_Step_Insufficiency</v>
      </c>
    </row>
    <row r="296" spans="20:22" x14ac:dyDescent="0.25">
      <c r="T296" s="7" t="str">
        <f ca="1"/>
        <v>Z6</v>
      </c>
      <c r="U296" s="7" t="str">
        <f ca="1"/>
        <v>0xA00F</v>
      </c>
      <c r="V296" s="7" t="str">
        <f ca="1"/>
        <v>No_FullHD_Present</v>
      </c>
    </row>
    <row r="297" spans="20:22" x14ac:dyDescent="0.25">
      <c r="T297" s="7" t="str">
        <f ca="1"/>
        <v>Z6</v>
      </c>
      <c r="U297" s="7" t="str">
        <f ca="1"/>
        <v>0xA021</v>
      </c>
      <c r="V297" s="7" t="str">
        <f ca="1"/>
        <v>Store_Error</v>
      </c>
    </row>
    <row r="298" spans="20:22" x14ac:dyDescent="0.25">
      <c r="T298" s="7" t="str">
        <f ca="1"/>
        <v>Z6</v>
      </c>
      <c r="U298" s="7" t="str">
        <f ca="1"/>
        <v>0xA022</v>
      </c>
      <c r="V298" s="7" t="str">
        <f ca="1"/>
        <v>Store_Unformatted</v>
      </c>
    </row>
    <row r="299" spans="20:22" x14ac:dyDescent="0.25">
      <c r="T299" s="7" t="str">
        <f ca="1"/>
        <v>Z6</v>
      </c>
      <c r="U299" s="7" t="str">
        <f ca="1"/>
        <v>0xA200</v>
      </c>
      <c r="V299" s="7" t="str">
        <f ca="1"/>
        <v>Bulb_Release_Busy</v>
      </c>
    </row>
    <row r="300" spans="20:22" x14ac:dyDescent="0.25">
      <c r="T300" s="7" t="str">
        <f ca="1"/>
        <v>Z6</v>
      </c>
      <c r="U300" s="7" t="str">
        <f ca="1"/>
        <v>0xA201</v>
      </c>
      <c r="V300" s="7" t="str">
        <f ca="1"/>
        <v>Silent_Release_Busy</v>
      </c>
    </row>
    <row r="301" spans="20:22" x14ac:dyDescent="0.25">
      <c r="T301" s="7" t="str">
        <f ca="1"/>
        <v>Z6</v>
      </c>
      <c r="U301" s="7" t="str">
        <f ca="1"/>
        <v>0xA202</v>
      </c>
      <c r="V301" s="7" t="str">
        <f ca="1"/>
        <v>MovieFrame_Release_Busy</v>
      </c>
    </row>
    <row r="302" spans="20:22" x14ac:dyDescent="0.25">
      <c r="T302" s="7" t="str">
        <f ca="1"/>
        <v>Z6</v>
      </c>
      <c r="U302" s="7" t="str">
        <f ca="1"/>
        <v>0xA204</v>
      </c>
      <c r="V302" s="7" t="str">
        <f ca="1"/>
        <v>Shutter_Speed_Time</v>
      </c>
    </row>
    <row r="303" spans="20:22" x14ac:dyDescent="0.25">
      <c r="T303" s="7" t="str">
        <f ca="1"/>
        <v>Z6</v>
      </c>
      <c r="U303" s="7" t="str">
        <f ca="1"/>
        <v>0xA209</v>
      </c>
      <c r="V303" s="7" t="str">
        <f ca="1"/>
        <v>Invalid_SBAttribute_Value</v>
      </c>
    </row>
    <row r="304" spans="20:22" x14ac:dyDescent="0.25">
      <c r="T304" s="7" t="str">
        <f ca="1"/>
        <v>Z6</v>
      </c>
      <c r="U304" s="7" t="str">
        <f ca="1"/>
        <v>0xA801</v>
      </c>
      <c r="V304" s="7" t="str">
        <f ca="1"/>
        <v>Invalid_ObjectPropCode</v>
      </c>
    </row>
    <row r="305" spans="20:22" x14ac:dyDescent="0.25">
      <c r="T305" s="7" t="str">
        <f ca="1"/>
        <v>Z6</v>
      </c>
      <c r="U305" s="7" t="str">
        <f ca="1"/>
        <v>0xA802</v>
      </c>
      <c r="V305" s="7" t="str">
        <f ca="1"/>
        <v>Invalid_ObjectProp_Format</v>
      </c>
    </row>
    <row r="306" spans="20:22" x14ac:dyDescent="0.25">
      <c r="T306" s="7" t="str">
        <f ca="1"/>
        <v>Z6</v>
      </c>
      <c r="U306" s="7" t="str">
        <f ca="1"/>
        <v>0xA80A</v>
      </c>
      <c r="V306" s="7" t="str">
        <f ca="1"/>
        <v>ObjectProp_Not_Supported</v>
      </c>
    </row>
    <row r="307" spans="20:22" x14ac:dyDescent="0.25">
      <c r="T307" s="7" t="str">
        <f ca="1"/>
        <v>Z7</v>
      </c>
      <c r="U307" s="7" t="str">
        <f ca="1"/>
        <v>0x2001</v>
      </c>
      <c r="V307" s="7" t="str">
        <f ca="1"/>
        <v>OK</v>
      </c>
    </row>
    <row r="308" spans="20:22" x14ac:dyDescent="0.25">
      <c r="T308" s="7" t="str">
        <f ca="1"/>
        <v>Z7</v>
      </c>
      <c r="U308" s="7" t="str">
        <f ca="1"/>
        <v>0x2002</v>
      </c>
      <c r="V308" s="7" t="str">
        <f ca="1"/>
        <v>General_Error</v>
      </c>
    </row>
    <row r="309" spans="20:22" x14ac:dyDescent="0.25">
      <c r="T309" s="7" t="str">
        <f ca="1"/>
        <v>Z7</v>
      </c>
      <c r="U309" s="7" t="str">
        <f ca="1"/>
        <v>0x2003</v>
      </c>
      <c r="V309" s="7" t="str">
        <f ca="1"/>
        <v>Session_Not_Open</v>
      </c>
    </row>
    <row r="310" spans="20:22" x14ac:dyDescent="0.25">
      <c r="T310" s="7" t="str">
        <f ca="1"/>
        <v>Z7</v>
      </c>
      <c r="U310" s="7" t="str">
        <f ca="1"/>
        <v>0x2004</v>
      </c>
      <c r="V310" s="7" t="str">
        <f ca="1"/>
        <v>Invalid_TransactionID</v>
      </c>
    </row>
    <row r="311" spans="20:22" x14ac:dyDescent="0.25">
      <c r="T311" s="7" t="str">
        <f ca="1"/>
        <v>Z7</v>
      </c>
      <c r="U311" s="7" t="str">
        <f ca="1"/>
        <v>0x2005</v>
      </c>
      <c r="V311" s="7" t="str">
        <f ca="1"/>
        <v>Operation_Not_Supported</v>
      </c>
    </row>
    <row r="312" spans="20:22" x14ac:dyDescent="0.25">
      <c r="T312" s="7" t="str">
        <f ca="1"/>
        <v>Z7</v>
      </c>
      <c r="U312" s="7" t="str">
        <f ca="1"/>
        <v>0x2006</v>
      </c>
      <c r="V312" s="7" t="str">
        <f ca="1"/>
        <v>Parameter_Not_Supported</v>
      </c>
    </row>
    <row r="313" spans="20:22" x14ac:dyDescent="0.25">
      <c r="T313" s="7" t="str">
        <f ca="1"/>
        <v>Z7</v>
      </c>
      <c r="U313" s="7" t="str">
        <f ca="1"/>
        <v>0x2007</v>
      </c>
      <c r="V313" s="7" t="str">
        <f ca="1"/>
        <v>Incomplete_Transfer</v>
      </c>
    </row>
    <row r="314" spans="20:22" x14ac:dyDescent="0.25">
      <c r="T314" s="7" t="str">
        <f ca="1"/>
        <v>Z7</v>
      </c>
      <c r="U314" s="7" t="str">
        <f ca="1"/>
        <v>0x2008</v>
      </c>
      <c r="V314" s="7" t="str">
        <f ca="1"/>
        <v>Invalid_StorageID</v>
      </c>
    </row>
    <row r="315" spans="20:22" x14ac:dyDescent="0.25">
      <c r="T315" s="7" t="str">
        <f ca="1"/>
        <v>Z7</v>
      </c>
      <c r="U315" s="7" t="str">
        <f ca="1"/>
        <v>0x2009</v>
      </c>
      <c r="V315" s="7" t="str">
        <f ca="1"/>
        <v>Invalid_Object_Handle</v>
      </c>
    </row>
    <row r="316" spans="20:22" x14ac:dyDescent="0.25">
      <c r="T316" s="7" t="str">
        <f ca="1"/>
        <v>Z7</v>
      </c>
      <c r="U316" s="7" t="str">
        <f ca="1"/>
        <v>0x200A</v>
      </c>
      <c r="V316" s="7" t="str">
        <f ca="1"/>
        <v>DeviceProp_Not_Supported</v>
      </c>
    </row>
    <row r="317" spans="20:22" x14ac:dyDescent="0.25">
      <c r="T317" s="7" t="str">
        <f ca="1"/>
        <v>Z7</v>
      </c>
      <c r="U317" s="7" t="str">
        <f ca="1"/>
        <v>0x200B</v>
      </c>
      <c r="V317" s="7" t="str">
        <f ca="1"/>
        <v>Invalid_ObjectFormatCode</v>
      </c>
    </row>
    <row r="318" spans="20:22" x14ac:dyDescent="0.25">
      <c r="T318" s="7" t="str">
        <f ca="1"/>
        <v>Z7</v>
      </c>
      <c r="U318" s="7" t="str">
        <f ca="1"/>
        <v>0x200C</v>
      </c>
      <c r="V318" s="7" t="str">
        <f ca="1"/>
        <v>Store_Full</v>
      </c>
    </row>
    <row r="319" spans="20:22" x14ac:dyDescent="0.25">
      <c r="T319" s="7" t="str">
        <f ca="1"/>
        <v>Z7</v>
      </c>
      <c r="U319" s="7" t="str">
        <f ca="1"/>
        <v>0x200D</v>
      </c>
      <c r="V319" s="7" t="str">
        <f ca="1"/>
        <v>Object_Write_Protect</v>
      </c>
    </row>
    <row r="320" spans="20:22" x14ac:dyDescent="0.25">
      <c r="T320" s="7" t="str">
        <f ca="1"/>
        <v>Z7</v>
      </c>
      <c r="U320" s="7" t="str">
        <f ca="1"/>
        <v>0x200E</v>
      </c>
      <c r="V320" s="7" t="str">
        <f ca="1"/>
        <v>Store_Read_Only</v>
      </c>
    </row>
    <row r="321" spans="20:22" x14ac:dyDescent="0.25">
      <c r="T321" s="7" t="str">
        <f ca="1"/>
        <v>Z7</v>
      </c>
      <c r="U321" s="7" t="str">
        <f ca="1"/>
        <v>0x200F</v>
      </c>
      <c r="V321" s="7" t="str">
        <f ca="1"/>
        <v>Access_Denied</v>
      </c>
    </row>
    <row r="322" spans="20:22" x14ac:dyDescent="0.25">
      <c r="T322" s="7" t="str">
        <f ca="1"/>
        <v>Z7</v>
      </c>
      <c r="U322" s="7" t="str">
        <f ca="1"/>
        <v>0x2010</v>
      </c>
      <c r="V322" s="7" t="str">
        <f ca="1"/>
        <v>No_Thumbnail_Present</v>
      </c>
    </row>
    <row r="323" spans="20:22" x14ac:dyDescent="0.25">
      <c r="T323" s="7" t="str">
        <f ca="1"/>
        <v>Z7</v>
      </c>
      <c r="U323" s="7" t="str">
        <f ca="1"/>
        <v>0x2012</v>
      </c>
      <c r="V323" s="7" t="str">
        <f ca="1"/>
        <v>Partial_Deletion</v>
      </c>
    </row>
    <row r="324" spans="20:22" x14ac:dyDescent="0.25">
      <c r="T324" s="7" t="str">
        <f ca="1"/>
        <v>Z7</v>
      </c>
      <c r="U324" s="7" t="str">
        <f ca="1"/>
        <v>0x2013</v>
      </c>
      <c r="V324" s="7" t="str">
        <f ca="1"/>
        <v>Store_Not_Available</v>
      </c>
    </row>
    <row r="325" spans="20:22" x14ac:dyDescent="0.25">
      <c r="T325" s="7" t="str">
        <f ca="1"/>
        <v>Z7</v>
      </c>
      <c r="U325" s="7" t="str">
        <f ca="1"/>
        <v>0x2014</v>
      </c>
      <c r="V325" s="7" t="str">
        <f ca="1"/>
        <v>Specification_By_Format_Unsupported</v>
      </c>
    </row>
    <row r="326" spans="20:22" x14ac:dyDescent="0.25">
      <c r="T326" s="7" t="str">
        <f ca="1"/>
        <v>Z7</v>
      </c>
      <c r="U326" s="7" t="str">
        <f ca="1"/>
        <v>0x2015</v>
      </c>
      <c r="V326" s="7" t="str">
        <f ca="1"/>
        <v>No_Valid_ObjectInfo</v>
      </c>
    </row>
    <row r="327" spans="20:22" x14ac:dyDescent="0.25">
      <c r="T327" s="7" t="str">
        <f ca="1"/>
        <v>Z7</v>
      </c>
      <c r="U327" s="7" t="str">
        <f ca="1"/>
        <v>0x2019</v>
      </c>
      <c r="V327" s="7" t="str">
        <f ca="1"/>
        <v>Device_Busy</v>
      </c>
    </row>
    <row r="328" spans="20:22" x14ac:dyDescent="0.25">
      <c r="T328" s="7" t="str">
        <f ca="1"/>
        <v>Z7</v>
      </c>
      <c r="U328" s="7" t="str">
        <f ca="1"/>
        <v>0x201A</v>
      </c>
      <c r="V328" s="7" t="str">
        <f ca="1"/>
        <v>Invalid_Parent_Object</v>
      </c>
    </row>
    <row r="329" spans="20:22" x14ac:dyDescent="0.25">
      <c r="T329" s="7" t="str">
        <f ca="1"/>
        <v>Z7</v>
      </c>
      <c r="U329" s="7" t="str">
        <f ca="1"/>
        <v>0x201B</v>
      </c>
      <c r="V329" s="7" t="str">
        <f ca="1"/>
        <v>Invalid_DeviceProp_Format</v>
      </c>
    </row>
    <row r="330" spans="20:22" x14ac:dyDescent="0.25">
      <c r="T330" s="7" t="str">
        <f ca="1"/>
        <v>Z7</v>
      </c>
      <c r="U330" s="7" t="str">
        <f ca="1"/>
        <v>0x201C</v>
      </c>
      <c r="V330" s="7" t="str">
        <f ca="1"/>
        <v>Invalid_DeviceProp_Value</v>
      </c>
    </row>
    <row r="331" spans="20:22" x14ac:dyDescent="0.25">
      <c r="T331" s="7" t="str">
        <f ca="1"/>
        <v>Z7</v>
      </c>
      <c r="U331" s="7" t="str">
        <f ca="1"/>
        <v>0x201D</v>
      </c>
      <c r="V331" s="7" t="str">
        <f ca="1"/>
        <v>Invalid_Parameter</v>
      </c>
    </row>
    <row r="332" spans="20:22" x14ac:dyDescent="0.25">
      <c r="T332" s="7" t="str">
        <f ca="1"/>
        <v>Z7</v>
      </c>
      <c r="U332" s="7" t="str">
        <f ca="1"/>
        <v>0x201E</v>
      </c>
      <c r="V332" s="7" t="str">
        <f ca="1"/>
        <v>Session_Already_Open</v>
      </c>
    </row>
    <row r="333" spans="20:22" x14ac:dyDescent="0.25">
      <c r="T333" s="7" t="str">
        <f ca="1"/>
        <v>Z7</v>
      </c>
      <c r="U333" s="7" t="str">
        <f ca="1"/>
        <v>0x201F</v>
      </c>
      <c r="V333" s="7" t="str">
        <f ca="1"/>
        <v>Transaction_Cancelled</v>
      </c>
    </row>
    <row r="334" spans="20:22" x14ac:dyDescent="0.25">
      <c r="T334" s="7" t="str">
        <f ca="1"/>
        <v>Z7</v>
      </c>
      <c r="U334" s="7" t="str">
        <f ca="1"/>
        <v>0x2020</v>
      </c>
      <c r="V334" s="7" t="str">
        <f ca="1"/>
        <v>Specification_of_Destination_Unsupported</v>
      </c>
    </row>
    <row r="335" spans="20:22" x14ac:dyDescent="0.25">
      <c r="T335" s="7" t="str">
        <f ca="1"/>
        <v>Z7</v>
      </c>
      <c r="U335" s="7" t="str">
        <f ca="1"/>
        <v>0xA001</v>
      </c>
      <c r="V335" s="7" t="str">
        <f ca="1"/>
        <v>Hardware_Error</v>
      </c>
    </row>
    <row r="336" spans="20:22" x14ac:dyDescent="0.25">
      <c r="T336" s="7" t="str">
        <f ca="1"/>
        <v>Z7</v>
      </c>
      <c r="U336" s="7" t="str">
        <f ca="1"/>
        <v>0xA002</v>
      </c>
      <c r="V336" s="7" t="str">
        <f ca="1"/>
        <v>Out_of_Focus</v>
      </c>
    </row>
    <row r="337" spans="20:22" x14ac:dyDescent="0.25">
      <c r="T337" s="7" t="str">
        <f ca="1"/>
        <v>Z7</v>
      </c>
      <c r="U337" s="7" t="str">
        <f ca="1"/>
        <v>0xA003</v>
      </c>
      <c r="V337" s="7" t="str">
        <f ca="1"/>
        <v>Change_CameraMode_Failed</v>
      </c>
    </row>
    <row r="338" spans="20:22" x14ac:dyDescent="0.25">
      <c r="T338" s="7" t="str">
        <f ca="1"/>
        <v>Z7</v>
      </c>
      <c r="U338" s="7" t="str">
        <f ca="1"/>
        <v>0xA004</v>
      </c>
      <c r="V338" s="7" t="str">
        <f ca="1"/>
        <v>Invalid_Status</v>
      </c>
    </row>
    <row r="339" spans="20:22" x14ac:dyDescent="0.25">
      <c r="T339" s="7" t="str">
        <f ca="1"/>
        <v>Z7</v>
      </c>
      <c r="U339" s="7" t="str">
        <f ca="1"/>
        <v>0xA006</v>
      </c>
      <c r="V339" s="7" t="str">
        <f ca="1"/>
        <v>Wb_Preset_Error</v>
      </c>
    </row>
    <row r="340" spans="20:22" x14ac:dyDescent="0.25">
      <c r="T340" s="7" t="str">
        <f ca="1"/>
        <v>Z7</v>
      </c>
      <c r="U340" s="7" t="str">
        <f ca="1"/>
        <v>0xA007</v>
      </c>
      <c r="V340" s="7" t="str">
        <f ca="1"/>
        <v>Dust_Reference_Error</v>
      </c>
    </row>
    <row r="341" spans="20:22" x14ac:dyDescent="0.25">
      <c r="T341" s="7" t="str">
        <f ca="1"/>
        <v>Z7</v>
      </c>
      <c r="U341" s="7" t="str">
        <f ca="1"/>
        <v>0xA008</v>
      </c>
      <c r="V341" s="7" t="str">
        <f ca="1"/>
        <v>Shutter_Speed_Bulb</v>
      </c>
    </row>
    <row r="342" spans="20:22" x14ac:dyDescent="0.25">
      <c r="T342" s="7" t="str">
        <f ca="1"/>
        <v>Z7</v>
      </c>
      <c r="U342" s="7" t="str">
        <f ca="1"/>
        <v>0xA00A</v>
      </c>
      <c r="V342" s="7" t="str">
        <f ca="1"/>
        <v>CameraMode_Not_Adjust_Fnumber</v>
      </c>
    </row>
    <row r="343" spans="20:22" x14ac:dyDescent="0.25">
      <c r="T343" s="7" t="str">
        <f ca="1"/>
        <v>Z7</v>
      </c>
      <c r="U343" s="7" t="str">
        <f ca="1"/>
        <v>0xA00B</v>
      </c>
      <c r="V343" s="7" t="str">
        <f ca="1"/>
        <v>Not_LiveView</v>
      </c>
    </row>
    <row r="344" spans="20:22" x14ac:dyDescent="0.25">
      <c r="T344" s="7" t="str">
        <f ca="1"/>
        <v>Z7</v>
      </c>
      <c r="U344" s="7" t="str">
        <f ca="1"/>
        <v>0xA00C</v>
      </c>
      <c r="V344" s="7" t="str">
        <f ca="1"/>
        <v>MfDrive_Step_End</v>
      </c>
    </row>
    <row r="345" spans="20:22" x14ac:dyDescent="0.25">
      <c r="T345" s="7" t="str">
        <f ca="1"/>
        <v>Z7</v>
      </c>
      <c r="U345" s="7" t="str">
        <f ca="1"/>
        <v>0xA00E</v>
      </c>
      <c r="V345" s="7" t="str">
        <f ca="1"/>
        <v>MfDrive_Step_Insufficiency</v>
      </c>
    </row>
    <row r="346" spans="20:22" x14ac:dyDescent="0.25">
      <c r="T346" s="7" t="str">
        <f ca="1"/>
        <v>Z7</v>
      </c>
      <c r="U346" s="7" t="str">
        <f ca="1"/>
        <v>0xA00F</v>
      </c>
      <c r="V346" s="7" t="str">
        <f ca="1"/>
        <v>No_FullHD_Present</v>
      </c>
    </row>
    <row r="347" spans="20:22" x14ac:dyDescent="0.25">
      <c r="T347" s="7" t="str">
        <f ca="1"/>
        <v>Z7</v>
      </c>
      <c r="U347" s="7" t="str">
        <f ca="1"/>
        <v>0xA021</v>
      </c>
      <c r="V347" s="7" t="str">
        <f ca="1"/>
        <v>Store_Error</v>
      </c>
    </row>
    <row r="348" spans="20:22" x14ac:dyDescent="0.25">
      <c r="T348" s="7" t="str">
        <f ca="1"/>
        <v>Z7</v>
      </c>
      <c r="U348" s="7" t="str">
        <f ca="1"/>
        <v>0xA022</v>
      </c>
      <c r="V348" s="7" t="str">
        <f ca="1"/>
        <v>Store_Unformatted</v>
      </c>
    </row>
    <row r="349" spans="20:22" x14ac:dyDescent="0.25">
      <c r="T349" s="7" t="str">
        <f ca="1"/>
        <v>Z7</v>
      </c>
      <c r="U349" s="7" t="str">
        <f ca="1"/>
        <v>0xA200</v>
      </c>
      <c r="V349" s="7" t="str">
        <f ca="1"/>
        <v>Bulb_Release_Busy</v>
      </c>
    </row>
    <row r="350" spans="20:22" x14ac:dyDescent="0.25">
      <c r="T350" s="7" t="str">
        <f ca="1"/>
        <v>Z7</v>
      </c>
      <c r="U350" s="7" t="str">
        <f ca="1"/>
        <v>0xA201</v>
      </c>
      <c r="V350" s="7" t="str">
        <f ca="1"/>
        <v>Silent_Release_Busy</v>
      </c>
    </row>
    <row r="351" spans="20:22" x14ac:dyDescent="0.25">
      <c r="T351" s="7" t="str">
        <f ca="1"/>
        <v>Z7</v>
      </c>
      <c r="U351" s="7" t="str">
        <f ca="1"/>
        <v>0xA202</v>
      </c>
      <c r="V351" s="7" t="str">
        <f ca="1"/>
        <v>MovieFrame_Release_Busy</v>
      </c>
    </row>
    <row r="352" spans="20:22" x14ac:dyDescent="0.25">
      <c r="T352" s="7" t="str">
        <f ca="1"/>
        <v>Z7</v>
      </c>
      <c r="U352" s="7" t="str">
        <f ca="1"/>
        <v>0xA204</v>
      </c>
      <c r="V352" s="7" t="str">
        <f ca="1"/>
        <v>Shutter_Speed_Time</v>
      </c>
    </row>
    <row r="353" spans="20:22" x14ac:dyDescent="0.25">
      <c r="T353" s="7" t="str">
        <f ca="1"/>
        <v>Z7</v>
      </c>
      <c r="U353" s="7" t="str">
        <f ca="1"/>
        <v>0xA209</v>
      </c>
      <c r="V353" s="7" t="str">
        <f ca="1"/>
        <v>Invalid_SBAttribute_Value</v>
      </c>
    </row>
    <row r="354" spans="20:22" x14ac:dyDescent="0.25">
      <c r="T354" s="7" t="str">
        <f ca="1"/>
        <v>Z7</v>
      </c>
      <c r="U354" s="7" t="str">
        <f ca="1"/>
        <v>0xA801</v>
      </c>
      <c r="V354" s="7" t="str">
        <f ca="1"/>
        <v>Invalid_ObjectPropCode</v>
      </c>
    </row>
    <row r="355" spans="20:22" x14ac:dyDescent="0.25">
      <c r="T355" s="7" t="str">
        <f ca="1"/>
        <v>Z7</v>
      </c>
      <c r="U355" s="7" t="str">
        <f ca="1"/>
        <v>0xA802</v>
      </c>
      <c r="V355" s="7" t="str">
        <f ca="1"/>
        <v>Invalid_ObjectProp_Format</v>
      </c>
    </row>
    <row r="356" spans="20:22" x14ac:dyDescent="0.25">
      <c r="T356" s="7" t="str">
        <f ca="1"/>
        <v>Z7</v>
      </c>
      <c r="U356" s="7" t="str">
        <f ca="1"/>
        <v>0xA80A</v>
      </c>
      <c r="V356" s="7" t="str">
        <f ca="1"/>
        <v>ObjectProp_Not_Supported</v>
      </c>
    </row>
    <row r="357" spans="20:22" x14ac:dyDescent="0.25">
      <c r="T357" s="7" t="str">
        <f ca="1"/>
        <v>Z5</v>
      </c>
      <c r="U357" s="7" t="str">
        <f ca="1"/>
        <v>0x2001</v>
      </c>
      <c r="V357" s="7" t="str">
        <f ca="1"/>
        <v>OK</v>
      </c>
    </row>
    <row r="358" spans="20:22" x14ac:dyDescent="0.25">
      <c r="T358" s="7" t="str">
        <f ca="1"/>
        <v>Z5</v>
      </c>
      <c r="U358" s="7" t="str">
        <f ca="1"/>
        <v>0x2002</v>
      </c>
      <c r="V358" s="7" t="str">
        <f ca="1"/>
        <v>General_Error</v>
      </c>
    </row>
    <row r="359" spans="20:22" x14ac:dyDescent="0.25">
      <c r="T359" s="7" t="str">
        <f ca="1"/>
        <v>Z5</v>
      </c>
      <c r="U359" s="7" t="str">
        <f ca="1"/>
        <v>0x2003</v>
      </c>
      <c r="V359" s="7" t="str">
        <f ca="1"/>
        <v>Session_Not_Open</v>
      </c>
    </row>
    <row r="360" spans="20:22" x14ac:dyDescent="0.25">
      <c r="T360" s="7" t="str">
        <f ca="1"/>
        <v>Z5</v>
      </c>
      <c r="U360" s="7" t="str">
        <f ca="1"/>
        <v>0x2004</v>
      </c>
      <c r="V360" s="7" t="str">
        <f ca="1"/>
        <v>Invalid_TransactionID</v>
      </c>
    </row>
    <row r="361" spans="20:22" x14ac:dyDescent="0.25">
      <c r="T361" s="7" t="str">
        <f ca="1"/>
        <v>Z5</v>
      </c>
      <c r="U361" s="7" t="str">
        <f ca="1"/>
        <v>0x2005</v>
      </c>
      <c r="V361" s="7" t="str">
        <f ca="1"/>
        <v>Operation_Not_Supported</v>
      </c>
    </row>
    <row r="362" spans="20:22" x14ac:dyDescent="0.25">
      <c r="T362" s="7" t="str">
        <f ca="1"/>
        <v>Z5</v>
      </c>
      <c r="U362" s="7" t="str">
        <f ca="1"/>
        <v>0x2006</v>
      </c>
      <c r="V362" s="7" t="str">
        <f ca="1"/>
        <v>Parameter_Not_Supported</v>
      </c>
    </row>
    <row r="363" spans="20:22" x14ac:dyDescent="0.25">
      <c r="T363" s="7" t="str">
        <f ca="1"/>
        <v>Z5</v>
      </c>
      <c r="U363" s="7" t="str">
        <f ca="1"/>
        <v>0x2007</v>
      </c>
      <c r="V363" s="7" t="str">
        <f ca="1"/>
        <v>Incomplete_Transfer</v>
      </c>
    </row>
    <row r="364" spans="20:22" x14ac:dyDescent="0.25">
      <c r="T364" s="7" t="str">
        <f ca="1"/>
        <v>Z5</v>
      </c>
      <c r="U364" s="7" t="str">
        <f ca="1"/>
        <v>0x2008</v>
      </c>
      <c r="V364" s="7" t="str">
        <f ca="1"/>
        <v>Invalid_StorageID</v>
      </c>
    </row>
    <row r="365" spans="20:22" x14ac:dyDescent="0.25">
      <c r="T365" s="7" t="str">
        <f ca="1"/>
        <v>Z5</v>
      </c>
      <c r="U365" s="7" t="str">
        <f ca="1"/>
        <v>0x2009</v>
      </c>
      <c r="V365" s="7" t="str">
        <f ca="1"/>
        <v>Invalid_Object_Handle</v>
      </c>
    </row>
    <row r="366" spans="20:22" x14ac:dyDescent="0.25">
      <c r="T366" s="7" t="str">
        <f ca="1"/>
        <v>Z5</v>
      </c>
      <c r="U366" s="7" t="str">
        <f ca="1"/>
        <v>0x200A</v>
      </c>
      <c r="V366" s="7" t="str">
        <f ca="1"/>
        <v>DeviceProp_Not_Supported</v>
      </c>
    </row>
    <row r="367" spans="20:22" x14ac:dyDescent="0.25">
      <c r="T367" s="7" t="str">
        <f ca="1"/>
        <v>Z5</v>
      </c>
      <c r="U367" s="7" t="str">
        <f ca="1"/>
        <v>0x200B</v>
      </c>
      <c r="V367" s="7" t="str">
        <f ca="1"/>
        <v>Invalid_ObjectFormatCode</v>
      </c>
    </row>
    <row r="368" spans="20:22" x14ac:dyDescent="0.25">
      <c r="T368" s="7" t="str">
        <f ca="1"/>
        <v>Z5</v>
      </c>
      <c r="U368" s="7" t="str">
        <f ca="1"/>
        <v>0x200C</v>
      </c>
      <c r="V368" s="7" t="str">
        <f ca="1"/>
        <v>Store_Full</v>
      </c>
    </row>
    <row r="369" spans="20:22" x14ac:dyDescent="0.25">
      <c r="T369" s="7" t="str">
        <f ca="1"/>
        <v>Z5</v>
      </c>
      <c r="U369" s="7" t="str">
        <f ca="1"/>
        <v>0x200D</v>
      </c>
      <c r="V369" s="7" t="str">
        <f ca="1"/>
        <v>Object_Write_Protect</v>
      </c>
    </row>
    <row r="370" spans="20:22" x14ac:dyDescent="0.25">
      <c r="T370" s="7" t="str">
        <f ca="1"/>
        <v>Z5</v>
      </c>
      <c r="U370" s="7" t="str">
        <f ca="1"/>
        <v>0x200E</v>
      </c>
      <c r="V370" s="7" t="str">
        <f ca="1"/>
        <v>Store_Read_Only</v>
      </c>
    </row>
    <row r="371" spans="20:22" x14ac:dyDescent="0.25">
      <c r="T371" s="7" t="str">
        <f ca="1"/>
        <v>Z5</v>
      </c>
      <c r="U371" s="7" t="str">
        <f ca="1"/>
        <v>0x200F</v>
      </c>
      <c r="V371" s="7" t="str">
        <f ca="1"/>
        <v>Access_Denied</v>
      </c>
    </row>
    <row r="372" spans="20:22" x14ac:dyDescent="0.25">
      <c r="T372" s="7" t="str">
        <f ca="1"/>
        <v>Z5</v>
      </c>
      <c r="U372" s="7" t="str">
        <f ca="1"/>
        <v>0x2010</v>
      </c>
      <c r="V372" s="7" t="str">
        <f ca="1"/>
        <v>No_Thumbnail_Present</v>
      </c>
    </row>
    <row r="373" spans="20:22" x14ac:dyDescent="0.25">
      <c r="T373" s="7" t="str">
        <f ca="1"/>
        <v>Z5</v>
      </c>
      <c r="U373" s="7" t="str">
        <f ca="1"/>
        <v>0x2012</v>
      </c>
      <c r="V373" s="7" t="str">
        <f ca="1"/>
        <v>Partial_Deletion</v>
      </c>
    </row>
    <row r="374" spans="20:22" x14ac:dyDescent="0.25">
      <c r="T374" s="7" t="str">
        <f ca="1"/>
        <v>Z5</v>
      </c>
      <c r="U374" s="7" t="str">
        <f ca="1"/>
        <v>0x2013</v>
      </c>
      <c r="V374" s="7" t="str">
        <f ca="1"/>
        <v>Store_Not_Available</v>
      </c>
    </row>
    <row r="375" spans="20:22" x14ac:dyDescent="0.25">
      <c r="T375" s="7" t="str">
        <f ca="1"/>
        <v>Z5</v>
      </c>
      <c r="U375" s="7" t="str">
        <f ca="1"/>
        <v>0x2014</v>
      </c>
      <c r="V375" s="7" t="str">
        <f ca="1"/>
        <v>Specification_By_Format_Unsupported</v>
      </c>
    </row>
    <row r="376" spans="20:22" x14ac:dyDescent="0.25">
      <c r="T376" s="7" t="str">
        <f ca="1"/>
        <v>Z5</v>
      </c>
      <c r="U376" s="7" t="str">
        <f ca="1"/>
        <v>0x2015</v>
      </c>
      <c r="V376" s="7" t="str">
        <f ca="1"/>
        <v>No_Valid_ObjectInfo</v>
      </c>
    </row>
    <row r="377" spans="20:22" x14ac:dyDescent="0.25">
      <c r="T377" s="7" t="str">
        <f ca="1"/>
        <v>Z5</v>
      </c>
      <c r="U377" s="7" t="str">
        <f ca="1"/>
        <v>0x2019</v>
      </c>
      <c r="V377" s="7" t="str">
        <f ca="1"/>
        <v>Device_Busy</v>
      </c>
    </row>
    <row r="378" spans="20:22" x14ac:dyDescent="0.25">
      <c r="T378" s="7" t="str">
        <f ca="1"/>
        <v>Z5</v>
      </c>
      <c r="U378" s="7" t="str">
        <f ca="1"/>
        <v>0x201A</v>
      </c>
      <c r="V378" s="7" t="str">
        <f ca="1"/>
        <v>Invalid_Parent_Object</v>
      </c>
    </row>
    <row r="379" spans="20:22" x14ac:dyDescent="0.25">
      <c r="T379" s="7" t="str">
        <f ca="1"/>
        <v>Z5</v>
      </c>
      <c r="U379" s="7" t="str">
        <f ca="1"/>
        <v>0x201B</v>
      </c>
      <c r="V379" s="7" t="str">
        <f ca="1"/>
        <v>Invalid_DeviceProp_Format</v>
      </c>
    </row>
    <row r="380" spans="20:22" x14ac:dyDescent="0.25">
      <c r="T380" s="7" t="str">
        <f ca="1"/>
        <v>Z5</v>
      </c>
      <c r="U380" s="7" t="str">
        <f ca="1"/>
        <v>0x201C</v>
      </c>
      <c r="V380" s="7" t="str">
        <f ca="1"/>
        <v>Invalid_DeviceProp_Value</v>
      </c>
    </row>
    <row r="381" spans="20:22" x14ac:dyDescent="0.25">
      <c r="T381" s="7" t="str">
        <f ca="1"/>
        <v>Z5</v>
      </c>
      <c r="U381" s="7" t="str">
        <f ca="1"/>
        <v>0x201D</v>
      </c>
      <c r="V381" s="7" t="str">
        <f ca="1"/>
        <v>Invalid_Parameter</v>
      </c>
    </row>
    <row r="382" spans="20:22" x14ac:dyDescent="0.25">
      <c r="T382" s="7" t="str">
        <f ca="1"/>
        <v>Z5</v>
      </c>
      <c r="U382" s="7" t="str">
        <f ca="1"/>
        <v>0x201E</v>
      </c>
      <c r="V382" s="7" t="str">
        <f ca="1"/>
        <v>Session_Already_Open</v>
      </c>
    </row>
    <row r="383" spans="20:22" x14ac:dyDescent="0.25">
      <c r="T383" s="7" t="str">
        <f ca="1"/>
        <v>Z5</v>
      </c>
      <c r="U383" s="7" t="str">
        <f ca="1"/>
        <v>0x201F</v>
      </c>
      <c r="V383" s="7" t="str">
        <f ca="1"/>
        <v>Transaction_Cancelled</v>
      </c>
    </row>
    <row r="384" spans="20:22" x14ac:dyDescent="0.25">
      <c r="T384" s="7" t="str">
        <f ca="1"/>
        <v>Z5</v>
      </c>
      <c r="U384" s="7" t="str">
        <f ca="1"/>
        <v>0x2020</v>
      </c>
      <c r="V384" s="7" t="str">
        <f ca="1"/>
        <v>Specification_of_Destination_Unsupported</v>
      </c>
    </row>
    <row r="385" spans="20:22" x14ac:dyDescent="0.25">
      <c r="T385" s="7" t="str">
        <f ca="1"/>
        <v>Z5</v>
      </c>
      <c r="U385" s="7" t="str">
        <f ca="1"/>
        <v>0xA001</v>
      </c>
      <c r="V385" s="7" t="str">
        <f ca="1"/>
        <v>Hardware_Error</v>
      </c>
    </row>
    <row r="386" spans="20:22" x14ac:dyDescent="0.25">
      <c r="T386" s="7" t="str">
        <f ca="1"/>
        <v>Z5</v>
      </c>
      <c r="U386" s="7" t="str">
        <f ca="1"/>
        <v>0xA002</v>
      </c>
      <c r="V386" s="7" t="str">
        <f ca="1"/>
        <v>Out_of_Focus</v>
      </c>
    </row>
    <row r="387" spans="20:22" x14ac:dyDescent="0.25">
      <c r="T387" s="7" t="str">
        <f ca="1"/>
        <v>Z5</v>
      </c>
      <c r="U387" s="7" t="str">
        <f ca="1"/>
        <v>0xA003</v>
      </c>
      <c r="V387" s="7" t="str">
        <f ca="1"/>
        <v>Change_CameraMode_Failed</v>
      </c>
    </row>
    <row r="388" spans="20:22" x14ac:dyDescent="0.25">
      <c r="T388" s="7" t="str">
        <f ca="1"/>
        <v>Z5</v>
      </c>
      <c r="U388" s="7" t="str">
        <f ca="1"/>
        <v>0xA004</v>
      </c>
      <c r="V388" s="7" t="str">
        <f ca="1"/>
        <v>Invalid_Status</v>
      </c>
    </row>
    <row r="389" spans="20:22" x14ac:dyDescent="0.25">
      <c r="T389" s="7" t="str">
        <f ca="1"/>
        <v>Z5</v>
      </c>
      <c r="U389" s="7" t="str">
        <f ca="1"/>
        <v>0xA006</v>
      </c>
      <c r="V389" s="7" t="str">
        <f ca="1"/>
        <v>Wb_Preset_Error</v>
      </c>
    </row>
    <row r="390" spans="20:22" x14ac:dyDescent="0.25">
      <c r="T390" s="7" t="str">
        <f ca="1"/>
        <v>Z5</v>
      </c>
      <c r="U390" s="7" t="str">
        <f ca="1"/>
        <v>0xA007</v>
      </c>
      <c r="V390" s="7" t="str">
        <f ca="1"/>
        <v>Dust_Reference_Error</v>
      </c>
    </row>
    <row r="391" spans="20:22" x14ac:dyDescent="0.25">
      <c r="T391" s="7" t="str">
        <f ca="1"/>
        <v>Z5</v>
      </c>
      <c r="U391" s="7" t="str">
        <f ca="1"/>
        <v>0xA008</v>
      </c>
      <c r="V391" s="7" t="str">
        <f ca="1"/>
        <v>Shutter_Speed_Bulb</v>
      </c>
    </row>
    <row r="392" spans="20:22" x14ac:dyDescent="0.25">
      <c r="T392" s="7" t="str">
        <f ca="1"/>
        <v>Z5</v>
      </c>
      <c r="U392" s="7" t="str">
        <f ca="1"/>
        <v>0xA00A</v>
      </c>
      <c r="V392" s="7" t="str">
        <f ca="1"/>
        <v>CameraMode_Not_Adjust_Fnumber</v>
      </c>
    </row>
    <row r="393" spans="20:22" x14ac:dyDescent="0.25">
      <c r="T393" s="7" t="str">
        <f ca="1"/>
        <v>Z5</v>
      </c>
      <c r="U393" s="7" t="str">
        <f ca="1"/>
        <v>0xA00B</v>
      </c>
      <c r="V393" s="7" t="str">
        <f ca="1"/>
        <v>Not_LiveView</v>
      </c>
    </row>
    <row r="394" spans="20:22" x14ac:dyDescent="0.25">
      <c r="T394" s="7" t="str">
        <f ca="1"/>
        <v>Z5</v>
      </c>
      <c r="U394" s="7" t="str">
        <f ca="1"/>
        <v>0xA00C</v>
      </c>
      <c r="V394" s="7" t="str">
        <f ca="1"/>
        <v>MfDrive_Step_End</v>
      </c>
    </row>
    <row r="395" spans="20:22" x14ac:dyDescent="0.25">
      <c r="T395" s="7" t="str">
        <f ca="1"/>
        <v>Z5</v>
      </c>
      <c r="U395" s="7" t="str">
        <f ca="1"/>
        <v>0xA00E</v>
      </c>
      <c r="V395" s="7" t="str">
        <f ca="1"/>
        <v>MfDrive_Step_Insufficiency</v>
      </c>
    </row>
    <row r="396" spans="20:22" x14ac:dyDescent="0.25">
      <c r="T396" s="7" t="str">
        <f ca="1"/>
        <v>Z5</v>
      </c>
      <c r="U396" s="7" t="str">
        <f ca="1"/>
        <v>0xA00F</v>
      </c>
      <c r="V396" s="7" t="str">
        <f ca="1"/>
        <v>No_FullHD_Present</v>
      </c>
    </row>
    <row r="397" spans="20:22" x14ac:dyDescent="0.25">
      <c r="T397" s="7" t="str">
        <f ca="1"/>
        <v>Z5</v>
      </c>
      <c r="U397" s="7" t="str">
        <f ca="1"/>
        <v>0xA021</v>
      </c>
      <c r="V397" s="7" t="str">
        <f ca="1"/>
        <v>Store_Error</v>
      </c>
    </row>
    <row r="398" spans="20:22" x14ac:dyDescent="0.25">
      <c r="T398" s="7" t="str">
        <f ca="1"/>
        <v>Z5</v>
      </c>
      <c r="U398" s="7" t="str">
        <f ca="1"/>
        <v>0xA022</v>
      </c>
      <c r="V398" s="7" t="str">
        <f ca="1"/>
        <v>Store_Unformatted</v>
      </c>
    </row>
    <row r="399" spans="20:22" x14ac:dyDescent="0.25">
      <c r="T399" s="7" t="str">
        <f ca="1"/>
        <v>Z5</v>
      </c>
      <c r="U399" s="7" t="str">
        <f ca="1"/>
        <v>0xA200</v>
      </c>
      <c r="V399" s="7" t="str">
        <f ca="1"/>
        <v>Bulb_Release_Busy</v>
      </c>
    </row>
    <row r="400" spans="20:22" x14ac:dyDescent="0.25">
      <c r="T400" s="7" t="str">
        <f ca="1"/>
        <v>Z5</v>
      </c>
      <c r="U400" s="7" t="str">
        <f ca="1"/>
        <v>0xA201</v>
      </c>
      <c r="V400" s="7" t="str">
        <f ca="1"/>
        <v>Silent_Release_Busy</v>
      </c>
    </row>
    <row r="401" spans="20:22" x14ac:dyDescent="0.25">
      <c r="T401" s="7" t="str">
        <f ca="1"/>
        <v>Z5</v>
      </c>
      <c r="U401" s="7" t="str">
        <f ca="1"/>
        <v>0xA202</v>
      </c>
      <c r="V401" s="7" t="str">
        <f ca="1"/>
        <v>MovieFrame_Release_Busy</v>
      </c>
    </row>
    <row r="402" spans="20:22" x14ac:dyDescent="0.25">
      <c r="T402" s="7" t="str">
        <f ca="1"/>
        <v>Z5</v>
      </c>
      <c r="U402" s="7" t="str">
        <f ca="1"/>
        <v>0xA204</v>
      </c>
      <c r="V402" s="7" t="str">
        <f ca="1"/>
        <v>Shutter_Speed_Time</v>
      </c>
    </row>
    <row r="403" spans="20:22" x14ac:dyDescent="0.25">
      <c r="T403" s="7" t="str">
        <f ca="1"/>
        <v>Z5</v>
      </c>
      <c r="U403" s="7" t="str">
        <f ca="1"/>
        <v>0xA209</v>
      </c>
      <c r="V403" s="7" t="str">
        <f ca="1"/>
        <v>Invalid_SBAttribute_Value</v>
      </c>
    </row>
    <row r="404" spans="20:22" x14ac:dyDescent="0.25">
      <c r="T404" s="7" t="str">
        <f ca="1"/>
        <v>Z5</v>
      </c>
      <c r="U404" s="7" t="str">
        <f ca="1"/>
        <v>0xA801</v>
      </c>
      <c r="V404" s="7" t="str">
        <f ca="1"/>
        <v>Invalid_ObjectPropCode</v>
      </c>
    </row>
    <row r="405" spans="20:22" x14ac:dyDescent="0.25">
      <c r="T405" s="7" t="str">
        <f ca="1"/>
        <v>Z5</v>
      </c>
      <c r="U405" s="7" t="str">
        <f ca="1"/>
        <v>0xA802</v>
      </c>
      <c r="V405" s="7" t="str">
        <f ca="1"/>
        <v>Invalid_ObjectProp_Format</v>
      </c>
    </row>
    <row r="406" spans="20:22" x14ac:dyDescent="0.25">
      <c r="T406" s="7" t="str">
        <f ca="1"/>
        <v>Z5</v>
      </c>
      <c r="U406" s="7" t="str">
        <f ca="1"/>
        <v>0xA80A</v>
      </c>
      <c r="V406" s="7" t="str">
        <f ca="1"/>
        <v>ObjectProp_Not_Supported</v>
      </c>
    </row>
    <row r="407" spans="20:22" x14ac:dyDescent="0.25">
      <c r="T407" s="7" t="str">
        <f ca="1"/>
        <v>D6</v>
      </c>
      <c r="U407" s="7" t="str">
        <f ca="1"/>
        <v>0x2001</v>
      </c>
      <c r="V407" s="7" t="str">
        <f ca="1"/>
        <v>OK</v>
      </c>
    </row>
    <row r="408" spans="20:22" x14ac:dyDescent="0.25">
      <c r="T408" s="7" t="str">
        <f ca="1"/>
        <v>D6</v>
      </c>
      <c r="U408" s="7" t="str">
        <f ca="1"/>
        <v>0x2002</v>
      </c>
      <c r="V408" s="7" t="str">
        <f ca="1"/>
        <v>General_Error</v>
      </c>
    </row>
    <row r="409" spans="20:22" x14ac:dyDescent="0.25">
      <c r="T409" s="7" t="str">
        <f ca="1"/>
        <v>D6</v>
      </c>
      <c r="U409" s="7" t="str">
        <f ca="1"/>
        <v>0x2003</v>
      </c>
      <c r="V409" s="7" t="str">
        <f ca="1"/>
        <v>Session_Not_Open</v>
      </c>
    </row>
    <row r="410" spans="20:22" x14ac:dyDescent="0.25">
      <c r="T410" s="7" t="str">
        <f ca="1"/>
        <v>D6</v>
      </c>
      <c r="U410" s="7" t="str">
        <f ca="1"/>
        <v>0x2004</v>
      </c>
      <c r="V410" s="7" t="str">
        <f ca="1"/>
        <v>Invalid_TransactionID</v>
      </c>
    </row>
    <row r="411" spans="20:22" x14ac:dyDescent="0.25">
      <c r="T411" s="7" t="str">
        <f ca="1"/>
        <v>D6</v>
      </c>
      <c r="U411" s="7" t="str">
        <f ca="1"/>
        <v>0x2005</v>
      </c>
      <c r="V411" s="7" t="str">
        <f ca="1"/>
        <v>Operation_Not_Supported</v>
      </c>
    </row>
    <row r="412" spans="20:22" x14ac:dyDescent="0.25">
      <c r="T412" s="7" t="str">
        <f ca="1"/>
        <v>D6</v>
      </c>
      <c r="U412" s="7" t="str">
        <f ca="1"/>
        <v>0x2006</v>
      </c>
      <c r="V412" s="7" t="str">
        <f ca="1"/>
        <v>Parameter_Not_Supported</v>
      </c>
    </row>
    <row r="413" spans="20:22" x14ac:dyDescent="0.25">
      <c r="T413" s="7" t="str">
        <f ca="1"/>
        <v>D6</v>
      </c>
      <c r="U413" s="7" t="str">
        <f ca="1"/>
        <v>0x2007</v>
      </c>
      <c r="V413" s="7" t="str">
        <f ca="1"/>
        <v>Incomplete_Transfer</v>
      </c>
    </row>
    <row r="414" spans="20:22" x14ac:dyDescent="0.25">
      <c r="T414" s="7" t="str">
        <f ca="1"/>
        <v>D6</v>
      </c>
      <c r="U414" s="7" t="str">
        <f ca="1"/>
        <v>0x2008</v>
      </c>
      <c r="V414" s="7" t="str">
        <f ca="1"/>
        <v>Invalid_StorageID</v>
      </c>
    </row>
    <row r="415" spans="20:22" x14ac:dyDescent="0.25">
      <c r="T415" s="7" t="str">
        <f ca="1"/>
        <v>D6</v>
      </c>
      <c r="U415" s="7" t="str">
        <f ca="1"/>
        <v>0x2009</v>
      </c>
      <c r="V415" s="7" t="str">
        <f ca="1"/>
        <v>Invalid_Object_Handle</v>
      </c>
    </row>
    <row r="416" spans="20:22" x14ac:dyDescent="0.25">
      <c r="T416" s="7" t="str">
        <f ca="1"/>
        <v>D6</v>
      </c>
      <c r="U416" s="7" t="str">
        <f ca="1"/>
        <v>0x200A</v>
      </c>
      <c r="V416" s="7" t="str">
        <f ca="1"/>
        <v>DeviceProp_Not_Supported</v>
      </c>
    </row>
    <row r="417" spans="20:22" x14ac:dyDescent="0.25">
      <c r="T417" s="7" t="str">
        <f ca="1"/>
        <v>D6</v>
      </c>
      <c r="U417" s="7" t="str">
        <f ca="1"/>
        <v>0x200B</v>
      </c>
      <c r="V417" s="7" t="str">
        <f ca="1"/>
        <v>Invalid_ObjectFormatCode</v>
      </c>
    </row>
    <row r="418" spans="20:22" x14ac:dyDescent="0.25">
      <c r="T418" s="7" t="str">
        <f ca="1"/>
        <v>D6</v>
      </c>
      <c r="U418" s="7" t="str">
        <f ca="1"/>
        <v>0x200C</v>
      </c>
      <c r="V418" s="7" t="str">
        <f ca="1"/>
        <v>Store_Full</v>
      </c>
    </row>
    <row r="419" spans="20:22" x14ac:dyDescent="0.25">
      <c r="T419" s="7" t="str">
        <f ca="1"/>
        <v>D6</v>
      </c>
      <c r="U419" s="7" t="str">
        <f ca="1"/>
        <v>0x200D</v>
      </c>
      <c r="V419" s="7" t="str">
        <f ca="1"/>
        <v>Object_Write_Protect</v>
      </c>
    </row>
    <row r="420" spans="20:22" x14ac:dyDescent="0.25">
      <c r="T420" s="7" t="str">
        <f ca="1"/>
        <v>D6</v>
      </c>
      <c r="U420" s="7" t="str">
        <f ca="1"/>
        <v>0x200E</v>
      </c>
      <c r="V420" s="7" t="str">
        <f ca="1"/>
        <v>Store_Read_Only</v>
      </c>
    </row>
    <row r="421" spans="20:22" x14ac:dyDescent="0.25">
      <c r="T421" s="7" t="str">
        <f ca="1"/>
        <v>D6</v>
      </c>
      <c r="U421" s="7" t="str">
        <f ca="1"/>
        <v>0x200F</v>
      </c>
      <c r="V421" s="7" t="str">
        <f ca="1"/>
        <v>Access_Denied</v>
      </c>
    </row>
    <row r="422" spans="20:22" x14ac:dyDescent="0.25">
      <c r="T422" s="7" t="str">
        <f ca="1"/>
        <v>D6</v>
      </c>
      <c r="U422" s="7" t="str">
        <f ca="1"/>
        <v>0x2010</v>
      </c>
      <c r="V422" s="7" t="str">
        <f ca="1"/>
        <v>No_Thumbnail_Present</v>
      </c>
    </row>
    <row r="423" spans="20:22" x14ac:dyDescent="0.25">
      <c r="T423" s="7" t="str">
        <f ca="1"/>
        <v>D6</v>
      </c>
      <c r="U423" s="7" t="str">
        <f ca="1"/>
        <v>0x2012</v>
      </c>
      <c r="V423" s="7" t="str">
        <f ca="1"/>
        <v>Partial_Deletion</v>
      </c>
    </row>
    <row r="424" spans="20:22" x14ac:dyDescent="0.25">
      <c r="T424" s="7" t="str">
        <f ca="1"/>
        <v>D6</v>
      </c>
      <c r="U424" s="7" t="str">
        <f ca="1"/>
        <v>0x2013</v>
      </c>
      <c r="V424" s="7" t="str">
        <f ca="1"/>
        <v>Store_Not_Available</v>
      </c>
    </row>
    <row r="425" spans="20:22" x14ac:dyDescent="0.25">
      <c r="T425" s="7" t="str">
        <f ca="1"/>
        <v>D6</v>
      </c>
      <c r="U425" s="7" t="str">
        <f ca="1"/>
        <v>0x2014</v>
      </c>
      <c r="V425" s="7" t="str">
        <f ca="1"/>
        <v>Specification_By_Format_Unsupported</v>
      </c>
    </row>
    <row r="426" spans="20:22" x14ac:dyDescent="0.25">
      <c r="T426" s="7" t="str">
        <f ca="1"/>
        <v>D6</v>
      </c>
      <c r="U426" s="7" t="str">
        <f ca="1"/>
        <v>0x2015</v>
      </c>
      <c r="V426" s="7" t="str">
        <f ca="1"/>
        <v>No_Valid_ObjectInfo</v>
      </c>
    </row>
    <row r="427" spans="20:22" x14ac:dyDescent="0.25">
      <c r="T427" s="7" t="str">
        <f ca="1"/>
        <v>D6</v>
      </c>
      <c r="U427" s="7" t="str">
        <f ca="1"/>
        <v>0x2019</v>
      </c>
      <c r="V427" s="7" t="str">
        <f ca="1"/>
        <v>Device_Busy</v>
      </c>
    </row>
    <row r="428" spans="20:22" x14ac:dyDescent="0.25">
      <c r="T428" s="7" t="str">
        <f ca="1"/>
        <v>D6</v>
      </c>
      <c r="U428" s="7" t="str">
        <f ca="1"/>
        <v>0x201A</v>
      </c>
      <c r="V428" s="7" t="str">
        <f ca="1"/>
        <v>Invalid_Parent_Object</v>
      </c>
    </row>
    <row r="429" spans="20:22" x14ac:dyDescent="0.25">
      <c r="T429" s="7" t="str">
        <f ca="1"/>
        <v>D6</v>
      </c>
      <c r="U429" s="7" t="str">
        <f ca="1"/>
        <v>0x201B</v>
      </c>
      <c r="V429" s="7" t="str">
        <f ca="1"/>
        <v>Invalid_DeviceProp_Format</v>
      </c>
    </row>
    <row r="430" spans="20:22" x14ac:dyDescent="0.25">
      <c r="T430" s="7" t="str">
        <f ca="1"/>
        <v>D6</v>
      </c>
      <c r="U430" s="7" t="str">
        <f ca="1"/>
        <v>0x201C</v>
      </c>
      <c r="V430" s="7" t="str">
        <f ca="1"/>
        <v>Invalid_DeviceProp_Value</v>
      </c>
    </row>
    <row r="431" spans="20:22" x14ac:dyDescent="0.25">
      <c r="T431" s="7" t="str">
        <f ca="1"/>
        <v>D6</v>
      </c>
      <c r="U431" s="7" t="str">
        <f ca="1"/>
        <v>0x201D</v>
      </c>
      <c r="V431" s="7" t="str">
        <f ca="1"/>
        <v>Invalid_Parameter</v>
      </c>
    </row>
    <row r="432" spans="20:22" x14ac:dyDescent="0.25">
      <c r="T432" s="7" t="str">
        <f ca="1"/>
        <v>D6</v>
      </c>
      <c r="U432" s="7" t="str">
        <f ca="1"/>
        <v>0x201E</v>
      </c>
      <c r="V432" s="7" t="str">
        <f ca="1"/>
        <v>Session_Already_Open</v>
      </c>
    </row>
    <row r="433" spans="20:22" x14ac:dyDescent="0.25">
      <c r="T433" s="7" t="str">
        <f ca="1"/>
        <v>D6</v>
      </c>
      <c r="U433" s="7" t="str">
        <f ca="1"/>
        <v>0x201F</v>
      </c>
      <c r="V433" s="7" t="str">
        <f ca="1"/>
        <v>Transaction_Cancelled</v>
      </c>
    </row>
    <row r="434" spans="20:22" x14ac:dyDescent="0.25">
      <c r="T434" s="7" t="str">
        <f ca="1"/>
        <v>D6</v>
      </c>
      <c r="U434" s="7" t="str">
        <f ca="1"/>
        <v>0x2020</v>
      </c>
      <c r="V434" s="7" t="str">
        <f ca="1"/>
        <v>Specification_of_Destination_Unsupported</v>
      </c>
    </row>
    <row r="435" spans="20:22" x14ac:dyDescent="0.25">
      <c r="T435" s="7" t="str">
        <f ca="1"/>
        <v>D6</v>
      </c>
      <c r="U435" s="7" t="str">
        <f ca="1"/>
        <v>0xA001</v>
      </c>
      <c r="V435" s="7" t="str">
        <f ca="1"/>
        <v>Hardware_Error</v>
      </c>
    </row>
    <row r="436" spans="20:22" x14ac:dyDescent="0.25">
      <c r="T436" s="7" t="str">
        <f ca="1"/>
        <v>D6</v>
      </c>
      <c r="U436" s="7" t="str">
        <f ca="1"/>
        <v>0xA002</v>
      </c>
      <c r="V436" s="7" t="str">
        <f ca="1"/>
        <v>Out_of_Focus</v>
      </c>
    </row>
    <row r="437" spans="20:22" x14ac:dyDescent="0.25">
      <c r="T437" s="7" t="str">
        <f ca="1"/>
        <v>D6</v>
      </c>
      <c r="U437" s="7" t="str">
        <f ca="1"/>
        <v>0xA003</v>
      </c>
      <c r="V437" s="7" t="str">
        <f ca="1"/>
        <v>Change_CameraMode_Failed</v>
      </c>
    </row>
    <row r="438" spans="20:22" x14ac:dyDescent="0.25">
      <c r="T438" s="7" t="str">
        <f ca="1"/>
        <v>D6</v>
      </c>
      <c r="U438" s="7" t="str">
        <f ca="1"/>
        <v>0xA004</v>
      </c>
      <c r="V438" s="7" t="str">
        <f ca="1"/>
        <v>Invalid_Status</v>
      </c>
    </row>
    <row r="439" spans="20:22" x14ac:dyDescent="0.25">
      <c r="T439" s="7" t="str">
        <f ca="1"/>
        <v>D6</v>
      </c>
      <c r="U439" s="7" t="str">
        <f ca="1"/>
        <v>0xA006</v>
      </c>
      <c r="V439" s="7" t="str">
        <f ca="1"/>
        <v>Wb_Preset_Error</v>
      </c>
    </row>
    <row r="440" spans="20:22" x14ac:dyDescent="0.25">
      <c r="T440" s="7" t="str">
        <f ca="1"/>
        <v>D6</v>
      </c>
      <c r="U440" s="7" t="str">
        <f ca="1"/>
        <v>0xA007</v>
      </c>
      <c r="V440" s="7" t="str">
        <f ca="1"/>
        <v>Dust_Reference_Error</v>
      </c>
    </row>
    <row r="441" spans="20:22" x14ac:dyDescent="0.25">
      <c r="T441" s="7" t="str">
        <f ca="1"/>
        <v>D6</v>
      </c>
      <c r="U441" s="7" t="str">
        <f ca="1"/>
        <v>0xA008</v>
      </c>
      <c r="V441" s="7" t="str">
        <f ca="1"/>
        <v>Shutter_Speed_Bulb</v>
      </c>
    </row>
    <row r="442" spans="20:22" x14ac:dyDescent="0.25">
      <c r="T442" s="7" t="str">
        <f ca="1"/>
        <v>D6</v>
      </c>
      <c r="U442" s="7" t="str">
        <f ca="1"/>
        <v>0xA00A</v>
      </c>
      <c r="V442" s="7" t="str">
        <f ca="1"/>
        <v>CameraMode_Not_Adjust_Fnumber</v>
      </c>
    </row>
    <row r="443" spans="20:22" x14ac:dyDescent="0.25">
      <c r="T443" s="7" t="str">
        <f ca="1"/>
        <v>D6</v>
      </c>
      <c r="U443" s="7" t="str">
        <f ca="1"/>
        <v>0xA00B</v>
      </c>
      <c r="V443" s="7" t="str">
        <f ca="1"/>
        <v>Not_LiveView</v>
      </c>
    </row>
    <row r="444" spans="20:22" x14ac:dyDescent="0.25">
      <c r="T444" s="7" t="str">
        <f ca="1"/>
        <v>D6</v>
      </c>
      <c r="U444" s="7" t="str">
        <f ca="1"/>
        <v>0xA00C</v>
      </c>
      <c r="V444" s="7" t="str">
        <f ca="1"/>
        <v>MfDrive_Step_End</v>
      </c>
    </row>
    <row r="445" spans="20:22" x14ac:dyDescent="0.25">
      <c r="T445" s="7" t="str">
        <f ca="1"/>
        <v>D6</v>
      </c>
      <c r="U445" s="7" t="str">
        <f ca="1"/>
        <v>0xA00E</v>
      </c>
      <c r="V445" s="7" t="str">
        <f ca="1"/>
        <v>MfDrive_Step_Insufficiency</v>
      </c>
    </row>
    <row r="446" spans="20:22" x14ac:dyDescent="0.25">
      <c r="T446" s="7" t="str">
        <f ca="1"/>
        <v>D6</v>
      </c>
      <c r="U446" s="7" t="str">
        <f ca="1"/>
        <v>0xA00F</v>
      </c>
      <c r="V446" s="7" t="str">
        <f ca="1"/>
        <v>No_FullHD_Present</v>
      </c>
    </row>
    <row r="447" spans="20:22" x14ac:dyDescent="0.25">
      <c r="T447" s="7" t="str">
        <f ca="1"/>
        <v>D6</v>
      </c>
      <c r="U447" s="7" t="str">
        <f ca="1"/>
        <v>0xA021</v>
      </c>
      <c r="V447" s="7" t="str">
        <f ca="1"/>
        <v>Store_Error</v>
      </c>
    </row>
    <row r="448" spans="20:22" x14ac:dyDescent="0.25">
      <c r="T448" s="7" t="str">
        <f ca="1"/>
        <v>D6</v>
      </c>
      <c r="U448" s="7" t="str">
        <f ca="1"/>
        <v>0xA022</v>
      </c>
      <c r="V448" s="7" t="str">
        <f ca="1"/>
        <v>Store_Unformatted</v>
      </c>
    </row>
    <row r="449" spans="20:22" x14ac:dyDescent="0.25">
      <c r="T449" s="7" t="str">
        <f ca="1"/>
        <v>D6</v>
      </c>
      <c r="U449" s="7" t="str">
        <f ca="1"/>
        <v>0xA200</v>
      </c>
      <c r="V449" s="7" t="str">
        <f ca="1"/>
        <v>Bulb_Release_Busy</v>
      </c>
    </row>
    <row r="450" spans="20:22" x14ac:dyDescent="0.25">
      <c r="T450" s="7" t="str">
        <f ca="1"/>
        <v>D6</v>
      </c>
      <c r="U450" s="7" t="str">
        <f ca="1"/>
        <v>0xA201</v>
      </c>
      <c r="V450" s="7" t="str">
        <f ca="1"/>
        <v>Silent_Release_Busy</v>
      </c>
    </row>
    <row r="451" spans="20:22" x14ac:dyDescent="0.25">
      <c r="T451" s="7" t="str">
        <f ca="1"/>
        <v>D6</v>
      </c>
      <c r="U451" s="7" t="str">
        <f ca="1"/>
        <v>0xA202</v>
      </c>
      <c r="V451" s="7" t="str">
        <f ca="1"/>
        <v>MovieFrame_Release_Busy</v>
      </c>
    </row>
    <row r="452" spans="20:22" x14ac:dyDescent="0.25">
      <c r="T452" s="7" t="str">
        <f ca="1"/>
        <v>D6</v>
      </c>
      <c r="U452" s="7" t="str">
        <f ca="1"/>
        <v>0xA204</v>
      </c>
      <c r="V452" s="7" t="str">
        <f ca="1"/>
        <v>Shutter_Speed_Time</v>
      </c>
    </row>
    <row r="453" spans="20:22" x14ac:dyDescent="0.25">
      <c r="T453" s="7" t="str">
        <f ca="1"/>
        <v>D6</v>
      </c>
      <c r="U453" s="7" t="str">
        <f ca="1"/>
        <v>0xA207</v>
      </c>
      <c r="V453" s="7" t="str">
        <f ca="1"/>
        <v>Waiting_2ndRelease</v>
      </c>
    </row>
    <row r="454" spans="20:22" x14ac:dyDescent="0.25">
      <c r="T454" s="7" t="str">
        <f ca="1"/>
        <v>D6</v>
      </c>
      <c r="U454" s="7" t="str">
        <f ca="1"/>
        <v>0xA208</v>
      </c>
      <c r="V454" s="7" t="str">
        <f ca="1"/>
        <v>MirrorUpCapture_Already_Start</v>
      </c>
    </row>
    <row r="455" spans="20:22" x14ac:dyDescent="0.25">
      <c r="T455" s="7" t="str">
        <f ca="1"/>
        <v>D6</v>
      </c>
      <c r="U455" s="7" t="str">
        <f ca="1"/>
        <v>0xA209</v>
      </c>
      <c r="V455" s="7" t="str">
        <f ca="1"/>
        <v>Invalid_SBAttribute_Value</v>
      </c>
    </row>
    <row r="456" spans="20:22" x14ac:dyDescent="0.25">
      <c r="T456" s="7" t="str">
        <f ca="1"/>
        <v>D6</v>
      </c>
      <c r="U456" s="7" t="str">
        <f ca="1"/>
        <v>0xA210</v>
      </c>
      <c r="V456" s="7" t="str">
        <f ca="1"/>
        <v>Invalid_Data</v>
      </c>
    </row>
    <row r="457" spans="20:22" x14ac:dyDescent="0.25">
      <c r="T457" s="7" t="str">
        <f ca="1"/>
        <v>D6</v>
      </c>
      <c r="U457" s="7" t="str">
        <f ca="1"/>
        <v>0xA801</v>
      </c>
      <c r="V457" s="7" t="str">
        <f ca="1"/>
        <v>Invalid_ObjectPropCode</v>
      </c>
    </row>
    <row r="458" spans="20:22" x14ac:dyDescent="0.25">
      <c r="T458" s="7" t="str">
        <f ca="1"/>
        <v>D6</v>
      </c>
      <c r="U458" s="7" t="str">
        <f ca="1"/>
        <v>0xA802</v>
      </c>
      <c r="V458" s="7" t="str">
        <f ca="1"/>
        <v>Invalid_ObjectProp_Format</v>
      </c>
    </row>
    <row r="459" spans="20:22" x14ac:dyDescent="0.25">
      <c r="T459" s="7" t="str">
        <f ca="1"/>
        <v>D6</v>
      </c>
      <c r="U459" s="7" t="str">
        <f ca="1"/>
        <v>0xA80A</v>
      </c>
      <c r="V459" s="7" t="str">
        <f ca="1"/>
        <v>ObjectProp_Not_Supported</v>
      </c>
    </row>
    <row r="460" spans="20:22" x14ac:dyDescent="0.25">
      <c r="T460" s="7" t="str">
        <f ca="1"/>
        <v>D5</v>
      </c>
      <c r="U460" s="7" t="str">
        <f ca="1"/>
        <v>0x2001</v>
      </c>
      <c r="V460" s="7" t="str">
        <f ca="1"/>
        <v>OK</v>
      </c>
    </row>
    <row r="461" spans="20:22" x14ac:dyDescent="0.25">
      <c r="T461" s="7" t="str">
        <f ca="1"/>
        <v>D5</v>
      </c>
      <c r="U461" s="7" t="str">
        <f ca="1"/>
        <v>0x2002</v>
      </c>
      <c r="V461" s="7" t="str">
        <f ca="1"/>
        <v>General_Error</v>
      </c>
    </row>
    <row r="462" spans="20:22" x14ac:dyDescent="0.25">
      <c r="T462" s="7" t="str">
        <f ca="1"/>
        <v>D5</v>
      </c>
      <c r="U462" s="7" t="str">
        <f ca="1"/>
        <v>0x2003</v>
      </c>
      <c r="V462" s="7" t="str">
        <f ca="1"/>
        <v>Session_Not_Open</v>
      </c>
    </row>
    <row r="463" spans="20:22" x14ac:dyDescent="0.25">
      <c r="T463" s="7" t="str">
        <f ca="1"/>
        <v>D5</v>
      </c>
      <c r="U463" s="7" t="str">
        <f ca="1"/>
        <v>0x2004</v>
      </c>
      <c r="V463" s="7" t="str">
        <f ca="1"/>
        <v>Invalid_TransactionID</v>
      </c>
    </row>
    <row r="464" spans="20:22" x14ac:dyDescent="0.25">
      <c r="T464" s="7" t="str">
        <f ca="1"/>
        <v>D5</v>
      </c>
      <c r="U464" s="7" t="str">
        <f ca="1"/>
        <v>0x2005</v>
      </c>
      <c r="V464" s="7" t="str">
        <f ca="1"/>
        <v>Operation_Not_Supported</v>
      </c>
    </row>
    <row r="465" spans="20:22" x14ac:dyDescent="0.25">
      <c r="T465" s="7" t="str">
        <f ca="1"/>
        <v>D5</v>
      </c>
      <c r="U465" s="7" t="str">
        <f ca="1"/>
        <v>0x2006</v>
      </c>
      <c r="V465" s="7" t="str">
        <f ca="1"/>
        <v>Parameter_Not_Supported</v>
      </c>
    </row>
    <row r="466" spans="20:22" x14ac:dyDescent="0.25">
      <c r="T466" s="7" t="str">
        <f ca="1"/>
        <v>D5</v>
      </c>
      <c r="U466" s="7" t="str">
        <f ca="1"/>
        <v>0x2007</v>
      </c>
      <c r="V466" s="7" t="str">
        <f ca="1"/>
        <v>Incomplete_Transfer</v>
      </c>
    </row>
    <row r="467" spans="20:22" x14ac:dyDescent="0.25">
      <c r="T467" s="7" t="str">
        <f ca="1"/>
        <v>D5</v>
      </c>
      <c r="U467" s="7" t="str">
        <f ca="1"/>
        <v>0x2008</v>
      </c>
      <c r="V467" s="7" t="str">
        <f ca="1"/>
        <v>Invalid_StorageID</v>
      </c>
    </row>
    <row r="468" spans="20:22" x14ac:dyDescent="0.25">
      <c r="T468" s="7" t="str">
        <f ca="1"/>
        <v>D5</v>
      </c>
      <c r="U468" s="7" t="str">
        <f ca="1"/>
        <v>0x2009</v>
      </c>
      <c r="V468" s="7" t="str">
        <f ca="1"/>
        <v>Invalid_Object_Handle</v>
      </c>
    </row>
    <row r="469" spans="20:22" x14ac:dyDescent="0.25">
      <c r="T469" s="7" t="str">
        <f ca="1"/>
        <v>D5</v>
      </c>
      <c r="U469" s="7" t="str">
        <f ca="1"/>
        <v>0x200A</v>
      </c>
      <c r="V469" s="7" t="str">
        <f ca="1"/>
        <v>DeviceProp_Not_Supported</v>
      </c>
    </row>
    <row r="470" spans="20:22" x14ac:dyDescent="0.25">
      <c r="T470" s="7" t="str">
        <f ca="1"/>
        <v>D5</v>
      </c>
      <c r="U470" s="7" t="str">
        <f ca="1"/>
        <v>0x200B</v>
      </c>
      <c r="V470" s="7" t="str">
        <f ca="1"/>
        <v>Invalid_ObjectFormatCode</v>
      </c>
    </row>
    <row r="471" spans="20:22" x14ac:dyDescent="0.25">
      <c r="T471" s="7" t="str">
        <f ca="1"/>
        <v>D5</v>
      </c>
      <c r="U471" s="7" t="str">
        <f ca="1"/>
        <v>0x200C</v>
      </c>
      <c r="V471" s="7" t="str">
        <f ca="1"/>
        <v>Store_Full</v>
      </c>
    </row>
    <row r="472" spans="20:22" x14ac:dyDescent="0.25">
      <c r="T472" s="7" t="str">
        <f ca="1"/>
        <v>D5</v>
      </c>
      <c r="U472" s="7" t="str">
        <f ca="1"/>
        <v>0x200D</v>
      </c>
      <c r="V472" s="7" t="str">
        <f ca="1"/>
        <v>Object_Write_Protect</v>
      </c>
    </row>
    <row r="473" spans="20:22" x14ac:dyDescent="0.25">
      <c r="T473" s="7" t="str">
        <f ca="1"/>
        <v>D5</v>
      </c>
      <c r="U473" s="7" t="str">
        <f ca="1"/>
        <v>0x200E</v>
      </c>
      <c r="V473" s="7" t="str">
        <f ca="1"/>
        <v>Store_Read_Only</v>
      </c>
    </row>
    <row r="474" spans="20:22" x14ac:dyDescent="0.25">
      <c r="T474" s="7" t="str">
        <f ca="1"/>
        <v>D5</v>
      </c>
      <c r="U474" s="7" t="str">
        <f ca="1"/>
        <v>0x200F</v>
      </c>
      <c r="V474" s="7" t="str">
        <f ca="1"/>
        <v>Access_Denied</v>
      </c>
    </row>
    <row r="475" spans="20:22" x14ac:dyDescent="0.25">
      <c r="T475" s="7" t="str">
        <f ca="1"/>
        <v>D5</v>
      </c>
      <c r="U475" s="7" t="str">
        <f ca="1"/>
        <v>0x2010</v>
      </c>
      <c r="V475" s="7" t="str">
        <f ca="1"/>
        <v>No_Thumbnail_Present</v>
      </c>
    </row>
    <row r="476" spans="20:22" x14ac:dyDescent="0.25">
      <c r="T476" s="7" t="str">
        <f ca="1"/>
        <v>D5</v>
      </c>
      <c r="U476" s="7" t="str">
        <f ca="1"/>
        <v>0x2012</v>
      </c>
      <c r="V476" s="7" t="str">
        <f ca="1"/>
        <v>Partial_Deletion</v>
      </c>
    </row>
    <row r="477" spans="20:22" x14ac:dyDescent="0.25">
      <c r="T477" s="7" t="str">
        <f ca="1"/>
        <v>D5</v>
      </c>
      <c r="U477" s="7" t="str">
        <f ca="1"/>
        <v>0x2013</v>
      </c>
      <c r="V477" s="7" t="str">
        <f ca="1"/>
        <v>Store_Not_Available</v>
      </c>
    </row>
    <row r="478" spans="20:22" x14ac:dyDescent="0.25">
      <c r="T478" s="7" t="str">
        <f ca="1"/>
        <v>D5</v>
      </c>
      <c r="U478" s="7" t="str">
        <f ca="1"/>
        <v>0x2014</v>
      </c>
      <c r="V478" s="7" t="str">
        <f ca="1"/>
        <v>Specification_By_Format_Unsupported</v>
      </c>
    </row>
    <row r="479" spans="20:22" x14ac:dyDescent="0.25">
      <c r="T479" s="7" t="str">
        <f ca="1"/>
        <v>D5</v>
      </c>
      <c r="U479" s="7" t="str">
        <f ca="1"/>
        <v>0x2015</v>
      </c>
      <c r="V479" s="7" t="str">
        <f ca="1"/>
        <v>No_Valid_ObjectInfo</v>
      </c>
    </row>
    <row r="480" spans="20:22" x14ac:dyDescent="0.25">
      <c r="T480" s="7" t="str">
        <f ca="1"/>
        <v>D5</v>
      </c>
      <c r="U480" s="7" t="str">
        <f ca="1"/>
        <v>0x2019</v>
      </c>
      <c r="V480" s="7" t="str">
        <f ca="1"/>
        <v>Device_Busy</v>
      </c>
    </row>
    <row r="481" spans="20:22" x14ac:dyDescent="0.25">
      <c r="T481" s="7" t="str">
        <f ca="1"/>
        <v>D5</v>
      </c>
      <c r="U481" s="7" t="str">
        <f ca="1"/>
        <v>0x201A</v>
      </c>
      <c r="V481" s="7" t="str">
        <f ca="1"/>
        <v>Invalid_Parent_Object</v>
      </c>
    </row>
    <row r="482" spans="20:22" x14ac:dyDescent="0.25">
      <c r="T482" s="7" t="str">
        <f ca="1"/>
        <v>D5</v>
      </c>
      <c r="U482" s="7" t="str">
        <f ca="1"/>
        <v>0x201B</v>
      </c>
      <c r="V482" s="7" t="str">
        <f ca="1"/>
        <v>Invalid_DeviceProp_Format</v>
      </c>
    </row>
    <row r="483" spans="20:22" x14ac:dyDescent="0.25">
      <c r="T483" s="7" t="str">
        <f ca="1"/>
        <v>D5</v>
      </c>
      <c r="U483" s="7" t="str">
        <f ca="1"/>
        <v>0x201C</v>
      </c>
      <c r="V483" s="7" t="str">
        <f ca="1"/>
        <v>Invalid_DeviceProp_Value</v>
      </c>
    </row>
    <row r="484" spans="20:22" x14ac:dyDescent="0.25">
      <c r="T484" s="7" t="str">
        <f ca="1"/>
        <v>D5</v>
      </c>
      <c r="U484" s="7" t="str">
        <f ca="1"/>
        <v>0x201D</v>
      </c>
      <c r="V484" s="7" t="str">
        <f ca="1"/>
        <v>Invalid_Parameter</v>
      </c>
    </row>
    <row r="485" spans="20:22" x14ac:dyDescent="0.25">
      <c r="T485" s="7" t="str">
        <f ca="1"/>
        <v>D5</v>
      </c>
      <c r="U485" s="7" t="str">
        <f ca="1"/>
        <v>0x201E</v>
      </c>
      <c r="V485" s="7" t="str">
        <f ca="1"/>
        <v>Session_Already_Open</v>
      </c>
    </row>
    <row r="486" spans="20:22" x14ac:dyDescent="0.25">
      <c r="T486" s="7" t="str">
        <f ca="1"/>
        <v>D5</v>
      </c>
      <c r="U486" s="7" t="str">
        <f ca="1"/>
        <v>0x2020</v>
      </c>
      <c r="V486" s="7" t="str">
        <f ca="1"/>
        <v>Specification_of_Destination_Unsupported</v>
      </c>
    </row>
    <row r="487" spans="20:22" x14ac:dyDescent="0.25">
      <c r="T487" s="7" t="str">
        <f ca="1"/>
        <v>D5</v>
      </c>
      <c r="U487" s="7" t="str">
        <f ca="1"/>
        <v>0xA001</v>
      </c>
      <c r="V487" s="7" t="str">
        <f ca="1"/>
        <v>Hardware_Error</v>
      </c>
    </row>
    <row r="488" spans="20:22" x14ac:dyDescent="0.25">
      <c r="T488" s="7" t="str">
        <f ca="1"/>
        <v>D5</v>
      </c>
      <c r="U488" s="7" t="str">
        <f ca="1"/>
        <v>0xA002</v>
      </c>
      <c r="V488" s="7" t="str">
        <f ca="1"/>
        <v>Out_of_Focus</v>
      </c>
    </row>
    <row r="489" spans="20:22" x14ac:dyDescent="0.25">
      <c r="T489" s="7" t="str">
        <f ca="1"/>
        <v>D5</v>
      </c>
      <c r="U489" s="7" t="str">
        <f ca="1"/>
        <v>0xA003</v>
      </c>
      <c r="V489" s="7" t="str">
        <f ca="1"/>
        <v>Change_CameraMode_Failed</v>
      </c>
    </row>
    <row r="490" spans="20:22" x14ac:dyDescent="0.25">
      <c r="T490" s="7" t="str">
        <f ca="1"/>
        <v>D5</v>
      </c>
      <c r="U490" s="7" t="str">
        <f ca="1"/>
        <v>0xA004</v>
      </c>
      <c r="V490" s="7" t="str">
        <f ca="1"/>
        <v>Invalid_Status</v>
      </c>
    </row>
    <row r="491" spans="20:22" x14ac:dyDescent="0.25">
      <c r="T491" s="7" t="str">
        <f ca="1"/>
        <v>D5</v>
      </c>
      <c r="U491" s="7" t="str">
        <f ca="1"/>
        <v>0xA006</v>
      </c>
      <c r="V491" s="7" t="str">
        <f ca="1"/>
        <v>Wb_Preset_Error</v>
      </c>
    </row>
    <row r="492" spans="20:22" x14ac:dyDescent="0.25">
      <c r="T492" s="7" t="str">
        <f ca="1"/>
        <v>D5</v>
      </c>
      <c r="U492" s="7" t="str">
        <f ca="1"/>
        <v>0xA007</v>
      </c>
      <c r="V492" s="7" t="str">
        <f ca="1"/>
        <v>Dust_Reference_Error</v>
      </c>
    </row>
    <row r="493" spans="20:22" x14ac:dyDescent="0.25">
      <c r="T493" s="7" t="str">
        <f ca="1"/>
        <v>D5</v>
      </c>
      <c r="U493" s="7" t="str">
        <f ca="1"/>
        <v>0xA008</v>
      </c>
      <c r="V493" s="7" t="str">
        <f ca="1"/>
        <v>Shutter_Speed_Bulb</v>
      </c>
    </row>
    <row r="494" spans="20:22" x14ac:dyDescent="0.25">
      <c r="T494" s="7" t="str">
        <f ca="1"/>
        <v>D5</v>
      </c>
      <c r="U494" s="7" t="str">
        <f ca="1"/>
        <v>0xA009</v>
      </c>
      <c r="V494" s="7" t="str">
        <f ca="1"/>
        <v>MirrorUp_Sequence</v>
      </c>
    </row>
    <row r="495" spans="20:22" x14ac:dyDescent="0.25">
      <c r="T495" s="7" t="str">
        <f ca="1"/>
        <v>D5</v>
      </c>
      <c r="U495" s="7" t="str">
        <f ca="1"/>
        <v>0xA00A</v>
      </c>
      <c r="V495" s="7" t="str">
        <f ca="1"/>
        <v>CameraMode_Not_Adjust_Fnumber</v>
      </c>
    </row>
    <row r="496" spans="20:22" x14ac:dyDescent="0.25">
      <c r="T496" s="7" t="str">
        <f ca="1"/>
        <v>D5</v>
      </c>
      <c r="U496" s="7" t="str">
        <f ca="1"/>
        <v>0xA00B</v>
      </c>
      <c r="V496" s="7" t="str">
        <f ca="1"/>
        <v>Not_LiveView</v>
      </c>
    </row>
    <row r="497" spans="20:22" x14ac:dyDescent="0.25">
      <c r="T497" s="7" t="str">
        <f ca="1"/>
        <v>D5</v>
      </c>
      <c r="U497" s="7" t="str">
        <f ca="1"/>
        <v>0xA00C</v>
      </c>
      <c r="V497" s="7" t="str">
        <f ca="1"/>
        <v>MfDrive_Step_End</v>
      </c>
    </row>
    <row r="498" spans="20:22" x14ac:dyDescent="0.25">
      <c r="T498" s="7" t="str">
        <f ca="1"/>
        <v>D5</v>
      </c>
      <c r="U498" s="7" t="str">
        <f ca="1"/>
        <v>0xA00E</v>
      </c>
      <c r="V498" s="7" t="str">
        <f ca="1"/>
        <v>MfDrive_Step_</v>
      </c>
    </row>
    <row r="499" spans="20:22" x14ac:dyDescent="0.25">
      <c r="T499" s="7" t="str">
        <f ca="1"/>
        <v>D5</v>
      </c>
      <c r="U499" s="7" t="str">
        <f ca="1"/>
        <v>0xA00F</v>
      </c>
      <c r="V499" s="7" t="str">
        <f ca="1"/>
        <v>No_FullHD_Present</v>
      </c>
    </row>
    <row r="500" spans="20:22" x14ac:dyDescent="0.25">
      <c r="T500" s="7" t="str">
        <f ca="1"/>
        <v>D5</v>
      </c>
      <c r="U500" s="7" t="str">
        <f ca="1"/>
        <v>0xA021</v>
      </c>
      <c r="V500" s="7" t="str">
        <f ca="1"/>
        <v>Store_Error</v>
      </c>
    </row>
    <row r="501" spans="20:22" x14ac:dyDescent="0.25">
      <c r="T501" s="7" t="str">
        <f ca="1"/>
        <v>D5</v>
      </c>
      <c r="U501" s="7" t="str">
        <f ca="1"/>
        <v>0xA022</v>
      </c>
      <c r="V501" s="7" t="str">
        <f ca="1"/>
        <v>Store_Unformatted</v>
      </c>
    </row>
    <row r="502" spans="20:22" x14ac:dyDescent="0.25">
      <c r="T502" s="7" t="str">
        <f ca="1"/>
        <v>D5</v>
      </c>
      <c r="U502" s="7" t="str">
        <f ca="1"/>
        <v>0xA200</v>
      </c>
      <c r="V502" s="7" t="str">
        <f ca="1"/>
        <v>Bulb_Release_Busy</v>
      </c>
    </row>
    <row r="503" spans="20:22" x14ac:dyDescent="0.25">
      <c r="T503" s="7" t="str">
        <f ca="1"/>
        <v>D5</v>
      </c>
      <c r="U503" s="7" t="str">
        <f ca="1"/>
        <v>0xA201</v>
      </c>
      <c r="V503" s="7" t="str">
        <f ca="1"/>
        <v>Silent_Release_Busy</v>
      </c>
    </row>
    <row r="504" spans="20:22" x14ac:dyDescent="0.25">
      <c r="T504" s="7" t="str">
        <f ca="1"/>
        <v>D5</v>
      </c>
      <c r="U504" s="7" t="str">
        <f ca="1"/>
        <v>0xA202</v>
      </c>
      <c r="V504" s="7" t="str">
        <f ca="1"/>
        <v>MovieFrame_Release_Busy</v>
      </c>
    </row>
    <row r="505" spans="20:22" x14ac:dyDescent="0.25">
      <c r="T505" s="7" t="str">
        <f ca="1"/>
        <v>D5</v>
      </c>
      <c r="U505" s="7" t="str">
        <f ca="1"/>
        <v>0xA204</v>
      </c>
      <c r="V505" s="7" t="str">
        <f ca="1"/>
        <v>Shutter_Speed_Time</v>
      </c>
    </row>
    <row r="506" spans="20:22" x14ac:dyDescent="0.25">
      <c r="T506" s="7" t="str">
        <f ca="1"/>
        <v>D5</v>
      </c>
      <c r="U506" s="7" t="str">
        <f ca="1"/>
        <v>0xA207</v>
      </c>
      <c r="V506" s="7" t="str">
        <f ca="1"/>
        <v>Waiting_2ndRelease</v>
      </c>
    </row>
    <row r="507" spans="20:22" x14ac:dyDescent="0.25">
      <c r="T507" s="7" t="str">
        <f ca="1"/>
        <v>D5</v>
      </c>
      <c r="U507" s="7" t="str">
        <f ca="1"/>
        <v>0xA208</v>
      </c>
      <c r="V507" s="7" t="str">
        <f ca="1"/>
        <v>MirrorUpCapture_Already_Start</v>
      </c>
    </row>
    <row r="508" spans="20:22" x14ac:dyDescent="0.25">
      <c r="T508" s="7" t="str">
        <f ca="1"/>
        <v>D5</v>
      </c>
      <c r="U508" s="7" t="str">
        <f ca="1"/>
        <v>0xA209</v>
      </c>
      <c r="V508" s="7" t="str">
        <f ca="1"/>
        <v>Invalid_SBAttribute_Value</v>
      </c>
    </row>
    <row r="509" spans="20:22" x14ac:dyDescent="0.25">
      <c r="T509" s="7" t="str">
        <f ca="1"/>
        <v>D5</v>
      </c>
      <c r="U509" s="7" t="str">
        <f ca="1"/>
        <v>0xA801</v>
      </c>
      <c r="V509" s="7" t="str">
        <f ca="1"/>
        <v>Invalid_ObjectPropCode</v>
      </c>
    </row>
    <row r="510" spans="20:22" x14ac:dyDescent="0.25">
      <c r="T510" s="7" t="str">
        <f ca="1"/>
        <v>D5</v>
      </c>
      <c r="U510" s="7" t="str">
        <f ca="1"/>
        <v>0xA802</v>
      </c>
      <c r="V510" s="7" t="str">
        <f ca="1"/>
        <v>Invalid_ObjectProp_Format</v>
      </c>
    </row>
    <row r="511" spans="20:22" x14ac:dyDescent="0.25">
      <c r="T511" s="7" t="str">
        <f ca="1"/>
        <v>D5</v>
      </c>
      <c r="U511" s="7" t="str">
        <f ca="1"/>
        <v>0xA80A</v>
      </c>
      <c r="V511" s="7" t="str">
        <f ca="1"/>
        <v>ObjectProp_Not_Supported</v>
      </c>
    </row>
    <row r="512" spans="20:22" x14ac:dyDescent="0.25">
      <c r="T512" s="7" t="str">
        <f ca="1"/>
        <v>D4S</v>
      </c>
      <c r="U512" s="7" t="str">
        <f ca="1"/>
        <v>0x2001</v>
      </c>
      <c r="V512" s="7" t="str">
        <f ca="1"/>
        <v>OK</v>
      </c>
    </row>
    <row r="513" spans="20:22" x14ac:dyDescent="0.25">
      <c r="T513" s="7" t="str">
        <f ca="1"/>
        <v>D4S</v>
      </c>
      <c r="U513" s="7" t="str">
        <f ca="1"/>
        <v>0x2002</v>
      </c>
      <c r="V513" s="7" t="str">
        <f ca="1"/>
        <v>General_Error</v>
      </c>
    </row>
    <row r="514" spans="20:22" x14ac:dyDescent="0.25">
      <c r="T514" s="7" t="str">
        <f ca="1"/>
        <v>D4S</v>
      </c>
      <c r="U514" s="7" t="str">
        <f ca="1"/>
        <v>0x2003</v>
      </c>
      <c r="V514" s="7" t="str">
        <f ca="1"/>
        <v>Session_Not_Open</v>
      </c>
    </row>
    <row r="515" spans="20:22" x14ac:dyDescent="0.25">
      <c r="T515" s="7" t="str">
        <f ca="1"/>
        <v>D4S</v>
      </c>
      <c r="U515" s="7" t="str">
        <f ca="1"/>
        <v>0x2004</v>
      </c>
      <c r="V515" s="7" t="str">
        <f ca="1"/>
        <v>Invalid_TransactionID</v>
      </c>
    </row>
    <row r="516" spans="20:22" x14ac:dyDescent="0.25">
      <c r="T516" s="7" t="str">
        <f ca="1"/>
        <v>D4S</v>
      </c>
      <c r="U516" s="7" t="str">
        <f ca="1"/>
        <v>0x2005</v>
      </c>
      <c r="V516" s="7" t="str">
        <f ca="1"/>
        <v>Operation_Not_Supported</v>
      </c>
    </row>
    <row r="517" spans="20:22" x14ac:dyDescent="0.25">
      <c r="T517" s="7" t="str">
        <f ca="1"/>
        <v>D4S</v>
      </c>
      <c r="U517" s="7" t="str">
        <f ca="1"/>
        <v>0x2006</v>
      </c>
      <c r="V517" s="7" t="str">
        <f ca="1"/>
        <v>Parameter_Not_Supported</v>
      </c>
    </row>
    <row r="518" spans="20:22" x14ac:dyDescent="0.25">
      <c r="T518" s="7" t="str">
        <f ca="1"/>
        <v>D4S</v>
      </c>
      <c r="U518" s="7" t="str">
        <f ca="1"/>
        <v>0x2007</v>
      </c>
      <c r="V518" s="7" t="str">
        <f ca="1"/>
        <v>Incomplete_Transfer</v>
      </c>
    </row>
    <row r="519" spans="20:22" x14ac:dyDescent="0.25">
      <c r="T519" s="7" t="str">
        <f ca="1"/>
        <v>D4S</v>
      </c>
      <c r="U519" s="7" t="str">
        <f ca="1"/>
        <v>0x2008</v>
      </c>
      <c r="V519" s="7" t="str">
        <f ca="1"/>
        <v>Invalid_StorageID</v>
      </c>
    </row>
    <row r="520" spans="20:22" x14ac:dyDescent="0.25">
      <c r="T520" s="7" t="str">
        <f ca="1"/>
        <v>D4S</v>
      </c>
      <c r="U520" s="7" t="str">
        <f ca="1"/>
        <v>0x2009</v>
      </c>
      <c r="V520" s="7" t="str">
        <f ca="1"/>
        <v>Invalid_Object_Handle</v>
      </c>
    </row>
    <row r="521" spans="20:22" x14ac:dyDescent="0.25">
      <c r="T521" s="7" t="str">
        <f ca="1"/>
        <v>D4S</v>
      </c>
      <c r="U521" s="7" t="str">
        <f ca="1"/>
        <v>0x200A</v>
      </c>
      <c r="V521" s="7" t="str">
        <f ca="1"/>
        <v>DeviceProp_Not_Supported</v>
      </c>
    </row>
    <row r="522" spans="20:22" x14ac:dyDescent="0.25">
      <c r="T522" s="7" t="str">
        <f ca="1"/>
        <v>D4S</v>
      </c>
      <c r="U522" s="7" t="str">
        <f ca="1"/>
        <v>0x200B</v>
      </c>
      <c r="V522" s="7" t="str">
        <f ca="1"/>
        <v>Invalid_ObjectFormatCode</v>
      </c>
    </row>
    <row r="523" spans="20:22" x14ac:dyDescent="0.25">
      <c r="T523" s="7" t="str">
        <f ca="1"/>
        <v>D4S</v>
      </c>
      <c r="U523" s="7" t="str">
        <f ca="1"/>
        <v>0x200C</v>
      </c>
      <c r="V523" s="7" t="str">
        <f ca="1"/>
        <v>Store_Full</v>
      </c>
    </row>
    <row r="524" spans="20:22" x14ac:dyDescent="0.25">
      <c r="T524" s="7" t="str">
        <f ca="1"/>
        <v>D4S</v>
      </c>
      <c r="U524" s="7" t="str">
        <f ca="1"/>
        <v>0x200D</v>
      </c>
      <c r="V524" s="7" t="str">
        <f ca="1"/>
        <v>Object_Write_Protect</v>
      </c>
    </row>
    <row r="525" spans="20:22" x14ac:dyDescent="0.25">
      <c r="T525" s="7" t="str">
        <f ca="1"/>
        <v>D4S</v>
      </c>
      <c r="U525" s="7" t="str">
        <f ca="1"/>
        <v>0x200E</v>
      </c>
      <c r="V525" s="7" t="str">
        <f ca="1"/>
        <v>Store_Read_Only</v>
      </c>
    </row>
    <row r="526" spans="20:22" x14ac:dyDescent="0.25">
      <c r="T526" s="7" t="str">
        <f ca="1"/>
        <v>D4S</v>
      </c>
      <c r="U526" s="7" t="str">
        <f ca="1"/>
        <v>0x200F</v>
      </c>
      <c r="V526" s="7" t="str">
        <f ca="1"/>
        <v>Access_Denied</v>
      </c>
    </row>
    <row r="527" spans="20:22" x14ac:dyDescent="0.25">
      <c r="T527" s="7" t="str">
        <f ca="1"/>
        <v>D4S</v>
      </c>
      <c r="U527" s="7" t="str">
        <f ca="1"/>
        <v>0x2010</v>
      </c>
      <c r="V527" s="7" t="str">
        <f ca="1"/>
        <v>No_Thumbnail_Present</v>
      </c>
    </row>
    <row r="528" spans="20:22" x14ac:dyDescent="0.25">
      <c r="T528" s="7" t="str">
        <f ca="1"/>
        <v>D4S</v>
      </c>
      <c r="U528" s="7" t="str">
        <f ca="1"/>
        <v>0x2012</v>
      </c>
      <c r="V528" s="7" t="str">
        <f ca="1"/>
        <v>Partial_Deletion</v>
      </c>
    </row>
    <row r="529" spans="20:22" x14ac:dyDescent="0.25">
      <c r="T529" s="7" t="str">
        <f ca="1"/>
        <v>D4S</v>
      </c>
      <c r="U529" s="7" t="str">
        <f ca="1"/>
        <v>0x2013</v>
      </c>
      <c r="V529" s="7" t="str">
        <f ca="1"/>
        <v>Store_Not_Available</v>
      </c>
    </row>
    <row r="530" spans="20:22" x14ac:dyDescent="0.25">
      <c r="T530" s="7" t="str">
        <f ca="1"/>
        <v>D4S</v>
      </c>
      <c r="U530" s="7" t="str">
        <f ca="1"/>
        <v>0x2014</v>
      </c>
      <c r="V530" s="7" t="str">
        <f ca="1"/>
        <v>Specification_By_Format_Unsupported</v>
      </c>
    </row>
    <row r="531" spans="20:22" x14ac:dyDescent="0.25">
      <c r="T531" s="7" t="str">
        <f ca="1"/>
        <v>D4S</v>
      </c>
      <c r="U531" s="7" t="str">
        <f ca="1"/>
        <v>0x2015</v>
      </c>
      <c r="V531" s="7" t="str">
        <f ca="1"/>
        <v>No_Valid_ObjectInfo</v>
      </c>
    </row>
    <row r="532" spans="20:22" x14ac:dyDescent="0.25">
      <c r="T532" s="7" t="str">
        <f ca="1"/>
        <v>D4S</v>
      </c>
      <c r="U532" s="7" t="str">
        <f ca="1"/>
        <v>0x2019</v>
      </c>
      <c r="V532" s="7" t="str">
        <f ca="1"/>
        <v>Device_Busy</v>
      </c>
    </row>
    <row r="533" spans="20:22" x14ac:dyDescent="0.25">
      <c r="T533" s="7" t="str">
        <f ca="1"/>
        <v>D4S</v>
      </c>
      <c r="U533" s="7" t="str">
        <f ca="1"/>
        <v>0x201A</v>
      </c>
      <c r="V533" s="7" t="str">
        <f ca="1"/>
        <v>Invalid_Parent_Object</v>
      </c>
    </row>
    <row r="534" spans="20:22" x14ac:dyDescent="0.25">
      <c r="T534" s="7" t="str">
        <f ca="1"/>
        <v>D4S</v>
      </c>
      <c r="U534" s="7" t="str">
        <f ca="1"/>
        <v>0x201B</v>
      </c>
      <c r="V534" s="7" t="str">
        <f ca="1"/>
        <v>Invalid_DeviceProp_Format</v>
      </c>
    </row>
    <row r="535" spans="20:22" x14ac:dyDescent="0.25">
      <c r="T535" s="7" t="str">
        <f ca="1"/>
        <v>D4S</v>
      </c>
      <c r="U535" s="7" t="str">
        <f ca="1"/>
        <v>0x201C</v>
      </c>
      <c r="V535" s="7" t="str">
        <f ca="1"/>
        <v>Invalid_DeviceProp_Value</v>
      </c>
    </row>
    <row r="536" spans="20:22" x14ac:dyDescent="0.25">
      <c r="T536" s="7" t="str">
        <f ca="1"/>
        <v>D4S</v>
      </c>
      <c r="U536" s="7" t="str">
        <f ca="1"/>
        <v>0x201D</v>
      </c>
      <c r="V536" s="7" t="str">
        <f ca="1"/>
        <v>Invalid_Parameter</v>
      </c>
    </row>
    <row r="537" spans="20:22" x14ac:dyDescent="0.25">
      <c r="T537" s="7" t="str">
        <f ca="1"/>
        <v>D4S</v>
      </c>
      <c r="U537" s="7" t="str">
        <f ca="1"/>
        <v>0x201E</v>
      </c>
      <c r="V537" s="7" t="str">
        <f ca="1"/>
        <v>Session_Already_Open</v>
      </c>
    </row>
    <row r="538" spans="20:22" x14ac:dyDescent="0.25">
      <c r="T538" s="7" t="str">
        <f ca="1"/>
        <v>D4S</v>
      </c>
      <c r="U538" s="7" t="str">
        <f ca="1"/>
        <v>0x2020</v>
      </c>
      <c r="V538" s="7" t="str">
        <f ca="1"/>
        <v>Specification_of_Destination_Unsupported</v>
      </c>
    </row>
    <row r="539" spans="20:22" x14ac:dyDescent="0.25">
      <c r="T539" s="7" t="str">
        <f ca="1"/>
        <v>D4S</v>
      </c>
      <c r="U539" s="7" t="str">
        <f ca="1"/>
        <v>0xA001</v>
      </c>
      <c r="V539" s="7" t="str">
        <f ca="1"/>
        <v>Hardware_Error</v>
      </c>
    </row>
    <row r="540" spans="20:22" x14ac:dyDescent="0.25">
      <c r="T540" s="7" t="str">
        <f ca="1"/>
        <v>D4S</v>
      </c>
      <c r="U540" s="7" t="str">
        <f ca="1"/>
        <v>0xA002</v>
      </c>
      <c r="V540" s="7" t="str">
        <f ca="1"/>
        <v>Out_of_Focus</v>
      </c>
    </row>
    <row r="541" spans="20:22" x14ac:dyDescent="0.25">
      <c r="T541" s="7" t="str">
        <f ca="1"/>
        <v>D4S</v>
      </c>
      <c r="U541" s="7" t="str">
        <f ca="1"/>
        <v>0xA003</v>
      </c>
      <c r="V541" s="7" t="str">
        <f ca="1"/>
        <v>Change_CameraMode_Failed</v>
      </c>
    </row>
    <row r="542" spans="20:22" x14ac:dyDescent="0.25">
      <c r="T542" s="7" t="str">
        <f ca="1"/>
        <v>D4S</v>
      </c>
      <c r="U542" s="7" t="str">
        <f ca="1"/>
        <v>0xA004</v>
      </c>
      <c r="V542" s="7" t="str">
        <f ca="1"/>
        <v>Invalid_Status</v>
      </c>
    </row>
    <row r="543" spans="20:22" x14ac:dyDescent="0.25">
      <c r="T543" s="7" t="str">
        <f ca="1"/>
        <v>D4S</v>
      </c>
      <c r="U543" s="7" t="str">
        <f ca="1"/>
        <v>0xA006</v>
      </c>
      <c r="V543" s="7" t="str">
        <f ca="1"/>
        <v>Wb_Preset_Error</v>
      </c>
    </row>
    <row r="544" spans="20:22" x14ac:dyDescent="0.25">
      <c r="T544" s="7" t="str">
        <f ca="1"/>
        <v>D4S</v>
      </c>
      <c r="U544" s="7" t="str">
        <f ca="1"/>
        <v>0xA007</v>
      </c>
      <c r="V544" s="7" t="str">
        <f ca="1"/>
        <v>Dust_Reference_Error</v>
      </c>
    </row>
    <row r="545" spans="20:22" x14ac:dyDescent="0.25">
      <c r="T545" s="7" t="str">
        <f ca="1"/>
        <v>D4S</v>
      </c>
      <c r="U545" s="7" t="str">
        <f ca="1"/>
        <v>0xA008</v>
      </c>
      <c r="V545" s="7" t="str">
        <f ca="1"/>
        <v>Shutter_Speed_Bulb</v>
      </c>
    </row>
    <row r="546" spans="20:22" x14ac:dyDescent="0.25">
      <c r="T546" s="7" t="str">
        <f ca="1"/>
        <v>D4S</v>
      </c>
      <c r="U546" s="7" t="str">
        <f ca="1"/>
        <v>0xA009</v>
      </c>
      <c r="V546" s="7" t="str">
        <f ca="1"/>
        <v>MirrorUp_Sequence</v>
      </c>
    </row>
    <row r="547" spans="20:22" x14ac:dyDescent="0.25">
      <c r="T547" s="7" t="str">
        <f ca="1"/>
        <v>D4S</v>
      </c>
      <c r="U547" s="7" t="str">
        <f ca="1"/>
        <v>0xA00A</v>
      </c>
      <c r="V547" s="7" t="str">
        <f ca="1"/>
        <v>CameraMode_Not_Adjust_Fnumber</v>
      </c>
    </row>
    <row r="548" spans="20:22" x14ac:dyDescent="0.25">
      <c r="T548" s="7" t="str">
        <f ca="1"/>
        <v>D4S</v>
      </c>
      <c r="U548" s="7" t="str">
        <f ca="1"/>
        <v>0xA00B</v>
      </c>
      <c r="V548" s="7" t="str">
        <f ca="1"/>
        <v>Not_LiveView</v>
      </c>
    </row>
    <row r="549" spans="20:22" x14ac:dyDescent="0.25">
      <c r="T549" s="7" t="str">
        <f ca="1"/>
        <v>D4S</v>
      </c>
      <c r="U549" s="7" t="str">
        <f ca="1"/>
        <v>0xA00C</v>
      </c>
      <c r="V549" s="7" t="str">
        <f ca="1"/>
        <v>MfDrive_Step_End</v>
      </c>
    </row>
    <row r="550" spans="20:22" x14ac:dyDescent="0.25">
      <c r="T550" s="7" t="str">
        <f ca="1"/>
        <v>D4S</v>
      </c>
      <c r="U550" s="7" t="str">
        <f ca="1"/>
        <v>0xA00E</v>
      </c>
      <c r="V550" s="7" t="str">
        <f ca="1"/>
        <v>MfDrive_Step_</v>
      </c>
    </row>
    <row r="551" spans="20:22" x14ac:dyDescent="0.25">
      <c r="T551" s="7" t="str">
        <f ca="1"/>
        <v>D4S</v>
      </c>
      <c r="U551" s="7" t="str">
        <f ca="1"/>
        <v>0xA00F</v>
      </c>
      <c r="V551" s="7" t="str">
        <f ca="1"/>
        <v>No_FullHD_Present</v>
      </c>
    </row>
    <row r="552" spans="20:22" x14ac:dyDescent="0.25">
      <c r="T552" s="7" t="str">
        <f ca="1"/>
        <v>D4S</v>
      </c>
      <c r="U552" s="7" t="str">
        <f ca="1"/>
        <v>0xA021</v>
      </c>
      <c r="V552" s="7" t="str">
        <f ca="1"/>
        <v>Store_Error</v>
      </c>
    </row>
    <row r="553" spans="20:22" x14ac:dyDescent="0.25">
      <c r="T553" s="7" t="str">
        <f ca="1"/>
        <v>D4S</v>
      </c>
      <c r="U553" s="7" t="str">
        <f ca="1"/>
        <v>0xA022</v>
      </c>
      <c r="V553" s="7" t="str">
        <f ca="1"/>
        <v>Store_Unformatted</v>
      </c>
    </row>
    <row r="554" spans="20:22" x14ac:dyDescent="0.25">
      <c r="T554" s="7" t="str">
        <f ca="1"/>
        <v>D4S</v>
      </c>
      <c r="U554" s="7" t="str">
        <f ca="1"/>
        <v>0xA200</v>
      </c>
      <c r="V554" s="7" t="str">
        <f ca="1"/>
        <v>Bulb_Release_Busy</v>
      </c>
    </row>
    <row r="555" spans="20:22" x14ac:dyDescent="0.25">
      <c r="T555" s="7" t="str">
        <f ca="1"/>
        <v>D4S</v>
      </c>
      <c r="U555" s="7" t="str">
        <f ca="1"/>
        <v>0xA201</v>
      </c>
      <c r="V555" s="7" t="str">
        <f ca="1"/>
        <v>Silent_Release_Busy</v>
      </c>
    </row>
    <row r="556" spans="20:22" x14ac:dyDescent="0.25">
      <c r="T556" s="7" t="str">
        <f ca="1"/>
        <v>D4S</v>
      </c>
      <c r="U556" s="7" t="str">
        <f ca="1"/>
        <v>0xA202</v>
      </c>
      <c r="V556" s="7" t="str">
        <f ca="1"/>
        <v>MovieFrame_Release_Busy</v>
      </c>
    </row>
    <row r="557" spans="20:22" x14ac:dyDescent="0.25">
      <c r="T557" s="7" t="str">
        <f ca="1"/>
        <v>D4S</v>
      </c>
      <c r="U557" s="7" t="str">
        <f ca="1"/>
        <v>0xA204</v>
      </c>
      <c r="V557" s="7" t="str">
        <f ca="1"/>
        <v>Shutter_Speed_Time</v>
      </c>
    </row>
    <row r="558" spans="20:22" x14ac:dyDescent="0.25">
      <c r="T558" s="7" t="str">
        <f ca="1"/>
        <v>D4S</v>
      </c>
      <c r="U558" s="7" t="str">
        <f ca="1"/>
        <v>0xA801</v>
      </c>
      <c r="V558" s="7" t="str">
        <f ca="1"/>
        <v>Invalid_ObjectPropCode</v>
      </c>
    </row>
    <row r="559" spans="20:22" x14ac:dyDescent="0.25">
      <c r="T559" s="7" t="str">
        <f ca="1"/>
        <v>D4S</v>
      </c>
      <c r="U559" s="7" t="str">
        <f ca="1"/>
        <v>0xA802</v>
      </c>
      <c r="V559" s="7" t="str">
        <f ca="1"/>
        <v>Invalid_ObjectProp_Format</v>
      </c>
    </row>
    <row r="560" spans="20:22" x14ac:dyDescent="0.25">
      <c r="T560" s="7" t="str">
        <f ca="1"/>
        <v>D4</v>
      </c>
      <c r="U560" s="7" t="str">
        <f ca="1"/>
        <v>0x2001</v>
      </c>
      <c r="V560" s="7" t="str">
        <f ca="1"/>
        <v>OK</v>
      </c>
    </row>
    <row r="561" spans="20:22" x14ac:dyDescent="0.25">
      <c r="T561" s="7" t="str">
        <f ca="1"/>
        <v>D4</v>
      </c>
      <c r="U561" s="7" t="str">
        <f ca="1"/>
        <v>0x2002</v>
      </c>
      <c r="V561" s="7" t="str">
        <f ca="1"/>
        <v>General_Error</v>
      </c>
    </row>
    <row r="562" spans="20:22" x14ac:dyDescent="0.25">
      <c r="T562" s="7" t="str">
        <f ca="1"/>
        <v>D4</v>
      </c>
      <c r="U562" s="7" t="str">
        <f ca="1"/>
        <v>0x2003</v>
      </c>
      <c r="V562" s="7" t="str">
        <f ca="1"/>
        <v>Session_Not_Open</v>
      </c>
    </row>
    <row r="563" spans="20:22" x14ac:dyDescent="0.25">
      <c r="T563" s="7" t="str">
        <f ca="1"/>
        <v>D4</v>
      </c>
      <c r="U563" s="7" t="str">
        <f ca="1"/>
        <v>0x2004</v>
      </c>
      <c r="V563" s="7" t="str">
        <f ca="1"/>
        <v>Invalid_TransactionID</v>
      </c>
    </row>
    <row r="564" spans="20:22" x14ac:dyDescent="0.25">
      <c r="T564" s="7" t="str">
        <f ca="1"/>
        <v>D4</v>
      </c>
      <c r="U564" s="7" t="str">
        <f ca="1"/>
        <v>0x2005</v>
      </c>
      <c r="V564" s="7" t="str">
        <f ca="1"/>
        <v>Operation_Not_Supported</v>
      </c>
    </row>
    <row r="565" spans="20:22" x14ac:dyDescent="0.25">
      <c r="T565" s="7" t="str">
        <f ca="1"/>
        <v>D4</v>
      </c>
      <c r="U565" s="7" t="str">
        <f ca="1"/>
        <v>0x2006</v>
      </c>
      <c r="V565" s="7" t="str">
        <f ca="1"/>
        <v>Parameter_Not_Supported</v>
      </c>
    </row>
    <row r="566" spans="20:22" x14ac:dyDescent="0.25">
      <c r="T566" s="7" t="str">
        <f ca="1"/>
        <v>D4</v>
      </c>
      <c r="U566" s="7" t="str">
        <f ca="1"/>
        <v>0x2007</v>
      </c>
      <c r="V566" s="7" t="str">
        <f ca="1"/>
        <v>Incomplete_Transfer</v>
      </c>
    </row>
    <row r="567" spans="20:22" x14ac:dyDescent="0.25">
      <c r="T567" s="7" t="str">
        <f ca="1"/>
        <v>D4</v>
      </c>
      <c r="U567" s="7" t="str">
        <f ca="1"/>
        <v>0x2008</v>
      </c>
      <c r="V567" s="7" t="str">
        <f ca="1"/>
        <v>Invalid_StorageID</v>
      </c>
    </row>
    <row r="568" spans="20:22" x14ac:dyDescent="0.25">
      <c r="T568" s="7" t="str">
        <f ca="1"/>
        <v>D4</v>
      </c>
      <c r="U568" s="7" t="str">
        <f ca="1"/>
        <v>0x2009</v>
      </c>
      <c r="V568" s="7" t="str">
        <f ca="1"/>
        <v>Invalid_Object_Handle</v>
      </c>
    </row>
    <row r="569" spans="20:22" x14ac:dyDescent="0.25">
      <c r="T569" s="7" t="str">
        <f ca="1"/>
        <v>D4</v>
      </c>
      <c r="U569" s="7" t="str">
        <f ca="1"/>
        <v>0x200A</v>
      </c>
      <c r="V569" s="7" t="str">
        <f ca="1"/>
        <v>DeviceProp_Not_Supported</v>
      </c>
    </row>
    <row r="570" spans="20:22" x14ac:dyDescent="0.25">
      <c r="T570" s="7" t="str">
        <f ca="1"/>
        <v>D4</v>
      </c>
      <c r="U570" s="7" t="str">
        <f ca="1"/>
        <v>0x200B</v>
      </c>
      <c r="V570" s="7" t="str">
        <f ca="1"/>
        <v>Invalid_ObjectFormatCode</v>
      </c>
    </row>
    <row r="571" spans="20:22" x14ac:dyDescent="0.25">
      <c r="T571" s="7" t="str">
        <f ca="1"/>
        <v>D4</v>
      </c>
      <c r="U571" s="7" t="str">
        <f ca="1"/>
        <v>0x200C</v>
      </c>
      <c r="V571" s="7" t="str">
        <f ca="1"/>
        <v>Store_Full</v>
      </c>
    </row>
    <row r="572" spans="20:22" x14ac:dyDescent="0.25">
      <c r="T572" s="7" t="str">
        <f ca="1"/>
        <v>D4</v>
      </c>
      <c r="U572" s="7" t="str">
        <f ca="1"/>
        <v>0x200D</v>
      </c>
      <c r="V572" s="7" t="str">
        <f ca="1"/>
        <v>Object_Write_Protect</v>
      </c>
    </row>
    <row r="573" spans="20:22" x14ac:dyDescent="0.25">
      <c r="T573" s="7" t="str">
        <f ca="1"/>
        <v>D4</v>
      </c>
      <c r="U573" s="7" t="str">
        <f ca="1"/>
        <v>0x200E</v>
      </c>
      <c r="V573" s="7" t="str">
        <f ca="1"/>
        <v>Store_Read_Only</v>
      </c>
    </row>
    <row r="574" spans="20:22" x14ac:dyDescent="0.25">
      <c r="T574" s="7" t="str">
        <f ca="1"/>
        <v>D4</v>
      </c>
      <c r="U574" s="7" t="str">
        <f ca="1"/>
        <v>0x200F</v>
      </c>
      <c r="V574" s="7" t="str">
        <f ca="1"/>
        <v>Access_Denied</v>
      </c>
    </row>
    <row r="575" spans="20:22" x14ac:dyDescent="0.25">
      <c r="T575" s="7" t="str">
        <f ca="1"/>
        <v>D4</v>
      </c>
      <c r="U575" s="7" t="str">
        <f ca="1"/>
        <v>0x2010</v>
      </c>
      <c r="V575" s="7" t="str">
        <f ca="1"/>
        <v>No_Thumbnail_Present</v>
      </c>
    </row>
    <row r="576" spans="20:22" x14ac:dyDescent="0.25">
      <c r="T576" s="7" t="str">
        <f ca="1"/>
        <v>D4</v>
      </c>
      <c r="U576" s="7" t="str">
        <f ca="1"/>
        <v>0x2012</v>
      </c>
      <c r="V576" s="7" t="str">
        <f ca="1"/>
        <v>Partial_Deletion</v>
      </c>
    </row>
    <row r="577" spans="20:22" x14ac:dyDescent="0.25">
      <c r="T577" s="7" t="str">
        <f ca="1"/>
        <v>D4</v>
      </c>
      <c r="U577" s="7" t="str">
        <f ca="1"/>
        <v>0x2013</v>
      </c>
      <c r="V577" s="7" t="str">
        <f ca="1"/>
        <v>Store_Not_Available</v>
      </c>
    </row>
    <row r="578" spans="20:22" x14ac:dyDescent="0.25">
      <c r="T578" s="7" t="str">
        <f ca="1"/>
        <v>D4</v>
      </c>
      <c r="U578" s="7" t="str">
        <f ca="1"/>
        <v>0x2014</v>
      </c>
      <c r="V578" s="7" t="str">
        <f ca="1"/>
        <v>Specification_By_Format_Unsupported</v>
      </c>
    </row>
    <row r="579" spans="20:22" x14ac:dyDescent="0.25">
      <c r="T579" s="7" t="str">
        <f ca="1"/>
        <v>D4</v>
      </c>
      <c r="U579" s="7" t="str">
        <f ca="1"/>
        <v>0x2015</v>
      </c>
      <c r="V579" s="7" t="str">
        <f ca="1"/>
        <v>No_Valid_ObjectInfo</v>
      </c>
    </row>
    <row r="580" spans="20:22" x14ac:dyDescent="0.25">
      <c r="T580" s="7" t="str">
        <f ca="1"/>
        <v>D4</v>
      </c>
      <c r="U580" s="7" t="str">
        <f ca="1"/>
        <v>0x2019</v>
      </c>
      <c r="V580" s="7" t="str">
        <f ca="1"/>
        <v>Device_Busy</v>
      </c>
    </row>
    <row r="581" spans="20:22" x14ac:dyDescent="0.25">
      <c r="T581" s="7" t="str">
        <f ca="1"/>
        <v>D4</v>
      </c>
      <c r="U581" s="7" t="str">
        <f ca="1"/>
        <v>0x201A</v>
      </c>
      <c r="V581" s="7" t="str">
        <f ca="1"/>
        <v>Invalid_Parent_Object</v>
      </c>
    </row>
    <row r="582" spans="20:22" x14ac:dyDescent="0.25">
      <c r="T582" s="7" t="str">
        <f ca="1"/>
        <v>D4</v>
      </c>
      <c r="U582" s="7" t="str">
        <f ca="1"/>
        <v>0x201B</v>
      </c>
      <c r="V582" s="7" t="str">
        <f ca="1"/>
        <v>Invalid_DeviceProp_Format</v>
      </c>
    </row>
    <row r="583" spans="20:22" x14ac:dyDescent="0.25">
      <c r="T583" s="7" t="str">
        <f ca="1"/>
        <v>D4</v>
      </c>
      <c r="U583" s="7" t="str">
        <f ca="1"/>
        <v>0x201C</v>
      </c>
      <c r="V583" s="7" t="str">
        <f ca="1"/>
        <v>Invalid_DeviceProp_Value</v>
      </c>
    </row>
    <row r="584" spans="20:22" x14ac:dyDescent="0.25">
      <c r="T584" s="7" t="str">
        <f ca="1"/>
        <v>D4</v>
      </c>
      <c r="U584" s="7" t="str">
        <f ca="1"/>
        <v>0x201D</v>
      </c>
      <c r="V584" s="7" t="str">
        <f ca="1"/>
        <v>Invalid_Parameter</v>
      </c>
    </row>
    <row r="585" spans="20:22" x14ac:dyDescent="0.25">
      <c r="T585" s="7" t="str">
        <f ca="1"/>
        <v>D4</v>
      </c>
      <c r="U585" s="7" t="str">
        <f ca="1"/>
        <v>0x201E</v>
      </c>
      <c r="V585" s="7" t="str">
        <f ca="1"/>
        <v>Session_Already_Open</v>
      </c>
    </row>
    <row r="586" spans="20:22" x14ac:dyDescent="0.25">
      <c r="T586" s="7" t="str">
        <f ca="1"/>
        <v>D4</v>
      </c>
      <c r="U586" s="7" t="str">
        <f ca="1"/>
        <v>0x2020</v>
      </c>
      <c r="V586" s="7" t="str">
        <f ca="1"/>
        <v>Specification_of_Destination_Unsupported</v>
      </c>
    </row>
    <row r="587" spans="20:22" x14ac:dyDescent="0.25">
      <c r="T587" s="7" t="str">
        <f ca="1"/>
        <v>D4</v>
      </c>
      <c r="U587" s="7" t="str">
        <f ca="1"/>
        <v>0xA001</v>
      </c>
      <c r="V587" s="7" t="str">
        <f ca="1"/>
        <v>Hardware_Error</v>
      </c>
    </row>
    <row r="588" spans="20:22" x14ac:dyDescent="0.25">
      <c r="T588" s="7" t="str">
        <f ca="1"/>
        <v>D4</v>
      </c>
      <c r="U588" s="7" t="str">
        <f ca="1"/>
        <v>0xA002</v>
      </c>
      <c r="V588" s="7" t="str">
        <f ca="1"/>
        <v>Out_of_Focus</v>
      </c>
    </row>
    <row r="589" spans="20:22" x14ac:dyDescent="0.25">
      <c r="T589" s="7" t="str">
        <f ca="1"/>
        <v>D4</v>
      </c>
      <c r="U589" s="7" t="str">
        <f ca="1"/>
        <v>0xA003</v>
      </c>
      <c r="V589" s="7" t="str">
        <f ca="1"/>
        <v>Change_CameraMode_Failed</v>
      </c>
    </row>
    <row r="590" spans="20:22" x14ac:dyDescent="0.25">
      <c r="T590" s="7" t="str">
        <f ca="1"/>
        <v>D4</v>
      </c>
      <c r="U590" s="7" t="str">
        <f ca="1"/>
        <v>0xA004</v>
      </c>
      <c r="V590" s="7" t="str">
        <f ca="1"/>
        <v>Invalid_Status</v>
      </c>
    </row>
    <row r="591" spans="20:22" x14ac:dyDescent="0.25">
      <c r="T591" s="7" t="str">
        <f ca="1"/>
        <v>D4</v>
      </c>
      <c r="U591" s="7" t="str">
        <f ca="1"/>
        <v>0xA005</v>
      </c>
      <c r="V591" s="7" t="str">
        <f ca="1"/>
        <v>Set_Property_Not_Support</v>
      </c>
    </row>
    <row r="592" spans="20:22" x14ac:dyDescent="0.25">
      <c r="T592" s="7" t="str">
        <f ca="1"/>
        <v>D4</v>
      </c>
      <c r="U592" s="7" t="str">
        <f ca="1"/>
        <v>0xA006</v>
      </c>
      <c r="V592" s="7" t="str">
        <f ca="1"/>
        <v>Wb_Preset_Error</v>
      </c>
    </row>
    <row r="593" spans="20:22" x14ac:dyDescent="0.25">
      <c r="T593" s="7" t="str">
        <f ca="1"/>
        <v>D4</v>
      </c>
      <c r="U593" s="7" t="str">
        <f ca="1"/>
        <v>0xA007</v>
      </c>
      <c r="V593" s="7" t="str">
        <f ca="1"/>
        <v>Dust_Reference_Error</v>
      </c>
    </row>
    <row r="594" spans="20:22" x14ac:dyDescent="0.25">
      <c r="T594" s="7" t="str">
        <f ca="1"/>
        <v>D4</v>
      </c>
      <c r="U594" s="7" t="str">
        <f ca="1"/>
        <v>0xA008</v>
      </c>
      <c r="V594" s="7" t="str">
        <f ca="1"/>
        <v>Shutter_Speed_Bulb</v>
      </c>
    </row>
    <row r="595" spans="20:22" x14ac:dyDescent="0.25">
      <c r="T595" s="7" t="str">
        <f ca="1"/>
        <v>D4</v>
      </c>
      <c r="U595" s="7" t="str">
        <f ca="1"/>
        <v>0xA009</v>
      </c>
      <c r="V595" s="7" t="str">
        <f ca="1"/>
        <v>MirrorUp_Sequence</v>
      </c>
    </row>
    <row r="596" spans="20:22" x14ac:dyDescent="0.25">
      <c r="T596" s="7" t="str">
        <f ca="1"/>
        <v>D4</v>
      </c>
      <c r="U596" s="7" t="str">
        <f ca="1"/>
        <v>0xA00A</v>
      </c>
      <c r="V596" s="7" t="str">
        <f ca="1"/>
        <v>CameraMode_Not_Adjust_Fnumber</v>
      </c>
    </row>
    <row r="597" spans="20:22" x14ac:dyDescent="0.25">
      <c r="T597" s="7" t="str">
        <f ca="1"/>
        <v>D4</v>
      </c>
      <c r="U597" s="7" t="str">
        <f ca="1"/>
        <v>0xA00B</v>
      </c>
      <c r="V597" s="7" t="str">
        <f ca="1"/>
        <v>Not_LiveView</v>
      </c>
    </row>
    <row r="598" spans="20:22" x14ac:dyDescent="0.25">
      <c r="T598" s="7" t="str">
        <f ca="1"/>
        <v>D4</v>
      </c>
      <c r="U598" s="7" t="str">
        <f ca="1"/>
        <v>0xA00C</v>
      </c>
      <c r="V598" s="7" t="str">
        <f ca="1"/>
        <v>MfDrive_Step_End</v>
      </c>
    </row>
    <row r="599" spans="20:22" x14ac:dyDescent="0.25">
      <c r="T599" s="7" t="str">
        <f ca="1"/>
        <v>D4</v>
      </c>
      <c r="U599" s="7" t="str">
        <f ca="1"/>
        <v>0xA00E</v>
      </c>
      <c r="V599" s="7" t="str">
        <f ca="1"/>
        <v>MfDrive_Step_</v>
      </c>
    </row>
    <row r="600" spans="20:22" x14ac:dyDescent="0.25">
      <c r="T600" s="7" t="str">
        <f ca="1"/>
        <v>D4</v>
      </c>
      <c r="U600" s="7" t="str">
        <f ca="1"/>
        <v>0xA021</v>
      </c>
      <c r="V600" s="7" t="str">
        <f ca="1"/>
        <v>Store_Error</v>
      </c>
    </row>
    <row r="601" spans="20:22" x14ac:dyDescent="0.25">
      <c r="T601" s="7" t="str">
        <f ca="1"/>
        <v>D4</v>
      </c>
      <c r="U601" s="7" t="str">
        <f ca="1"/>
        <v>0xA022</v>
      </c>
      <c r="V601" s="7" t="str">
        <f ca="1"/>
        <v>Store_Unformatted</v>
      </c>
    </row>
    <row r="602" spans="20:22" x14ac:dyDescent="0.25">
      <c r="T602" s="7" t="str">
        <f ca="1"/>
        <v>D4</v>
      </c>
      <c r="U602" s="7" t="str">
        <f ca="1"/>
        <v>0xA200</v>
      </c>
      <c r="V602" s="7" t="str">
        <f ca="1"/>
        <v>Bulb_Release_Busy</v>
      </c>
    </row>
    <row r="603" spans="20:22" x14ac:dyDescent="0.25">
      <c r="T603" s="7" t="str">
        <f ca="1"/>
        <v>D4</v>
      </c>
      <c r="U603" s="7" t="str">
        <f ca="1"/>
        <v>0xA201</v>
      </c>
      <c r="V603" s="7" t="str">
        <f ca="1"/>
        <v>Silent_Release_Busy</v>
      </c>
    </row>
    <row r="604" spans="20:22" x14ac:dyDescent="0.25">
      <c r="T604" s="7" t="str">
        <f ca="1"/>
        <v>D4</v>
      </c>
      <c r="U604" s="7" t="str">
        <f ca="1"/>
        <v>0xA202</v>
      </c>
      <c r="V604" s="7" t="str">
        <f ca="1"/>
        <v>MovieFrame_Release_Busy</v>
      </c>
    </row>
    <row r="605" spans="20:22" x14ac:dyDescent="0.25">
      <c r="T605" s="7" t="str">
        <f ca="1"/>
        <v>D4</v>
      </c>
      <c r="U605" s="7" t="str">
        <f ca="1"/>
        <v>0xA801</v>
      </c>
      <c r="V605" s="7" t="str">
        <f ca="1"/>
        <v>Invalid_ObjectPropCode</v>
      </c>
    </row>
    <row r="606" spans="20:22" x14ac:dyDescent="0.25">
      <c r="T606" s="7" t="str">
        <f ca="1"/>
        <v>D4</v>
      </c>
      <c r="U606" s="7" t="str">
        <f ca="1"/>
        <v>0xA802</v>
      </c>
      <c r="V606" s="7" t="str">
        <f ca="1"/>
        <v>Invalid_ObjectProp_Format</v>
      </c>
    </row>
    <row r="607" spans="20:22" x14ac:dyDescent="0.25">
      <c r="T607" s="7" t="str">
        <f ca="1"/>
        <v>D3X</v>
      </c>
      <c r="U607" s="7" t="str">
        <f ca="1"/>
        <v>0x2001</v>
      </c>
      <c r="V607" s="7" t="str">
        <f ca="1"/>
        <v>OK</v>
      </c>
    </row>
    <row r="608" spans="20:22" x14ac:dyDescent="0.25">
      <c r="T608" s="7" t="str">
        <f ca="1"/>
        <v>D3X</v>
      </c>
      <c r="U608" s="7" t="str">
        <f ca="1"/>
        <v>0x2002</v>
      </c>
      <c r="V608" s="7" t="str">
        <f ca="1"/>
        <v>General_Error</v>
      </c>
    </row>
    <row r="609" spans="20:22" x14ac:dyDescent="0.25">
      <c r="T609" s="7" t="str">
        <f ca="1"/>
        <v>D3X</v>
      </c>
      <c r="U609" s="7" t="str">
        <f ca="1"/>
        <v>0x2003</v>
      </c>
      <c r="V609" s="7" t="str">
        <f ca="1"/>
        <v>Session_Not_Open</v>
      </c>
    </row>
    <row r="610" spans="20:22" x14ac:dyDescent="0.25">
      <c r="T610" s="7" t="str">
        <f ca="1"/>
        <v>D3X</v>
      </c>
      <c r="U610" s="7" t="str">
        <f ca="1"/>
        <v>0x2004</v>
      </c>
      <c r="V610" s="7" t="str">
        <f ca="1"/>
        <v>Invalid_TransactionID</v>
      </c>
    </row>
    <row r="611" spans="20:22" x14ac:dyDescent="0.25">
      <c r="T611" s="7" t="str">
        <f ca="1"/>
        <v>D3X</v>
      </c>
      <c r="U611" s="7" t="str">
        <f ca="1"/>
        <v>0x2005</v>
      </c>
      <c r="V611" s="7" t="str">
        <f ca="1"/>
        <v>Operation_Not_Supported</v>
      </c>
    </row>
    <row r="612" spans="20:22" x14ac:dyDescent="0.25">
      <c r="T612" s="7" t="str">
        <f ca="1"/>
        <v>D3X</v>
      </c>
      <c r="U612" s="7" t="str">
        <f ca="1"/>
        <v>0x2006</v>
      </c>
      <c r="V612" s="7" t="str">
        <f ca="1"/>
        <v>Parameter_Not_Supported</v>
      </c>
    </row>
    <row r="613" spans="20:22" x14ac:dyDescent="0.25">
      <c r="T613" s="7" t="str">
        <f ca="1"/>
        <v>D3X</v>
      </c>
      <c r="U613" s="7" t="str">
        <f ca="1"/>
        <v>0x2007</v>
      </c>
      <c r="V613" s="7" t="str">
        <f ca="1"/>
        <v>Incomplete_Transfer</v>
      </c>
    </row>
    <row r="614" spans="20:22" x14ac:dyDescent="0.25">
      <c r="T614" s="7" t="str">
        <f ca="1"/>
        <v>D3X</v>
      </c>
      <c r="U614" s="7" t="str">
        <f ca="1"/>
        <v>0x2008</v>
      </c>
      <c r="V614" s="7" t="str">
        <f ca="1"/>
        <v>Invalid_StorageID</v>
      </c>
    </row>
    <row r="615" spans="20:22" x14ac:dyDescent="0.25">
      <c r="T615" s="7" t="str">
        <f ca="1"/>
        <v>D3X</v>
      </c>
      <c r="U615" s="7" t="str">
        <f ca="1"/>
        <v>0x2009</v>
      </c>
      <c r="V615" s="7" t="str">
        <f ca="1"/>
        <v>Invalid_Object_Handle</v>
      </c>
    </row>
    <row r="616" spans="20:22" x14ac:dyDescent="0.25">
      <c r="T616" s="7" t="str">
        <f ca="1"/>
        <v>D3X</v>
      </c>
      <c r="U616" s="7" t="str">
        <f ca="1"/>
        <v>0x200A</v>
      </c>
      <c r="V616" s="7" t="str">
        <f ca="1"/>
        <v>DeviceProp_Not_Supported</v>
      </c>
    </row>
    <row r="617" spans="20:22" x14ac:dyDescent="0.25">
      <c r="T617" s="7" t="str">
        <f ca="1"/>
        <v>D3X</v>
      </c>
      <c r="U617" s="7" t="str">
        <f ca="1"/>
        <v>0x200B</v>
      </c>
      <c r="V617" s="7" t="str">
        <f ca="1"/>
        <v>Invalid_ObjectFormatCode</v>
      </c>
    </row>
    <row r="618" spans="20:22" x14ac:dyDescent="0.25">
      <c r="T618" s="7" t="str">
        <f ca="1"/>
        <v>D3X</v>
      </c>
      <c r="U618" s="7" t="str">
        <f ca="1"/>
        <v>0x200C</v>
      </c>
      <c r="V618" s="7" t="str">
        <f ca="1"/>
        <v>Store_Full</v>
      </c>
    </row>
    <row r="619" spans="20:22" x14ac:dyDescent="0.25">
      <c r="T619" s="7" t="str">
        <f ca="1"/>
        <v>D3X</v>
      </c>
      <c r="U619" s="7" t="str">
        <f ca="1"/>
        <v>0x200D</v>
      </c>
      <c r="V619" s="7" t="str">
        <f ca="1"/>
        <v>Object_Write_Protect</v>
      </c>
    </row>
    <row r="620" spans="20:22" x14ac:dyDescent="0.25">
      <c r="T620" s="7" t="str">
        <f ca="1"/>
        <v>D3X</v>
      </c>
      <c r="U620" s="7" t="str">
        <f ca="1"/>
        <v>0x200E</v>
      </c>
      <c r="V620" s="7" t="str">
        <f ca="1"/>
        <v>Store_Read_Only</v>
      </c>
    </row>
    <row r="621" spans="20:22" x14ac:dyDescent="0.25">
      <c r="T621" s="7" t="str">
        <f ca="1"/>
        <v>D3X</v>
      </c>
      <c r="U621" s="7" t="str">
        <f ca="1"/>
        <v>0x200F</v>
      </c>
      <c r="V621" s="7" t="str">
        <f ca="1"/>
        <v>Access_Denied</v>
      </c>
    </row>
    <row r="622" spans="20:22" x14ac:dyDescent="0.25">
      <c r="T622" s="7" t="str">
        <f ca="1"/>
        <v>D3X</v>
      </c>
      <c r="U622" s="7" t="str">
        <f ca="1"/>
        <v>0x2010</v>
      </c>
      <c r="V622" s="7" t="str">
        <f ca="1"/>
        <v>No_Thumbnail_Present</v>
      </c>
    </row>
    <row r="623" spans="20:22" x14ac:dyDescent="0.25">
      <c r="T623" s="7" t="str">
        <f ca="1"/>
        <v>D3X</v>
      </c>
      <c r="U623" s="7" t="str">
        <f ca="1"/>
        <v>0x2012</v>
      </c>
      <c r="V623" s="7" t="str">
        <f ca="1"/>
        <v>Partial_Deletion</v>
      </c>
    </row>
    <row r="624" spans="20:22" x14ac:dyDescent="0.25">
      <c r="T624" s="7" t="str">
        <f ca="1"/>
        <v>D3X</v>
      </c>
      <c r="U624" s="7" t="str">
        <f ca="1"/>
        <v>0x2013</v>
      </c>
      <c r="V624" s="7" t="str">
        <f ca="1"/>
        <v>Store_Not_Available</v>
      </c>
    </row>
    <row r="625" spans="20:22" x14ac:dyDescent="0.25">
      <c r="T625" s="7" t="str">
        <f ca="1"/>
        <v>D3X</v>
      </c>
      <c r="U625" s="7" t="str">
        <f ca="1"/>
        <v>0x2014</v>
      </c>
      <c r="V625" s="7" t="str">
        <f ca="1"/>
        <v>Specification_By_Format_Unsupported</v>
      </c>
    </row>
    <row r="626" spans="20:22" x14ac:dyDescent="0.25">
      <c r="T626" s="7" t="str">
        <f ca="1"/>
        <v>D3X</v>
      </c>
      <c r="U626" s="7" t="str">
        <f ca="1"/>
        <v>0x2015</v>
      </c>
      <c r="V626" s="7" t="str">
        <f ca="1"/>
        <v>No_Valid_ObjectInfo</v>
      </c>
    </row>
    <row r="627" spans="20:22" x14ac:dyDescent="0.25">
      <c r="T627" s="7" t="str">
        <f ca="1"/>
        <v>D3X</v>
      </c>
      <c r="U627" s="7" t="str">
        <f ca="1"/>
        <v>0x2019</v>
      </c>
      <c r="V627" s="7" t="str">
        <f ca="1"/>
        <v>Device_Busy</v>
      </c>
    </row>
    <row r="628" spans="20:22" x14ac:dyDescent="0.25">
      <c r="T628" s="7" t="str">
        <f ca="1"/>
        <v>D3X</v>
      </c>
      <c r="U628" s="7" t="str">
        <f ca="1"/>
        <v>0x201A</v>
      </c>
      <c r="V628" s="7" t="str">
        <f ca="1"/>
        <v>Invalid_Parent_Object</v>
      </c>
    </row>
    <row r="629" spans="20:22" x14ac:dyDescent="0.25">
      <c r="T629" s="7" t="str">
        <f ca="1"/>
        <v>D3X</v>
      </c>
      <c r="U629" s="7" t="str">
        <f ca="1"/>
        <v>0x201B</v>
      </c>
      <c r="V629" s="7" t="str">
        <f ca="1"/>
        <v>Invalid_DeviceProp_Format</v>
      </c>
    </row>
    <row r="630" spans="20:22" x14ac:dyDescent="0.25">
      <c r="T630" s="7" t="str">
        <f ca="1"/>
        <v>D3X</v>
      </c>
      <c r="U630" s="7" t="str">
        <f ca="1"/>
        <v>0x201C</v>
      </c>
      <c r="V630" s="7" t="str">
        <f ca="1"/>
        <v>Invalid_DeviceProp_Value</v>
      </c>
    </row>
    <row r="631" spans="20:22" x14ac:dyDescent="0.25">
      <c r="T631" s="7" t="str">
        <f ca="1"/>
        <v>D3X</v>
      </c>
      <c r="U631" s="7" t="str">
        <f ca="1"/>
        <v>0x201D</v>
      </c>
      <c r="V631" s="7" t="str">
        <f ca="1"/>
        <v>Invalid_Parameter</v>
      </c>
    </row>
    <row r="632" spans="20:22" x14ac:dyDescent="0.25">
      <c r="T632" s="7" t="str">
        <f ca="1"/>
        <v>D3X</v>
      </c>
      <c r="U632" s="7" t="str">
        <f ca="1"/>
        <v>0x201E</v>
      </c>
      <c r="V632" s="7" t="str">
        <f ca="1"/>
        <v>Session_Already_Open</v>
      </c>
    </row>
    <row r="633" spans="20:22" x14ac:dyDescent="0.25">
      <c r="T633" s="7" t="str">
        <f ca="1"/>
        <v>D3X</v>
      </c>
      <c r="U633" s="7" t="str">
        <f ca="1"/>
        <v>0x201F</v>
      </c>
      <c r="V633" s="7" t="str">
        <f ca="1"/>
        <v>Transfer_Cancelled</v>
      </c>
    </row>
    <row r="634" spans="20:22" x14ac:dyDescent="0.25">
      <c r="T634" s="7" t="str">
        <f ca="1"/>
        <v>D3X</v>
      </c>
      <c r="U634" s="7" t="str">
        <f ca="1"/>
        <v>0x2020</v>
      </c>
      <c r="V634" s="7" t="str">
        <f ca="1"/>
        <v>Specification_of_Destination_Unsupported</v>
      </c>
    </row>
    <row r="635" spans="20:22" x14ac:dyDescent="0.25">
      <c r="T635" s="7" t="str">
        <f ca="1"/>
        <v>D3X</v>
      </c>
      <c r="U635" s="7" t="str">
        <f ca="1"/>
        <v>0xA001</v>
      </c>
      <c r="V635" s="7" t="str">
        <f ca="1"/>
        <v>Hardware_Error</v>
      </c>
    </row>
    <row r="636" spans="20:22" x14ac:dyDescent="0.25">
      <c r="T636" s="7" t="str">
        <f ca="1"/>
        <v>D3X</v>
      </c>
      <c r="U636" s="7" t="str">
        <f ca="1"/>
        <v>0xA002</v>
      </c>
      <c r="V636" s="7" t="str">
        <f ca="1"/>
        <v>Out_of_Focus</v>
      </c>
    </row>
    <row r="637" spans="20:22" x14ac:dyDescent="0.25">
      <c r="T637" s="7" t="str">
        <f ca="1"/>
        <v>D3X</v>
      </c>
      <c r="U637" s="7" t="str">
        <f ca="1"/>
        <v>0xA003</v>
      </c>
      <c r="V637" s="7" t="str">
        <f ca="1"/>
        <v>Change_CameraMode_Failed</v>
      </c>
    </row>
    <row r="638" spans="20:22" x14ac:dyDescent="0.25">
      <c r="T638" s="7" t="str">
        <f ca="1"/>
        <v>D3X</v>
      </c>
      <c r="U638" s="7" t="str">
        <f ca="1"/>
        <v>0xA004</v>
      </c>
      <c r="V638" s="7" t="str">
        <f ca="1"/>
        <v>Invalid_Status</v>
      </c>
    </row>
    <row r="639" spans="20:22" x14ac:dyDescent="0.25">
      <c r="T639" s="7" t="str">
        <f ca="1"/>
        <v>D3X</v>
      </c>
      <c r="U639" s="7" t="str">
        <f ca="1"/>
        <v>0xA005</v>
      </c>
      <c r="V639" s="7" t="str">
        <f ca="1"/>
        <v>Set_Property_Not_Support</v>
      </c>
    </row>
    <row r="640" spans="20:22" x14ac:dyDescent="0.25">
      <c r="T640" s="7" t="str">
        <f ca="1"/>
        <v>D3X</v>
      </c>
      <c r="U640" s="7" t="str">
        <f ca="1"/>
        <v>0xA006</v>
      </c>
      <c r="V640" s="7" t="str">
        <f ca="1"/>
        <v>Wb_Preset_Error</v>
      </c>
    </row>
    <row r="641" spans="20:22" x14ac:dyDescent="0.25">
      <c r="T641" s="7" t="str">
        <f ca="1"/>
        <v>D3X</v>
      </c>
      <c r="U641" s="7" t="str">
        <f ca="1"/>
        <v>0xA007</v>
      </c>
      <c r="V641" s="7" t="str">
        <f ca="1"/>
        <v>Dust_Reference_Error</v>
      </c>
    </row>
    <row r="642" spans="20:22" x14ac:dyDescent="0.25">
      <c r="T642" s="7" t="str">
        <f ca="1"/>
        <v>D3X</v>
      </c>
      <c r="U642" s="7" t="str">
        <f ca="1"/>
        <v>0xA008</v>
      </c>
      <c r="V642" s="7" t="str">
        <f ca="1"/>
        <v>Shutter_Speed_Bulb</v>
      </c>
    </row>
    <row r="643" spans="20:22" x14ac:dyDescent="0.25">
      <c r="T643" s="7" t="str">
        <f ca="1"/>
        <v>D3X</v>
      </c>
      <c r="U643" s="7" t="str">
        <f ca="1"/>
        <v>0xA009</v>
      </c>
      <c r="V643" s="7" t="str">
        <f ca="1"/>
        <v>MirrorUp_Sequence</v>
      </c>
    </row>
    <row r="644" spans="20:22" x14ac:dyDescent="0.25">
      <c r="T644" s="7" t="str">
        <f ca="1"/>
        <v>D3X</v>
      </c>
      <c r="U644" s="7" t="str">
        <f ca="1"/>
        <v>0xA00A</v>
      </c>
      <c r="V644" s="7" t="str">
        <f ca="1"/>
        <v>CameraMode_Not_Adjust_Fnumber</v>
      </c>
    </row>
    <row r="645" spans="20:22" x14ac:dyDescent="0.25">
      <c r="T645" s="7" t="str">
        <f ca="1"/>
        <v>D3X</v>
      </c>
      <c r="U645" s="7" t="str">
        <f ca="1"/>
        <v>0xA00B</v>
      </c>
      <c r="V645" s="7" t="str">
        <f ca="1"/>
        <v>Not_LiveView</v>
      </c>
    </row>
    <row r="646" spans="20:22" x14ac:dyDescent="0.25">
      <c r="T646" s="7" t="str">
        <f ca="1"/>
        <v>D3X</v>
      </c>
      <c r="U646" s="7" t="str">
        <f ca="1"/>
        <v>0xA00C</v>
      </c>
      <c r="V646" s="7" t="str">
        <f ca="1"/>
        <v>MfDrive_Step_End</v>
      </c>
    </row>
    <row r="647" spans="20:22" x14ac:dyDescent="0.25">
      <c r="T647" s="7" t="str">
        <f ca="1"/>
        <v>D3X</v>
      </c>
      <c r="U647" s="7" t="str">
        <f ca="1"/>
        <v>0xA00E</v>
      </c>
      <c r="V647" s="7" t="str">
        <f ca="1"/>
        <v>MfDrive_Step_</v>
      </c>
    </row>
    <row r="648" spans="20:22" x14ac:dyDescent="0.25">
      <c r="T648" s="7" t="str">
        <f ca="1"/>
        <v>D3X</v>
      </c>
      <c r="U648" s="7" t="str">
        <f ca="1"/>
        <v>0xA801</v>
      </c>
      <c r="V648" s="7" t="str">
        <f ca="1"/>
        <v>Invalid_ObjectPropCode</v>
      </c>
    </row>
    <row r="649" spans="20:22" x14ac:dyDescent="0.25">
      <c r="T649" s="7" t="str">
        <f ca="1"/>
        <v>D3X</v>
      </c>
      <c r="U649" s="7" t="str">
        <f ca="1"/>
        <v>0xA802</v>
      </c>
      <c r="V649" s="7" t="str">
        <f ca="1"/>
        <v>Invalid_ObjectProp_Format</v>
      </c>
    </row>
    <row r="650" spans="20:22" x14ac:dyDescent="0.25">
      <c r="T650" s="7" t="str">
        <f ca="1"/>
        <v>D3X</v>
      </c>
      <c r="U650" s="7" t="str">
        <f ca="1"/>
        <v>0xA80A</v>
      </c>
      <c r="V650" s="7" t="str">
        <f ca="1"/>
        <v>ObjectProp_Not_Supported</v>
      </c>
    </row>
    <row r="651" spans="20:22" x14ac:dyDescent="0.25">
      <c r="T651" s="7" t="str">
        <f ca="1"/>
        <v>D3</v>
      </c>
      <c r="U651" s="7" t="str">
        <f ca="1"/>
        <v>0x2001</v>
      </c>
      <c r="V651" s="7" t="str">
        <f ca="1"/>
        <v>OK</v>
      </c>
    </row>
    <row r="652" spans="20:22" x14ac:dyDescent="0.25">
      <c r="T652" s="7" t="str">
        <f ca="1"/>
        <v>D3</v>
      </c>
      <c r="U652" s="7" t="str">
        <f ca="1"/>
        <v>0x2002</v>
      </c>
      <c r="V652" s="7" t="str">
        <f ca="1"/>
        <v>General_Error</v>
      </c>
    </row>
    <row r="653" spans="20:22" x14ac:dyDescent="0.25">
      <c r="T653" s="7" t="str">
        <f ca="1"/>
        <v>D3</v>
      </c>
      <c r="U653" s="7" t="str">
        <f ca="1"/>
        <v>0x2003</v>
      </c>
      <c r="V653" s="7" t="str">
        <f ca="1"/>
        <v>Session_Not_Open</v>
      </c>
    </row>
    <row r="654" spans="20:22" x14ac:dyDescent="0.25">
      <c r="T654" s="7" t="str">
        <f ca="1"/>
        <v>D3</v>
      </c>
      <c r="U654" s="7" t="str">
        <f ca="1"/>
        <v>0x2004</v>
      </c>
      <c r="V654" s="7" t="str">
        <f ca="1"/>
        <v>Invalid_TransactionID</v>
      </c>
    </row>
    <row r="655" spans="20:22" x14ac:dyDescent="0.25">
      <c r="T655" s="7" t="str">
        <f ca="1"/>
        <v>D3</v>
      </c>
      <c r="U655" s="7" t="str">
        <f ca="1"/>
        <v>0x2005</v>
      </c>
      <c r="V655" s="7" t="str">
        <f ca="1"/>
        <v>Operation_Not_Supported</v>
      </c>
    </row>
    <row r="656" spans="20:22" x14ac:dyDescent="0.25">
      <c r="T656" s="7" t="str">
        <f ca="1"/>
        <v>D3</v>
      </c>
      <c r="U656" s="7" t="str">
        <f ca="1"/>
        <v>0x2006</v>
      </c>
      <c r="V656" s="7" t="str">
        <f ca="1"/>
        <v>Parameter_Not_Supported</v>
      </c>
    </row>
    <row r="657" spans="20:22" x14ac:dyDescent="0.25">
      <c r="T657" s="7" t="str">
        <f ca="1"/>
        <v>D3</v>
      </c>
      <c r="U657" s="7" t="str">
        <f ca="1"/>
        <v>0x2007</v>
      </c>
      <c r="V657" s="7" t="str">
        <f ca="1"/>
        <v>Incomplete_Transfer</v>
      </c>
    </row>
    <row r="658" spans="20:22" x14ac:dyDescent="0.25">
      <c r="T658" s="7" t="str">
        <f ca="1"/>
        <v>D3</v>
      </c>
      <c r="U658" s="7" t="str">
        <f ca="1"/>
        <v>0x2008</v>
      </c>
      <c r="V658" s="7" t="str">
        <f ca="1"/>
        <v>Invalid_StorageID</v>
      </c>
    </row>
    <row r="659" spans="20:22" x14ac:dyDescent="0.25">
      <c r="T659" s="7" t="str">
        <f ca="1"/>
        <v>D3</v>
      </c>
      <c r="U659" s="7" t="str">
        <f ca="1"/>
        <v>0x2009</v>
      </c>
      <c r="V659" s="7" t="str">
        <f ca="1"/>
        <v>Invalid_Object_Handle</v>
      </c>
    </row>
    <row r="660" spans="20:22" x14ac:dyDescent="0.25">
      <c r="T660" s="7" t="str">
        <f ca="1"/>
        <v>D3</v>
      </c>
      <c r="U660" s="7" t="str">
        <f ca="1"/>
        <v>0x200A</v>
      </c>
      <c r="V660" s="7" t="str">
        <f ca="1"/>
        <v>DeviceProp_Not_Supported</v>
      </c>
    </row>
    <row r="661" spans="20:22" x14ac:dyDescent="0.25">
      <c r="T661" s="7" t="str">
        <f ca="1"/>
        <v>D3</v>
      </c>
      <c r="U661" s="7" t="str">
        <f ca="1"/>
        <v>0x200B</v>
      </c>
      <c r="V661" s="7" t="str">
        <f ca="1"/>
        <v>Invalid_ObjectFormatCode</v>
      </c>
    </row>
    <row r="662" spans="20:22" x14ac:dyDescent="0.25">
      <c r="T662" s="7" t="str">
        <f ca="1"/>
        <v>D3</v>
      </c>
      <c r="U662" s="7" t="str">
        <f ca="1"/>
        <v>0x200C</v>
      </c>
      <c r="V662" s="7" t="str">
        <f ca="1"/>
        <v>Store_Full</v>
      </c>
    </row>
    <row r="663" spans="20:22" x14ac:dyDescent="0.25">
      <c r="T663" s="7" t="str">
        <f ca="1"/>
        <v>D3</v>
      </c>
      <c r="U663" s="7" t="str">
        <f ca="1"/>
        <v>0x200D</v>
      </c>
      <c r="V663" s="7" t="str">
        <f ca="1"/>
        <v>Object_Write_Protect</v>
      </c>
    </row>
    <row r="664" spans="20:22" x14ac:dyDescent="0.25">
      <c r="T664" s="7" t="str">
        <f ca="1"/>
        <v>D3</v>
      </c>
      <c r="U664" s="7" t="str">
        <f ca="1"/>
        <v>0x200E</v>
      </c>
      <c r="V664" s="7" t="str">
        <f ca="1"/>
        <v>Store_Read_Only</v>
      </c>
    </row>
    <row r="665" spans="20:22" x14ac:dyDescent="0.25">
      <c r="T665" s="7" t="str">
        <f ca="1"/>
        <v>D3</v>
      </c>
      <c r="U665" s="7" t="str">
        <f ca="1"/>
        <v>0x200F</v>
      </c>
      <c r="V665" s="7" t="str">
        <f ca="1"/>
        <v>Access_Denied</v>
      </c>
    </row>
    <row r="666" spans="20:22" x14ac:dyDescent="0.25">
      <c r="T666" s="7" t="str">
        <f ca="1"/>
        <v>D3</v>
      </c>
      <c r="U666" s="7" t="str">
        <f ca="1"/>
        <v>0x2010</v>
      </c>
      <c r="V666" s="7" t="str">
        <f ca="1"/>
        <v>No_Thumbnail_Present</v>
      </c>
    </row>
    <row r="667" spans="20:22" x14ac:dyDescent="0.25">
      <c r="T667" s="7" t="str">
        <f ca="1"/>
        <v>D3</v>
      </c>
      <c r="U667" s="7" t="str">
        <f ca="1"/>
        <v>0x2012</v>
      </c>
      <c r="V667" s="7" t="str">
        <f ca="1"/>
        <v>Partial_Deletion</v>
      </c>
    </row>
    <row r="668" spans="20:22" x14ac:dyDescent="0.25">
      <c r="T668" s="7" t="str">
        <f ca="1"/>
        <v>D3</v>
      </c>
      <c r="U668" s="7" t="str">
        <f ca="1"/>
        <v>0x2013</v>
      </c>
      <c r="V668" s="7" t="str">
        <f ca="1"/>
        <v>Store_Not_Available</v>
      </c>
    </row>
    <row r="669" spans="20:22" x14ac:dyDescent="0.25">
      <c r="T669" s="7" t="str">
        <f ca="1"/>
        <v>D3</v>
      </c>
      <c r="U669" s="7" t="str">
        <f ca="1"/>
        <v>0x2014</v>
      </c>
      <c r="V669" s="7" t="str">
        <f ca="1"/>
        <v>Specification_By_Format_Unsupported</v>
      </c>
    </row>
    <row r="670" spans="20:22" x14ac:dyDescent="0.25">
      <c r="T670" s="7" t="str">
        <f ca="1"/>
        <v>D3</v>
      </c>
      <c r="U670" s="7" t="str">
        <f ca="1"/>
        <v>0x2015</v>
      </c>
      <c r="V670" s="7" t="str">
        <f ca="1"/>
        <v>No_Valid_ObjectInfo</v>
      </c>
    </row>
    <row r="671" spans="20:22" x14ac:dyDescent="0.25">
      <c r="T671" s="7" t="str">
        <f ca="1"/>
        <v>D3</v>
      </c>
      <c r="U671" s="7" t="str">
        <f ca="1"/>
        <v>0x2019</v>
      </c>
      <c r="V671" s="7" t="str">
        <f ca="1"/>
        <v>Device_Busy</v>
      </c>
    </row>
    <row r="672" spans="20:22" x14ac:dyDescent="0.25">
      <c r="T672" s="7" t="str">
        <f ca="1"/>
        <v>D3</v>
      </c>
      <c r="U672" s="7" t="str">
        <f ca="1"/>
        <v>0x201A</v>
      </c>
      <c r="V672" s="7" t="str">
        <f ca="1"/>
        <v>Invalid_Parent_Object</v>
      </c>
    </row>
    <row r="673" spans="20:22" x14ac:dyDescent="0.25">
      <c r="T673" s="7" t="str">
        <f ca="1"/>
        <v>D3</v>
      </c>
      <c r="U673" s="7" t="str">
        <f ca="1"/>
        <v>0x201B</v>
      </c>
      <c r="V673" s="7" t="str">
        <f ca="1"/>
        <v>Invalid_DeviceProp_Format</v>
      </c>
    </row>
    <row r="674" spans="20:22" x14ac:dyDescent="0.25">
      <c r="T674" s="7" t="str">
        <f ca="1"/>
        <v>D3</v>
      </c>
      <c r="U674" s="7" t="str">
        <f ca="1"/>
        <v>0x201C</v>
      </c>
      <c r="V674" s="7" t="str">
        <f ca="1"/>
        <v>Invalid_DeviceProp_Value</v>
      </c>
    </row>
    <row r="675" spans="20:22" x14ac:dyDescent="0.25">
      <c r="T675" s="7" t="str">
        <f ca="1"/>
        <v>D3</v>
      </c>
      <c r="U675" s="7" t="str">
        <f ca="1"/>
        <v>0x201D</v>
      </c>
      <c r="V675" s="7" t="str">
        <f ca="1"/>
        <v>Invalid_Parameter</v>
      </c>
    </row>
    <row r="676" spans="20:22" x14ac:dyDescent="0.25">
      <c r="T676" s="7" t="str">
        <f ca="1"/>
        <v>D3</v>
      </c>
      <c r="U676" s="7" t="str">
        <f ca="1"/>
        <v>0x201E</v>
      </c>
      <c r="V676" s="7" t="str">
        <f ca="1"/>
        <v>Session_Already_Open</v>
      </c>
    </row>
    <row r="677" spans="20:22" x14ac:dyDescent="0.25">
      <c r="T677" s="7" t="str">
        <f ca="1"/>
        <v>D3</v>
      </c>
      <c r="U677" s="7" t="str">
        <f ca="1"/>
        <v>0x201F</v>
      </c>
      <c r="V677" s="7" t="str">
        <f ca="1"/>
        <v>Transfer_Cancelled</v>
      </c>
    </row>
    <row r="678" spans="20:22" x14ac:dyDescent="0.25">
      <c r="T678" s="7" t="str">
        <f ca="1"/>
        <v>D3</v>
      </c>
      <c r="U678" s="7" t="str">
        <f ca="1"/>
        <v>0x2020</v>
      </c>
      <c r="V678" s="7" t="str">
        <f ca="1"/>
        <v>Specification_of_Destination_Unsupported</v>
      </c>
    </row>
    <row r="679" spans="20:22" x14ac:dyDescent="0.25">
      <c r="T679" s="7" t="str">
        <f ca="1"/>
        <v>D3</v>
      </c>
      <c r="U679" s="7" t="str">
        <f ca="1"/>
        <v>0xA001</v>
      </c>
      <c r="V679" s="7" t="str">
        <f ca="1"/>
        <v>Hardware_Error</v>
      </c>
    </row>
    <row r="680" spans="20:22" x14ac:dyDescent="0.25">
      <c r="T680" s="7" t="str">
        <f ca="1"/>
        <v>D3</v>
      </c>
      <c r="U680" s="7" t="str">
        <f ca="1"/>
        <v>0xA002</v>
      </c>
      <c r="V680" s="7" t="str">
        <f ca="1"/>
        <v>Out_of_Focus</v>
      </c>
    </row>
    <row r="681" spans="20:22" x14ac:dyDescent="0.25">
      <c r="T681" s="7" t="str">
        <f ca="1"/>
        <v>D3</v>
      </c>
      <c r="U681" s="7" t="str">
        <f ca="1"/>
        <v>0xA003</v>
      </c>
      <c r="V681" s="7" t="str">
        <f ca="1"/>
        <v>Change_CameraMode_Failed</v>
      </c>
    </row>
    <row r="682" spans="20:22" x14ac:dyDescent="0.25">
      <c r="T682" s="7" t="str">
        <f ca="1"/>
        <v>D3</v>
      </c>
      <c r="U682" s="7" t="str">
        <f ca="1"/>
        <v>0xA004</v>
      </c>
      <c r="V682" s="7" t="str">
        <f ca="1"/>
        <v>Invalid_Status</v>
      </c>
    </row>
    <row r="683" spans="20:22" x14ac:dyDescent="0.25">
      <c r="T683" s="7" t="str">
        <f ca="1"/>
        <v>D3</v>
      </c>
      <c r="U683" s="7" t="str">
        <f ca="1"/>
        <v>0xA005</v>
      </c>
      <c r="V683" s="7" t="str">
        <f ca="1"/>
        <v>Set_Property_Not_Support</v>
      </c>
    </row>
    <row r="684" spans="20:22" x14ac:dyDescent="0.25">
      <c r="T684" s="7" t="str">
        <f ca="1"/>
        <v>D3</v>
      </c>
      <c r="U684" s="7" t="str">
        <f ca="1"/>
        <v>0xA006</v>
      </c>
      <c r="V684" s="7" t="str">
        <f ca="1"/>
        <v>Wb_Preset_Error</v>
      </c>
    </row>
    <row r="685" spans="20:22" x14ac:dyDescent="0.25">
      <c r="T685" s="7" t="str">
        <f ca="1"/>
        <v>D3</v>
      </c>
      <c r="U685" s="7" t="str">
        <f ca="1"/>
        <v>0xA007</v>
      </c>
      <c r="V685" s="7" t="str">
        <f ca="1"/>
        <v>Dust_Reference_Error</v>
      </c>
    </row>
    <row r="686" spans="20:22" x14ac:dyDescent="0.25">
      <c r="T686" s="7" t="str">
        <f ca="1"/>
        <v>D3</v>
      </c>
      <c r="U686" s="7" t="str">
        <f ca="1"/>
        <v>0xA008</v>
      </c>
      <c r="V686" s="7" t="str">
        <f ca="1"/>
        <v>Shutter_Speed_Bulb</v>
      </c>
    </row>
    <row r="687" spans="20:22" x14ac:dyDescent="0.25">
      <c r="T687" s="7" t="str">
        <f ca="1"/>
        <v>D3</v>
      </c>
      <c r="U687" s="7" t="str">
        <f ca="1"/>
        <v>0xA009</v>
      </c>
      <c r="V687" s="7" t="str">
        <f ca="1"/>
        <v>MirrorUp_Sequence</v>
      </c>
    </row>
    <row r="688" spans="20:22" x14ac:dyDescent="0.25">
      <c r="T688" s="7" t="str">
        <f ca="1"/>
        <v>D3</v>
      </c>
      <c r="U688" s="7" t="str">
        <f ca="1"/>
        <v>0xA00A</v>
      </c>
      <c r="V688" s="7" t="str">
        <f ca="1"/>
        <v>CameraMode_Not_Adjust_Fnumber</v>
      </c>
    </row>
    <row r="689" spans="20:22" x14ac:dyDescent="0.25">
      <c r="T689" s="7" t="str">
        <f ca="1"/>
        <v>D3</v>
      </c>
      <c r="U689" s="7" t="str">
        <f ca="1"/>
        <v>0xA00B</v>
      </c>
      <c r="V689" s="7" t="str">
        <f ca="1"/>
        <v>Not_LiveView</v>
      </c>
    </row>
    <row r="690" spans="20:22" x14ac:dyDescent="0.25">
      <c r="T690" s="7" t="str">
        <f ca="1"/>
        <v>D3</v>
      </c>
      <c r="U690" s="7" t="str">
        <f ca="1"/>
        <v>0xA00C</v>
      </c>
      <c r="V690" s="7" t="str">
        <f ca="1"/>
        <v>MfDrive_Step_End</v>
      </c>
    </row>
    <row r="691" spans="20:22" x14ac:dyDescent="0.25">
      <c r="T691" s="7" t="str">
        <f ca="1"/>
        <v>D3</v>
      </c>
      <c r="U691" s="7" t="str">
        <f ca="1"/>
        <v>0xA00E</v>
      </c>
      <c r="V691" s="7" t="str">
        <f ca="1"/>
        <v>MfDrive_Step_</v>
      </c>
    </row>
    <row r="692" spans="20:22" x14ac:dyDescent="0.25">
      <c r="T692" s="7" t="str">
        <f ca="1"/>
        <v>D3</v>
      </c>
      <c r="U692" s="7" t="str">
        <f ca="1"/>
        <v>0xA801</v>
      </c>
      <c r="V692" s="7" t="str">
        <f ca="1"/>
        <v>Invalid_ObjectPropCode</v>
      </c>
    </row>
    <row r="693" spans="20:22" x14ac:dyDescent="0.25">
      <c r="T693" s="7" t="str">
        <f ca="1"/>
        <v>D3</v>
      </c>
      <c r="U693" s="7" t="str">
        <f ca="1"/>
        <v>0xA802</v>
      </c>
      <c r="V693" s="7" t="str">
        <f ca="1"/>
        <v>Invalid_ObjectProp_Format</v>
      </c>
    </row>
    <row r="694" spans="20:22" x14ac:dyDescent="0.25">
      <c r="T694" s="7" t="str">
        <f ca="1"/>
        <v>D3</v>
      </c>
      <c r="U694" s="7" t="str">
        <f ca="1"/>
        <v>0xA80A</v>
      </c>
      <c r="V694" s="7" t="str">
        <f ca="1"/>
        <v>ObjectProp_Not_Supported</v>
      </c>
    </row>
  </sheetData>
  <conditionalFormatting sqref="D3:Q1048576">
    <cfRule type="cellIs" dxfId="9" priority="1" operator="notEqual">
      <formula>_xlfn.SINGLE($B:$B)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1AA5-8326-4DF0-A6DB-6FD6CFBE9C88}">
  <sheetPr>
    <tabColor theme="7" tint="0.59999389629810485"/>
  </sheetPr>
  <dimension ref="A1:AK309"/>
  <sheetViews>
    <sheetView workbookViewId="0">
      <pane xSplit="2" ySplit="2" topLeftCell="C3" activePane="bottomRight" state="frozen"/>
      <selection activeCell="C4" sqref="C4"/>
      <selection pane="topRight" activeCell="C4" sqref="C4"/>
      <selection pane="bottomLeft" activeCell="C4" sqref="C4"/>
      <selection pane="bottomRight" activeCell="AJ34" sqref="AJ34"/>
    </sheetView>
  </sheetViews>
  <sheetFormatPr defaultRowHeight="15" x14ac:dyDescent="0.25"/>
  <cols>
    <col min="1" max="1" width="11" style="13" bestFit="1" customWidth="1"/>
    <col min="2" max="2" width="27.85546875" style="14" bestFit="1" customWidth="1"/>
    <col min="3" max="3" width="9.140625" style="7"/>
    <col min="4" max="7" width="9.140625" style="8" customWidth="1"/>
    <col min="8" max="13" width="9.140625" style="7"/>
    <col min="14" max="14" width="9.140625" style="7" customWidth="1"/>
    <col min="15" max="19" width="9.140625" style="7"/>
    <col min="20" max="20" width="6.5703125" style="7" bestFit="1" customWidth="1"/>
    <col min="21" max="21" width="6.140625" style="7" bestFit="1" customWidth="1"/>
    <col min="22" max="23" width="9.140625" style="7"/>
    <col min="24" max="27" width="9.140625" style="8"/>
    <col min="28" max="16384" width="9.140625" style="7"/>
  </cols>
  <sheetData>
    <row r="1" spans="1:37" s="9" customFormat="1" x14ac:dyDescent="0.25">
      <c r="A1" s="2"/>
      <c r="B1" s="10"/>
      <c r="D1" s="2" t="str" cm="1">
        <f t="array" ref="D1:Q1">TRANSPOSE(Cameras[Camera])</f>
        <v>Z8</v>
      </c>
      <c r="E1" s="2" t="str">
        <v>Z9</v>
      </c>
      <c r="F1" s="2" t="str">
        <v>Z6 II</v>
      </c>
      <c r="G1" s="2" t="str">
        <v>Z7 II</v>
      </c>
      <c r="H1" s="9" t="str">
        <v>Z50</v>
      </c>
      <c r="I1" s="9" t="str">
        <v>Z6</v>
      </c>
      <c r="J1" s="9" t="str">
        <v>Z7</v>
      </c>
      <c r="K1" s="9" t="str">
        <v>Z5</v>
      </c>
      <c r="L1" s="9" t="str">
        <v>D6</v>
      </c>
      <c r="M1" s="9" t="str">
        <v>D5</v>
      </c>
      <c r="N1" s="9" t="str">
        <v>D4S</v>
      </c>
      <c r="O1" s="9" t="str">
        <v>D4</v>
      </c>
      <c r="P1" s="9" t="str">
        <v>D3X</v>
      </c>
      <c r="Q1" s="9" t="str">
        <v>D3</v>
      </c>
      <c r="X1" s="9" t="str" cm="1">
        <f t="array" ref="X1:AK1">TRANSPOSE(Cameras[Camera])</f>
        <v>Z8</v>
      </c>
      <c r="Y1" s="9" t="str">
        <v>Z9</v>
      </c>
      <c r="Z1" s="9" t="str">
        <v>Z6 II</v>
      </c>
      <c r="AA1" s="9" t="str">
        <v>Z7 II</v>
      </c>
      <c r="AB1" s="9" t="str">
        <v>Z50</v>
      </c>
      <c r="AC1" s="9" t="str">
        <v>Z6</v>
      </c>
      <c r="AD1" s="9" t="str">
        <v>Z7</v>
      </c>
      <c r="AE1" s="9" t="str">
        <v>Z5</v>
      </c>
      <c r="AF1" s="9" t="str">
        <v>D6</v>
      </c>
      <c r="AG1" s="9" t="str">
        <v>D5</v>
      </c>
      <c r="AH1" s="9" t="str">
        <v>D4S</v>
      </c>
      <c r="AI1" s="9" t="str">
        <v>D4</v>
      </c>
      <c r="AJ1" s="9" t="str">
        <v>D3X</v>
      </c>
      <c r="AK1" s="9" t="str">
        <v>D3</v>
      </c>
    </row>
    <row r="2" spans="1:37" s="11" customFormat="1" x14ac:dyDescent="0.25">
      <c r="A2" s="3" t="s">
        <v>328</v>
      </c>
      <c r="B2" s="6" t="s">
        <v>4</v>
      </c>
      <c r="C2" s="4"/>
      <c r="D2" s="5" t="str" cm="1">
        <f t="array" ref="D2:Q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</v>
      </c>
      <c r="I2" s="4" t="str">
        <v>Rev. 1.40</v>
      </c>
      <c r="J2" s="4" t="str">
        <v>Rev. 1.40</v>
      </c>
      <c r="K2" s="4" t="str">
        <v>Rev. 1.10</v>
      </c>
      <c r="L2" s="4" t="str">
        <v>Rev. 1.0</v>
      </c>
      <c r="M2" s="4" t="str">
        <v>Rev. 2.0</v>
      </c>
      <c r="N2" s="4" t="str">
        <v>Rev. 1.0</v>
      </c>
      <c r="O2" s="4" t="str">
        <v>Rev. 1.0</v>
      </c>
      <c r="P2" s="4" t="str">
        <v>Rev. 1.0</v>
      </c>
      <c r="Q2" s="4" t="str">
        <v>Rev. 1.0</v>
      </c>
      <c r="R2" s="4"/>
      <c r="S2" s="4"/>
      <c r="T2" s="12" t="s">
        <v>1232</v>
      </c>
      <c r="U2" s="12" t="s">
        <v>1233</v>
      </c>
      <c r="V2" s="12" t="s">
        <v>1234</v>
      </c>
      <c r="W2" s="4"/>
      <c r="X2" s="11" t="str" cm="1">
        <f t="array" ref="X2:AK2">"Rev. "&amp;TRANSPOSE(Cameras[MTP Doc])</f>
        <v>Rev. 2.00</v>
      </c>
      <c r="Y2" s="11" t="str">
        <v>Rev. 6.00</v>
      </c>
      <c r="Z2" s="11" t="str">
        <v>Rev. 1.10</v>
      </c>
      <c r="AA2" s="11" t="str">
        <v>Rev. 1.10</v>
      </c>
      <c r="AB2" s="11" t="str">
        <v>Rev. 2.0</v>
      </c>
      <c r="AC2" s="11" t="str">
        <v>Rev. 1.40</v>
      </c>
      <c r="AD2" s="11" t="str">
        <v>Rev. 1.40</v>
      </c>
      <c r="AE2" s="11" t="str">
        <v>Rev. 1.10</v>
      </c>
      <c r="AF2" s="11" t="str">
        <v>Rev. 1.0</v>
      </c>
      <c r="AG2" s="11" t="str">
        <v>Rev. 2.0</v>
      </c>
      <c r="AH2" s="11" t="str">
        <v>Rev. 1.0</v>
      </c>
      <c r="AI2" s="11" t="str">
        <v>Rev. 1.0</v>
      </c>
      <c r="AJ2" s="11" t="str">
        <v>Rev. 1.0</v>
      </c>
      <c r="AK2" s="11" t="str">
        <v>Rev. 1.0</v>
      </c>
    </row>
    <row r="3" spans="1:37" x14ac:dyDescent="0.25">
      <c r="A3" s="13" t="str" cm="1">
        <f t="array" aca="1" ref="A3:B35" ca="1">_xlfn.LET(_xlpm.arr,_xlfn.ANCHORARRAY(T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0x4001</v>
      </c>
      <c r="B3" s="14" t="str">
        <f ca="1"/>
        <v>CancelTransaction</v>
      </c>
      <c r="D3" s="8" t="str" cm="1">
        <f t="array" aca="1" ref="D3:Q35" ca="1">_xlfn.LET(_xlpm.models,_xlfn.ANCHORARRAY(D1),_xlpm.arr,_xlfn.ANCHORARRAY(T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CancelTransaction</v>
      </c>
      <c r="E3" s="8" t="str">
        <f ca="1"/>
        <v>CancelTransaction</v>
      </c>
      <c r="F3" s="8" t="str">
        <f ca="1"/>
        <v>CancelTransaction</v>
      </c>
      <c r="G3" s="8" t="str">
        <f ca="1"/>
        <v>CancelTransaction</v>
      </c>
      <c r="H3" s="7" t="str">
        <f ca="1"/>
        <v>CancelTransaction</v>
      </c>
      <c r="I3" s="7" t="str">
        <f ca="1"/>
        <v>CancelTransaction</v>
      </c>
      <c r="J3" s="7" t="str">
        <f ca="1"/>
        <v>CancelTransaction</v>
      </c>
      <c r="K3" s="7" t="str">
        <f ca="1"/>
        <v>CancelTransaction</v>
      </c>
      <c r="L3" s="7" t="str">
        <f ca="1"/>
        <v>CancelTransaction</v>
      </c>
      <c r="M3" s="7" t="str">
        <f ca="1"/>
        <v>CancelTransaction</v>
      </c>
      <c r="N3" s="7" t="str">
        <f ca="1"/>
        <v>CancelTransaction</v>
      </c>
      <c r="O3" s="7" t="str">
        <f ca="1"/>
        <v>CancelTransaction</v>
      </c>
      <c r="P3" s="7" t="str">
        <f ca="1"/>
        <v>CancelTransaction</v>
      </c>
      <c r="Q3" s="7" t="str">
        <f ca="1"/>
        <v>CancelTransaction</v>
      </c>
      <c r="T3" s="7" t="str" cm="1">
        <f t="array" aca="1" ref="T3:V309" ca="1">_xlfn.LET(_xlpm.models,_xlfn.ANCHORARRAY(X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U3" s="7" t="str">
        <f ca="1"/>
        <v>0x4001</v>
      </c>
      <c r="V3" s="7" t="str">
        <f ca="1"/>
        <v>CancelTransaction</v>
      </c>
      <c r="X3" s="8" t="s">
        <v>329</v>
      </c>
      <c r="Y3" s="8" t="s">
        <v>329</v>
      </c>
      <c r="Z3" s="8" t="s">
        <v>329</v>
      </c>
      <c r="AA3" s="8" t="s">
        <v>329</v>
      </c>
      <c r="AB3" s="7" t="s">
        <v>329</v>
      </c>
      <c r="AC3" s="7" t="s">
        <v>329</v>
      </c>
      <c r="AD3" s="7" t="s">
        <v>329</v>
      </c>
      <c r="AE3" s="7" t="s">
        <v>329</v>
      </c>
      <c r="AF3" s="7" t="s">
        <v>329</v>
      </c>
      <c r="AG3" s="7" t="s">
        <v>329</v>
      </c>
      <c r="AH3" s="7" t="s">
        <v>329</v>
      </c>
      <c r="AI3" s="7" t="s">
        <v>329</v>
      </c>
      <c r="AJ3" s="7" t="s">
        <v>329</v>
      </c>
      <c r="AK3" s="7" t="s">
        <v>329</v>
      </c>
    </row>
    <row r="4" spans="1:37" x14ac:dyDescent="0.25">
      <c r="A4" s="13" t="str">
        <f ca="1"/>
        <v>0x4002</v>
      </c>
      <c r="B4" s="14" t="str">
        <f ca="1"/>
        <v>ObjectAdded</v>
      </c>
      <c r="D4" s="8" t="str">
        <f ca="1"/>
        <v>ObjectAdded</v>
      </c>
      <c r="E4" s="8" t="str">
        <f ca="1"/>
        <v>ObjectAdded</v>
      </c>
      <c r="F4" s="8" t="str">
        <f ca="1"/>
        <v>ObjectAdded</v>
      </c>
      <c r="G4" s="8" t="str">
        <f ca="1"/>
        <v>ObjectAdded</v>
      </c>
      <c r="H4" s="7" t="str">
        <f ca="1"/>
        <v>ObjectAdded</v>
      </c>
      <c r="I4" s="7" t="str">
        <f ca="1"/>
        <v>ObjectAdded</v>
      </c>
      <c r="J4" s="7" t="str">
        <f ca="1"/>
        <v>ObjectAdded</v>
      </c>
      <c r="K4" s="7" t="str">
        <f ca="1"/>
        <v>ObjectAdded</v>
      </c>
      <c r="L4" s="7" t="str">
        <f ca="1"/>
        <v>ObjectAdded</v>
      </c>
      <c r="M4" s="7" t="str">
        <f ca="1"/>
        <v>ObjectAdded</v>
      </c>
      <c r="N4" s="7" t="str">
        <f ca="1"/>
        <v>ObjectAdded</v>
      </c>
      <c r="O4" s="7" t="str">
        <f ca="1"/>
        <v>ObjectAdded</v>
      </c>
      <c r="P4" s="7" t="str">
        <f ca="1"/>
        <v>ObjectAdded</v>
      </c>
      <c r="Q4" s="7" t="str">
        <f ca="1"/>
        <v>ObjectAdded</v>
      </c>
      <c r="T4" s="7" t="str">
        <f ca="1"/>
        <v>Z8</v>
      </c>
      <c r="U4" s="7" t="str">
        <f ca="1"/>
        <v>0x4002</v>
      </c>
      <c r="V4" s="7" t="str">
        <f ca="1"/>
        <v>ObjectAdded</v>
      </c>
      <c r="X4" s="8" t="s">
        <v>330</v>
      </c>
      <c r="Y4" s="8" t="s">
        <v>330</v>
      </c>
      <c r="Z4" s="8" t="s">
        <v>330</v>
      </c>
      <c r="AA4" s="8" t="s">
        <v>330</v>
      </c>
      <c r="AB4" s="7" t="s">
        <v>330</v>
      </c>
      <c r="AC4" s="7" t="s">
        <v>330</v>
      </c>
      <c r="AD4" s="7" t="s">
        <v>330</v>
      </c>
      <c r="AE4" s="7" t="s">
        <v>330</v>
      </c>
      <c r="AF4" s="7" t="s">
        <v>330</v>
      </c>
      <c r="AG4" s="7" t="s">
        <v>330</v>
      </c>
      <c r="AH4" s="7" t="s">
        <v>330</v>
      </c>
      <c r="AI4" s="7" t="s">
        <v>330</v>
      </c>
      <c r="AJ4" s="7" t="s">
        <v>330</v>
      </c>
      <c r="AK4" s="7" t="s">
        <v>330</v>
      </c>
    </row>
    <row r="5" spans="1:37" x14ac:dyDescent="0.25">
      <c r="A5" s="13" t="str">
        <f ca="1"/>
        <v>0x4003</v>
      </c>
      <c r="B5" s="14" t="str">
        <f ca="1"/>
        <v>ObjectRemoved</v>
      </c>
      <c r="D5" s="8" t="str">
        <f ca="1"/>
        <v>ObjectRemoved</v>
      </c>
      <c r="E5" s="8" t="str">
        <f ca="1"/>
        <v>ObjectRemoved</v>
      </c>
      <c r="F5" s="8" t="str">
        <f ca="1"/>
        <v>ObjectRemoved</v>
      </c>
      <c r="G5" s="8" t="str">
        <f ca="1"/>
        <v>ObjectRemoved</v>
      </c>
      <c r="H5" s="7" t="str">
        <f ca="1"/>
        <v>ObjectRemoved</v>
      </c>
      <c r="I5" s="7" t="str">
        <f ca="1"/>
        <v>ObjectRemoved</v>
      </c>
      <c r="J5" s="7" t="str">
        <f ca="1"/>
        <v>ObjectRemoved</v>
      </c>
      <c r="K5" s="7" t="str">
        <f ca="1"/>
        <v>ObjectRemoved</v>
      </c>
      <c r="L5" s="7" t="str">
        <f ca="1"/>
        <v>ObjectRemoved</v>
      </c>
      <c r="M5" s="7" t="str">
        <f ca="1"/>
        <v>ObjectRemoved</v>
      </c>
      <c r="N5" s="7" t="str">
        <f ca="1"/>
        <v>ObjectRemoved</v>
      </c>
      <c r="O5" s="7" t="str">
        <f ca="1"/>
        <v>ObjectRemoved</v>
      </c>
      <c r="P5" s="7" t="str">
        <f ca="1"/>
        <v>ObjectRemoved</v>
      </c>
      <c r="Q5" s="7" t="str">
        <f ca="1"/>
        <v/>
      </c>
      <c r="T5" s="7" t="str">
        <f ca="1"/>
        <v>Z8</v>
      </c>
      <c r="U5" s="7" t="str">
        <f ca="1"/>
        <v>0x4003</v>
      </c>
      <c r="V5" s="7" t="str">
        <f ca="1"/>
        <v>ObjectRemoved</v>
      </c>
      <c r="X5" s="8" t="s">
        <v>331</v>
      </c>
      <c r="Y5" s="8" t="s">
        <v>331</v>
      </c>
      <c r="Z5" s="8" t="s">
        <v>331</v>
      </c>
      <c r="AA5" s="8" t="s">
        <v>331</v>
      </c>
      <c r="AB5" s="7" t="s">
        <v>331</v>
      </c>
      <c r="AC5" s="7" t="s">
        <v>331</v>
      </c>
      <c r="AD5" s="7" t="s">
        <v>331</v>
      </c>
      <c r="AE5" s="7" t="s">
        <v>331</v>
      </c>
      <c r="AF5" s="7" t="s">
        <v>331</v>
      </c>
      <c r="AG5" s="7" t="s">
        <v>331</v>
      </c>
      <c r="AH5" s="7" t="s">
        <v>331</v>
      </c>
      <c r="AI5" s="7" t="s">
        <v>331</v>
      </c>
      <c r="AJ5" s="7" t="s">
        <v>331</v>
      </c>
      <c r="AK5" s="7" t="s">
        <v>331</v>
      </c>
    </row>
    <row r="6" spans="1:37" x14ac:dyDescent="0.25">
      <c r="A6" s="13" t="str">
        <f ca="1"/>
        <v>0x4004</v>
      </c>
      <c r="B6" s="14" t="str">
        <f ca="1"/>
        <v>StoreAdded</v>
      </c>
      <c r="D6" s="8" t="str">
        <f ca="1"/>
        <v>StoreAdded</v>
      </c>
      <c r="E6" s="8" t="str">
        <f ca="1"/>
        <v>StoreAdded</v>
      </c>
      <c r="F6" s="8" t="str">
        <f ca="1"/>
        <v>StoreAdded</v>
      </c>
      <c r="G6" s="8" t="str">
        <f ca="1"/>
        <v>StoreAdded</v>
      </c>
      <c r="H6" s="7" t="str">
        <f ca="1"/>
        <v>StoreAdded</v>
      </c>
      <c r="I6" s="7" t="str">
        <f ca="1"/>
        <v>StoreAdded</v>
      </c>
      <c r="J6" s="7" t="str">
        <f ca="1"/>
        <v>StoreAdded</v>
      </c>
      <c r="K6" s="7" t="str">
        <f ca="1"/>
        <v>StoreAdded</v>
      </c>
      <c r="L6" s="7" t="str">
        <f ca="1"/>
        <v>StoreAdded</v>
      </c>
      <c r="M6" s="7" t="str">
        <f ca="1"/>
        <v>StoreAdded</v>
      </c>
      <c r="N6" s="7" t="str">
        <f ca="1"/>
        <v>StoreAdded</v>
      </c>
      <c r="O6" s="7" t="str">
        <f ca="1"/>
        <v>StoreAdded</v>
      </c>
      <c r="P6" s="7" t="str">
        <f ca="1"/>
        <v>StoreAdded</v>
      </c>
      <c r="Q6" s="7" t="str">
        <f ca="1"/>
        <v>StoreAdded</v>
      </c>
      <c r="T6" s="7" t="str">
        <f ca="1"/>
        <v>Z8</v>
      </c>
      <c r="U6" s="7" t="str">
        <f ca="1"/>
        <v>0x4004</v>
      </c>
      <c r="V6" s="7" t="str">
        <f ca="1"/>
        <v>StoreAdded</v>
      </c>
      <c r="X6" s="8" t="s">
        <v>332</v>
      </c>
      <c r="Y6" s="8" t="s">
        <v>332</v>
      </c>
      <c r="Z6" s="8" t="s">
        <v>332</v>
      </c>
      <c r="AA6" s="8" t="s">
        <v>332</v>
      </c>
      <c r="AB6" s="7" t="s">
        <v>332</v>
      </c>
      <c r="AC6" s="7" t="s">
        <v>332</v>
      </c>
      <c r="AD6" s="7" t="s">
        <v>332</v>
      </c>
      <c r="AE6" s="7" t="s">
        <v>332</v>
      </c>
      <c r="AF6" s="7" t="s">
        <v>332</v>
      </c>
      <c r="AG6" s="7" t="s">
        <v>332</v>
      </c>
      <c r="AH6" s="7" t="s">
        <v>332</v>
      </c>
      <c r="AI6" s="7" t="s">
        <v>332</v>
      </c>
      <c r="AJ6" s="7" t="s">
        <v>332</v>
      </c>
      <c r="AK6" s="7" t="s">
        <v>332</v>
      </c>
    </row>
    <row r="7" spans="1:37" x14ac:dyDescent="0.25">
      <c r="A7" s="13" t="str">
        <f ca="1"/>
        <v>0x4005</v>
      </c>
      <c r="B7" s="14" t="str">
        <f ca="1"/>
        <v>StoreRemoved</v>
      </c>
      <c r="D7" s="8" t="str">
        <f ca="1"/>
        <v>StoreRemoved</v>
      </c>
      <c r="E7" s="8" t="str">
        <f ca="1"/>
        <v>StoreRemoved</v>
      </c>
      <c r="F7" s="8" t="str">
        <f ca="1"/>
        <v>StoreRemoved</v>
      </c>
      <c r="G7" s="8" t="str">
        <f ca="1"/>
        <v>StoreRemoved</v>
      </c>
      <c r="H7" s="7" t="str">
        <f ca="1"/>
        <v>StoreRemoved</v>
      </c>
      <c r="I7" s="7" t="str">
        <f ca="1"/>
        <v>StoreRemoved</v>
      </c>
      <c r="J7" s="7" t="str">
        <f ca="1"/>
        <v>StoreRemoved</v>
      </c>
      <c r="K7" s="7" t="str">
        <f ca="1"/>
        <v>StoreRemoved</v>
      </c>
      <c r="L7" s="7" t="str">
        <f ca="1"/>
        <v>StoreRemoved</v>
      </c>
      <c r="M7" s="7" t="str">
        <f ca="1"/>
        <v>StoreRemoved</v>
      </c>
      <c r="N7" s="7" t="str">
        <f ca="1"/>
        <v>StoreRemoved</v>
      </c>
      <c r="O7" s="7" t="str">
        <f ca="1"/>
        <v>StoreRemoved</v>
      </c>
      <c r="P7" s="7" t="str">
        <f ca="1"/>
        <v>StoreRemoved</v>
      </c>
      <c r="Q7" s="7" t="str">
        <f ca="1"/>
        <v>StoreRemoved</v>
      </c>
      <c r="T7" s="7" t="str">
        <f ca="1"/>
        <v>Z8</v>
      </c>
      <c r="U7" s="7" t="str">
        <f ca="1"/>
        <v>0x4005</v>
      </c>
      <c r="V7" s="7" t="str">
        <f ca="1"/>
        <v>StoreRemoved</v>
      </c>
      <c r="X7" s="8" t="s">
        <v>333</v>
      </c>
      <c r="Y7" s="8" t="s">
        <v>333</v>
      </c>
      <c r="Z7" s="8" t="s">
        <v>333</v>
      </c>
      <c r="AA7" s="8" t="s">
        <v>333</v>
      </c>
      <c r="AB7" s="7" t="s">
        <v>333</v>
      </c>
      <c r="AC7" s="7" t="s">
        <v>333</v>
      </c>
      <c r="AD7" s="7" t="s">
        <v>333</v>
      </c>
      <c r="AE7" s="7" t="s">
        <v>333</v>
      </c>
      <c r="AF7" s="7" t="s">
        <v>333</v>
      </c>
      <c r="AG7" s="7" t="s">
        <v>333</v>
      </c>
      <c r="AH7" s="7" t="s">
        <v>333</v>
      </c>
      <c r="AI7" s="7" t="s">
        <v>333</v>
      </c>
      <c r="AJ7" s="7" t="s">
        <v>333</v>
      </c>
      <c r="AK7" s="7" t="s">
        <v>335</v>
      </c>
    </row>
    <row r="8" spans="1:37" x14ac:dyDescent="0.25">
      <c r="A8" s="13" t="str">
        <f ca="1"/>
        <v>0x4006</v>
      </c>
      <c r="B8" s="14" t="str">
        <f ca="1"/>
        <v>DevicePropChanged</v>
      </c>
      <c r="D8" s="8" t="str">
        <f ca="1"/>
        <v>DevicePropChanged</v>
      </c>
      <c r="E8" s="8" t="str">
        <f ca="1"/>
        <v>DevicePropChanged</v>
      </c>
      <c r="F8" s="8" t="str">
        <f ca="1"/>
        <v>DevicePropChanged</v>
      </c>
      <c r="G8" s="8" t="str">
        <f ca="1"/>
        <v>DevicePropChanged</v>
      </c>
      <c r="H8" s="7" t="str">
        <f ca="1"/>
        <v>DevicePropChanged</v>
      </c>
      <c r="I8" s="7" t="str">
        <f ca="1"/>
        <v>DevicePropChanged</v>
      </c>
      <c r="J8" s="7" t="str">
        <f ca="1"/>
        <v>DevicePropChanged</v>
      </c>
      <c r="K8" s="7" t="str">
        <f ca="1"/>
        <v>DevicePropChanged</v>
      </c>
      <c r="L8" s="7" t="str">
        <f ca="1"/>
        <v>DevicePropChanged</v>
      </c>
      <c r="M8" s="7" t="str">
        <f ca="1"/>
        <v>DevicePropChanged</v>
      </c>
      <c r="N8" s="7" t="str">
        <f ca="1"/>
        <v>DevicePropChanged</v>
      </c>
      <c r="O8" s="7" t="str">
        <f ca="1"/>
        <v>DevicePropChanged</v>
      </c>
      <c r="P8" s="7" t="str">
        <f ca="1"/>
        <v>DevicePropChanged</v>
      </c>
      <c r="Q8" s="7" t="str">
        <f ca="1"/>
        <v>DevicePropChanged</v>
      </c>
      <c r="T8" s="7" t="str">
        <f ca="1"/>
        <v>Z8</v>
      </c>
      <c r="U8" s="7" t="str">
        <f ca="1"/>
        <v>0x4006</v>
      </c>
      <c r="V8" s="7" t="str">
        <f ca="1"/>
        <v>DevicePropChanged</v>
      </c>
      <c r="X8" s="8" t="s">
        <v>334</v>
      </c>
      <c r="Y8" s="8" t="s">
        <v>334</v>
      </c>
      <c r="Z8" s="8" t="s">
        <v>334</v>
      </c>
      <c r="AA8" s="8" t="s">
        <v>334</v>
      </c>
      <c r="AB8" s="7" t="s">
        <v>334</v>
      </c>
      <c r="AC8" s="7" t="s">
        <v>334</v>
      </c>
      <c r="AD8" s="7" t="s">
        <v>334</v>
      </c>
      <c r="AE8" s="7" t="s">
        <v>334</v>
      </c>
      <c r="AF8" s="7" t="s">
        <v>334</v>
      </c>
      <c r="AG8" s="7" t="s">
        <v>334</v>
      </c>
      <c r="AH8" s="7" t="s">
        <v>334</v>
      </c>
      <c r="AI8" s="7" t="s">
        <v>334</v>
      </c>
      <c r="AJ8" s="7" t="s">
        <v>334</v>
      </c>
      <c r="AK8" s="7" t="s">
        <v>336</v>
      </c>
    </row>
    <row r="9" spans="1:37" x14ac:dyDescent="0.25">
      <c r="A9" s="13" t="str">
        <f ca="1"/>
        <v>0x4007</v>
      </c>
      <c r="B9" s="14" t="str">
        <f ca="1"/>
        <v>ObjectInfoChanged</v>
      </c>
      <c r="D9" s="8" t="str">
        <f ca="1"/>
        <v>ObjectInfoChanged</v>
      </c>
      <c r="E9" s="8" t="str">
        <f ca="1"/>
        <v>ObjectInfoChanged</v>
      </c>
      <c r="F9" s="8" t="str">
        <f ca="1"/>
        <v>ObjectInfoChanged</v>
      </c>
      <c r="G9" s="8" t="str">
        <f ca="1"/>
        <v>ObjectInfoChanged</v>
      </c>
      <c r="H9" s="7" t="str">
        <f ca="1"/>
        <v>ObjectInfoChanged</v>
      </c>
      <c r="I9" s="7" t="str">
        <f ca="1"/>
        <v>ObjectInfoChanged</v>
      </c>
      <c r="J9" s="7" t="str">
        <f ca="1"/>
        <v>ObjectInfoChanged</v>
      </c>
      <c r="K9" s="7" t="str">
        <f ca="1"/>
        <v>ObjectInfoChanged</v>
      </c>
      <c r="L9" s="7" t="str">
        <f ca="1"/>
        <v>ObjectInfoChanged</v>
      </c>
      <c r="M9" s="7" t="str">
        <f ca="1"/>
        <v>ObjectInfoChanged</v>
      </c>
      <c r="N9" s="7" t="str">
        <f ca="1"/>
        <v>ObjectInfoChanged</v>
      </c>
      <c r="O9" s="7" t="str">
        <f ca="1"/>
        <v>ObjectInfoChanged</v>
      </c>
      <c r="P9" s="7" t="str">
        <f ca="1"/>
        <v>ObjectInfoChanged</v>
      </c>
      <c r="Q9" s="7" t="str">
        <f ca="1"/>
        <v/>
      </c>
      <c r="T9" s="7" t="str">
        <f ca="1"/>
        <v>Z8</v>
      </c>
      <c r="U9" s="7" t="str">
        <f ca="1"/>
        <v>0x4007</v>
      </c>
      <c r="V9" s="7" t="str">
        <f ca="1"/>
        <v>ObjectInfoChanged</v>
      </c>
      <c r="X9" s="8" t="s">
        <v>335</v>
      </c>
      <c r="Y9" s="8" t="s">
        <v>335</v>
      </c>
      <c r="Z9" s="8" t="s">
        <v>335</v>
      </c>
      <c r="AA9" s="8" t="s">
        <v>335</v>
      </c>
      <c r="AB9" s="7" t="s">
        <v>335</v>
      </c>
      <c r="AC9" s="7" t="s">
        <v>335</v>
      </c>
      <c r="AD9" s="7" t="s">
        <v>335</v>
      </c>
      <c r="AE9" s="7" t="s">
        <v>335</v>
      </c>
      <c r="AF9" s="7" t="s">
        <v>335</v>
      </c>
      <c r="AG9" s="7" t="s">
        <v>335</v>
      </c>
      <c r="AH9" s="7" t="s">
        <v>335</v>
      </c>
      <c r="AI9" s="7" t="s">
        <v>335</v>
      </c>
      <c r="AJ9" s="7" t="s">
        <v>335</v>
      </c>
      <c r="AK9" s="7" t="s">
        <v>337</v>
      </c>
    </row>
    <row r="10" spans="1:37" x14ac:dyDescent="0.25">
      <c r="A10" s="13" t="str">
        <f ca="1"/>
        <v>0x4008</v>
      </c>
      <c r="B10" s="14" t="str">
        <f ca="1"/>
        <v>DeviceInfoChanged</v>
      </c>
      <c r="D10" s="8" t="str">
        <f ca="1"/>
        <v>DeviceInfoChanged</v>
      </c>
      <c r="E10" s="8" t="str">
        <f ca="1"/>
        <v>DeviceInfoChanged</v>
      </c>
      <c r="F10" s="8" t="str">
        <f ca="1"/>
        <v>DeviceInfoChanged</v>
      </c>
      <c r="G10" s="8" t="str">
        <f ca="1"/>
        <v>DeviceInfoChanged</v>
      </c>
      <c r="H10" s="7" t="str">
        <f ca="1"/>
        <v>DeviceInfoChanged</v>
      </c>
      <c r="I10" s="7" t="str">
        <f ca="1"/>
        <v>DeviceInfoChanged</v>
      </c>
      <c r="J10" s="7" t="str">
        <f ca="1"/>
        <v>DeviceInfoChanged</v>
      </c>
      <c r="K10" s="7" t="str">
        <f ca="1"/>
        <v>DeviceInfoChanged</v>
      </c>
      <c r="L10" s="7" t="str">
        <f ca="1"/>
        <v>DeviceInfoChanged</v>
      </c>
      <c r="M10" s="7" t="str">
        <f ca="1"/>
        <v>DeviceInfoChanged</v>
      </c>
      <c r="N10" s="7" t="str">
        <f ca="1"/>
        <v>DeviceInfoChanged</v>
      </c>
      <c r="O10" s="7" t="str">
        <f ca="1"/>
        <v>DeviceInfoChanged</v>
      </c>
      <c r="P10" s="7" t="str">
        <f ca="1"/>
        <v>DeviceInfoChanged</v>
      </c>
      <c r="Q10" s="7" t="str">
        <f ca="1"/>
        <v>DeviceInfoChanged</v>
      </c>
      <c r="T10" s="7" t="str">
        <f ca="1"/>
        <v>Z8</v>
      </c>
      <c r="U10" s="7" t="str">
        <f ca="1"/>
        <v>0x4008</v>
      </c>
      <c r="V10" s="7" t="str">
        <f ca="1"/>
        <v>DeviceInfoChanged</v>
      </c>
      <c r="X10" s="8" t="s">
        <v>336</v>
      </c>
      <c r="Y10" s="8" t="s">
        <v>336</v>
      </c>
      <c r="Z10" s="8" t="s">
        <v>336</v>
      </c>
      <c r="AA10" s="8" t="s">
        <v>336</v>
      </c>
      <c r="AB10" s="7" t="s">
        <v>336</v>
      </c>
      <c r="AC10" s="7" t="s">
        <v>336</v>
      </c>
      <c r="AD10" s="7" t="s">
        <v>336</v>
      </c>
      <c r="AE10" s="7" t="s">
        <v>336</v>
      </c>
      <c r="AF10" s="7" t="s">
        <v>336</v>
      </c>
      <c r="AG10" s="7" t="s">
        <v>336</v>
      </c>
      <c r="AH10" s="7" t="s">
        <v>336</v>
      </c>
      <c r="AI10" s="7" t="s">
        <v>336</v>
      </c>
      <c r="AJ10" s="7" t="s">
        <v>336</v>
      </c>
      <c r="AK10" s="7" t="s">
        <v>338</v>
      </c>
    </row>
    <row r="11" spans="1:37" x14ac:dyDescent="0.25">
      <c r="A11" s="13" t="str">
        <f ca="1"/>
        <v>0x4009</v>
      </c>
      <c r="B11" s="14" t="str">
        <f ca="1"/>
        <v>RequestObjectTransfer</v>
      </c>
      <c r="D11" s="8" t="str">
        <f ca="1"/>
        <v>RequestObjectTransfer</v>
      </c>
      <c r="E11" s="8" t="str">
        <f ca="1"/>
        <v>RequestObjectTransfer</v>
      </c>
      <c r="F11" s="8" t="str">
        <f ca="1"/>
        <v>RequestObjectTransfer</v>
      </c>
      <c r="G11" s="8" t="str">
        <f ca="1"/>
        <v>RequestObjectTransfer</v>
      </c>
      <c r="H11" s="7" t="str">
        <f ca="1"/>
        <v>RequestObjectTransfer</v>
      </c>
      <c r="I11" s="7" t="str">
        <f ca="1"/>
        <v>RequestObjectTransfer</v>
      </c>
      <c r="J11" s="7" t="str">
        <f ca="1"/>
        <v>RequestObjectTransfer</v>
      </c>
      <c r="K11" s="7" t="str">
        <f ca="1"/>
        <v>RequestObjectTransfer</v>
      </c>
      <c r="L11" s="7" t="str">
        <f ca="1"/>
        <v>RequestObjectTransfer</v>
      </c>
      <c r="M11" s="7" t="str">
        <f ca="1"/>
        <v>RequestObjectTransfer</v>
      </c>
      <c r="N11" s="7" t="str">
        <f ca="1"/>
        <v>RequestObjectTransfer</v>
      </c>
      <c r="O11" s="7" t="str">
        <f ca="1"/>
        <v>RequestObjectTransfer</v>
      </c>
      <c r="P11" s="7" t="str">
        <f ca="1"/>
        <v>RequestObjectTransfer</v>
      </c>
      <c r="Q11" s="7" t="str">
        <f ca="1"/>
        <v>RequestObjectTransfer</v>
      </c>
      <c r="T11" s="7" t="str">
        <f ca="1"/>
        <v>Z8</v>
      </c>
      <c r="U11" s="7" t="str">
        <f ca="1"/>
        <v>0x4009</v>
      </c>
      <c r="V11" s="7" t="str">
        <f ca="1"/>
        <v>RequestObjectTransfer</v>
      </c>
      <c r="X11" s="8" t="s">
        <v>337</v>
      </c>
      <c r="Y11" s="8" t="s">
        <v>337</v>
      </c>
      <c r="Z11" s="8" t="s">
        <v>337</v>
      </c>
      <c r="AA11" s="8" t="s">
        <v>337</v>
      </c>
      <c r="AB11" s="7" t="s">
        <v>337</v>
      </c>
      <c r="AC11" s="7" t="s">
        <v>337</v>
      </c>
      <c r="AD11" s="7" t="s">
        <v>337</v>
      </c>
      <c r="AE11" s="7" t="s">
        <v>337</v>
      </c>
      <c r="AF11" s="7" t="s">
        <v>337</v>
      </c>
      <c r="AG11" s="7" t="s">
        <v>337</v>
      </c>
      <c r="AH11" s="7" t="s">
        <v>337</v>
      </c>
      <c r="AI11" s="7" t="s">
        <v>337</v>
      </c>
      <c r="AJ11" s="7" t="s">
        <v>337</v>
      </c>
      <c r="AK11" s="7" t="s">
        <v>339</v>
      </c>
    </row>
    <row r="12" spans="1:37" x14ac:dyDescent="0.25">
      <c r="A12" s="13" t="str">
        <f ca="1"/>
        <v>0x400A</v>
      </c>
      <c r="B12" s="14" t="str">
        <f ca="1"/>
        <v>StoreFull</v>
      </c>
      <c r="D12" s="8" t="str">
        <f ca="1"/>
        <v>StoreFull</v>
      </c>
      <c r="E12" s="8" t="str">
        <f ca="1"/>
        <v>StoreFull</v>
      </c>
      <c r="F12" s="8" t="str">
        <f ca="1"/>
        <v>StoreFull</v>
      </c>
      <c r="G12" s="8" t="str">
        <f ca="1"/>
        <v>StoreFull</v>
      </c>
      <c r="H12" s="7" t="str">
        <f ca="1"/>
        <v>StoreFull</v>
      </c>
      <c r="I12" s="7" t="str">
        <f ca="1"/>
        <v>StoreFull</v>
      </c>
      <c r="J12" s="7" t="str">
        <f ca="1"/>
        <v>StoreFull</v>
      </c>
      <c r="K12" s="7" t="str">
        <f ca="1"/>
        <v>StoreFull</v>
      </c>
      <c r="L12" s="7" t="str">
        <f ca="1"/>
        <v>StoreFull</v>
      </c>
      <c r="M12" s="7" t="str">
        <f ca="1"/>
        <v>StoreFull</v>
      </c>
      <c r="N12" s="7" t="str">
        <f ca="1"/>
        <v>StoreFull</v>
      </c>
      <c r="O12" s="7" t="str">
        <f ca="1"/>
        <v>StoreFull</v>
      </c>
      <c r="P12" s="7" t="str">
        <f ca="1"/>
        <v>StoreFull</v>
      </c>
      <c r="Q12" s="7" t="str">
        <f ca="1"/>
        <v>StoreFull</v>
      </c>
      <c r="T12" s="7" t="str">
        <f ca="1"/>
        <v>Z8</v>
      </c>
      <c r="U12" s="7" t="str">
        <f ca="1"/>
        <v>0x400A</v>
      </c>
      <c r="V12" s="7" t="str">
        <f ca="1"/>
        <v>StoreFull</v>
      </c>
      <c r="X12" s="8" t="s">
        <v>338</v>
      </c>
      <c r="Y12" s="8" t="s">
        <v>338</v>
      </c>
      <c r="Z12" s="8" t="s">
        <v>338</v>
      </c>
      <c r="AA12" s="8" t="s">
        <v>338</v>
      </c>
      <c r="AB12" s="7" t="s">
        <v>338</v>
      </c>
      <c r="AC12" s="7" t="s">
        <v>338</v>
      </c>
      <c r="AD12" s="7" t="s">
        <v>338</v>
      </c>
      <c r="AE12" s="7" t="s">
        <v>338</v>
      </c>
      <c r="AF12" s="7" t="s">
        <v>338</v>
      </c>
      <c r="AG12" s="7" t="s">
        <v>338</v>
      </c>
      <c r="AH12" s="7" t="s">
        <v>338</v>
      </c>
      <c r="AI12" s="7" t="s">
        <v>338</v>
      </c>
      <c r="AJ12" s="7" t="s">
        <v>338</v>
      </c>
      <c r="AK12" s="7" t="s">
        <v>340</v>
      </c>
    </row>
    <row r="13" spans="1:37" x14ac:dyDescent="0.25">
      <c r="A13" s="13" t="str">
        <f ca="1"/>
        <v>0x400C</v>
      </c>
      <c r="B13" s="14" t="str">
        <f ca="1"/>
        <v>StorageInfoChanged</v>
      </c>
      <c r="D13" s="8" t="str">
        <f ca="1"/>
        <v>StorageInfoChanged</v>
      </c>
      <c r="E13" s="8" t="str">
        <f ca="1"/>
        <v>StorageInfoChanged</v>
      </c>
      <c r="F13" s="8" t="str">
        <f ca="1"/>
        <v>StorageInfoChanged</v>
      </c>
      <c r="G13" s="8" t="str">
        <f ca="1"/>
        <v>StorageInfoChanged</v>
      </c>
      <c r="H13" s="7" t="str">
        <f ca="1"/>
        <v>StorageInfoChanged</v>
      </c>
      <c r="I13" s="7" t="str">
        <f ca="1"/>
        <v>StorageInfoChanged</v>
      </c>
      <c r="J13" s="7" t="str">
        <f ca="1"/>
        <v>StorageInfoChanged</v>
      </c>
      <c r="K13" s="7" t="str">
        <f ca="1"/>
        <v>StorageInfoChanged</v>
      </c>
      <c r="L13" s="7" t="str">
        <f ca="1"/>
        <v>StorageInfoChanged</v>
      </c>
      <c r="M13" s="7" t="str">
        <f ca="1"/>
        <v>StorageInfoChanged</v>
      </c>
      <c r="N13" s="7" t="str">
        <f ca="1"/>
        <v>StorageInfoChanged</v>
      </c>
      <c r="O13" s="7" t="str">
        <f ca="1"/>
        <v>StorageInfoChanged</v>
      </c>
      <c r="P13" s="7" t="str">
        <f ca="1"/>
        <v>StorageInfoChanged</v>
      </c>
      <c r="Q13" s="7" t="str">
        <f ca="1"/>
        <v>StorageInfoChanged</v>
      </c>
      <c r="T13" s="7" t="str">
        <f ca="1"/>
        <v>Z8</v>
      </c>
      <c r="U13" s="7" t="str">
        <f ca="1"/>
        <v>0x400C</v>
      </c>
      <c r="V13" s="7" t="str">
        <f ca="1"/>
        <v>StorageInfoChanged</v>
      </c>
      <c r="X13" s="8" t="s">
        <v>339</v>
      </c>
      <c r="Y13" s="8" t="s">
        <v>339</v>
      </c>
      <c r="Z13" s="8" t="s">
        <v>339</v>
      </c>
      <c r="AA13" s="8" t="s">
        <v>339</v>
      </c>
      <c r="AB13" s="7" t="s">
        <v>339</v>
      </c>
      <c r="AC13" s="7" t="s">
        <v>339</v>
      </c>
      <c r="AD13" s="7" t="s">
        <v>339</v>
      </c>
      <c r="AE13" s="7" t="s">
        <v>339</v>
      </c>
      <c r="AF13" s="7" t="s">
        <v>339</v>
      </c>
      <c r="AG13" s="7" t="s">
        <v>339</v>
      </c>
      <c r="AH13" s="7" t="s">
        <v>339</v>
      </c>
      <c r="AI13" s="7" t="s">
        <v>339</v>
      </c>
      <c r="AJ13" s="7" t="s">
        <v>339</v>
      </c>
      <c r="AK13" s="7" t="s">
        <v>343</v>
      </c>
    </row>
    <row r="14" spans="1:37" x14ac:dyDescent="0.25">
      <c r="A14" s="13" t="str">
        <f ca="1"/>
        <v>0x400D</v>
      </c>
      <c r="B14" s="14" t="str">
        <f ca="1"/>
        <v>CaptureComplete</v>
      </c>
      <c r="D14" s="8" t="str">
        <f ca="1"/>
        <v>CaptureComplete</v>
      </c>
      <c r="E14" s="8" t="str">
        <f ca="1"/>
        <v>CaptureComplete</v>
      </c>
      <c r="F14" s="8" t="str">
        <f ca="1"/>
        <v>CaptureComplete</v>
      </c>
      <c r="G14" s="8" t="str">
        <f ca="1"/>
        <v>CaptureComplete</v>
      </c>
      <c r="H14" s="7" t="str">
        <f ca="1"/>
        <v>CaptureComplete</v>
      </c>
      <c r="I14" s="7" t="str">
        <f ca="1"/>
        <v>CaptureComplete</v>
      </c>
      <c r="J14" s="7" t="str">
        <f ca="1"/>
        <v>CaptureComplete</v>
      </c>
      <c r="K14" s="7" t="str">
        <f ca="1"/>
        <v>CaptureComplete</v>
      </c>
      <c r="L14" s="7" t="str">
        <f ca="1"/>
        <v>CaptureComplete</v>
      </c>
      <c r="M14" s="7" t="str">
        <f ca="1"/>
        <v>CaptureComplete</v>
      </c>
      <c r="N14" s="7" t="str">
        <f ca="1"/>
        <v>CaptureComplete</v>
      </c>
      <c r="O14" s="7" t="str">
        <f ca="1"/>
        <v>CaptureComplete</v>
      </c>
      <c r="P14" s="7" t="str">
        <f ca="1"/>
        <v>CaptureComplete</v>
      </c>
      <c r="Q14" s="7" t="str">
        <f ca="1"/>
        <v>CaptureComplete</v>
      </c>
      <c r="T14" s="7" t="str">
        <f ca="1"/>
        <v>Z8</v>
      </c>
      <c r="U14" s="7" t="str">
        <f ca="1"/>
        <v>0x400D</v>
      </c>
      <c r="V14" s="7" t="str">
        <f ca="1"/>
        <v>CaptureComplete</v>
      </c>
      <c r="X14" s="8" t="s">
        <v>340</v>
      </c>
      <c r="Y14" s="8" t="s">
        <v>340</v>
      </c>
      <c r="Z14" s="8" t="s">
        <v>340</v>
      </c>
      <c r="AA14" s="8" t="s">
        <v>340</v>
      </c>
      <c r="AB14" s="7" t="s">
        <v>340</v>
      </c>
      <c r="AC14" s="7" t="s">
        <v>340</v>
      </c>
      <c r="AD14" s="7" t="s">
        <v>340</v>
      </c>
      <c r="AE14" s="7" t="s">
        <v>340</v>
      </c>
      <c r="AF14" s="7" t="s">
        <v>340</v>
      </c>
      <c r="AG14" s="7" t="s">
        <v>340</v>
      </c>
      <c r="AH14" s="7" t="s">
        <v>340</v>
      </c>
      <c r="AI14" s="7" t="s">
        <v>340</v>
      </c>
      <c r="AJ14" s="7" t="s">
        <v>340</v>
      </c>
      <c r="AK14" s="7" t="s">
        <v>344</v>
      </c>
    </row>
    <row r="15" spans="1:37" x14ac:dyDescent="0.25">
      <c r="A15" s="13" t="str">
        <f ca="1"/>
        <v>0xC101</v>
      </c>
      <c r="B15" s="14" t="str">
        <f ca="1"/>
        <v>ObjectAddedInSdram</v>
      </c>
      <c r="D15" s="8" t="str">
        <f ca="1"/>
        <v>ObjectAddedInSdram</v>
      </c>
      <c r="E15" s="8" t="str">
        <f ca="1"/>
        <v>ObjectAddedInSdram</v>
      </c>
      <c r="F15" s="8" t="str">
        <f ca="1"/>
        <v>ObjectAddedInSdram</v>
      </c>
      <c r="G15" s="8" t="str">
        <f ca="1"/>
        <v>ObjectAddedInSdram</v>
      </c>
      <c r="H15" s="7" t="str">
        <f ca="1"/>
        <v>ObjectAddedInSdram</v>
      </c>
      <c r="I15" s="7" t="str">
        <f ca="1"/>
        <v>ObjectAddedInSdram</v>
      </c>
      <c r="J15" s="7" t="str">
        <f ca="1"/>
        <v>ObjectAddedInSdram</v>
      </c>
      <c r="K15" s="7" t="str">
        <f ca="1"/>
        <v>ObjectAddedInSdram</v>
      </c>
      <c r="L15" s="7" t="str">
        <f ca="1"/>
        <v>ObjectAddedInSdram</v>
      </c>
      <c r="M15" s="7" t="str">
        <f ca="1"/>
        <v>ObjectAddedInSdram</v>
      </c>
      <c r="N15" s="7" t="str">
        <f ca="1"/>
        <v>ObjectAddedInSdram</v>
      </c>
      <c r="O15" s="7" t="str">
        <f ca="1"/>
        <v>ObjectAddedInSdram</v>
      </c>
      <c r="P15" s="7" t="str">
        <f ca="1"/>
        <v>ObjectAddedInSdram</v>
      </c>
      <c r="Q15" s="7" t="str">
        <f ca="1"/>
        <v>ObjectAddedInSdram</v>
      </c>
      <c r="T15" s="7" t="str">
        <f ca="1"/>
        <v>Z8</v>
      </c>
      <c r="U15" s="7" t="str">
        <f ca="1"/>
        <v>0xC101</v>
      </c>
      <c r="V15" s="7" t="str">
        <f ca="1"/>
        <v>ObjectAddedInSdram</v>
      </c>
      <c r="X15" s="8" t="s">
        <v>341</v>
      </c>
      <c r="Y15" s="8" t="s">
        <v>341</v>
      </c>
      <c r="Z15" s="8" t="s">
        <v>341</v>
      </c>
      <c r="AA15" s="8" t="s">
        <v>341</v>
      </c>
      <c r="AB15" s="7" t="s">
        <v>341</v>
      </c>
      <c r="AC15" s="7" t="s">
        <v>341</v>
      </c>
      <c r="AD15" s="7" t="s">
        <v>341</v>
      </c>
      <c r="AE15" s="7" t="s">
        <v>341</v>
      </c>
      <c r="AF15" s="7" t="s">
        <v>341</v>
      </c>
      <c r="AG15" s="7" t="s">
        <v>341</v>
      </c>
      <c r="AH15" s="7" t="s">
        <v>341</v>
      </c>
      <c r="AI15" s="7" t="s">
        <v>341</v>
      </c>
      <c r="AJ15" s="7" t="s">
        <v>341</v>
      </c>
      <c r="AK15" s="7" t="s">
        <v>345</v>
      </c>
    </row>
    <row r="16" spans="1:37" x14ac:dyDescent="0.25">
      <c r="A16" s="13" t="str">
        <f ca="1"/>
        <v>0xC102</v>
      </c>
      <c r="B16" s="14" t="str">
        <f ca="1"/>
        <v>CaptureCompleteRecInSdram</v>
      </c>
      <c r="D16" s="8" t="str">
        <f ca="1"/>
        <v>CaptureCompleteRecInSdram</v>
      </c>
      <c r="E16" s="8" t="str">
        <f ca="1"/>
        <v>CaptureCompleteRecInSdram</v>
      </c>
      <c r="F16" s="8" t="str">
        <f ca="1"/>
        <v>CaptureCompleteRecInSdram</v>
      </c>
      <c r="G16" s="8" t="str">
        <f ca="1"/>
        <v>CaptureCompleteRecInSdram</v>
      </c>
      <c r="H16" s="7" t="str">
        <f ca="1"/>
        <v>CaptureCompleteRecInSdram</v>
      </c>
      <c r="I16" s="7" t="str">
        <f ca="1"/>
        <v>CaptureCompleteRecInSdram</v>
      </c>
      <c r="J16" s="7" t="str">
        <f ca="1"/>
        <v>CaptureCompleteRecInSdram</v>
      </c>
      <c r="K16" s="7" t="str">
        <f ca="1"/>
        <v>CaptureCompleteRecInSdram</v>
      </c>
      <c r="L16" s="7" t="str">
        <f ca="1"/>
        <v>CaptureCompleteRecInSdram</v>
      </c>
      <c r="M16" s="7" t="str">
        <f ca="1"/>
        <v>CaptureCompleteRecInSdram</v>
      </c>
      <c r="N16" s="7" t="str">
        <f ca="1"/>
        <v>CaptureCompleteRecInSdram</v>
      </c>
      <c r="O16" s="7" t="str">
        <f ca="1"/>
        <v>CaptureCompleteRecInSdram</v>
      </c>
      <c r="P16" s="7" t="str">
        <f ca="1"/>
        <v>CaptureCompleteRecInSdram</v>
      </c>
      <c r="Q16" s="7" t="str">
        <f ca="1"/>
        <v>CaptureCompleteRecInSdram</v>
      </c>
      <c r="T16" s="7" t="str">
        <f ca="1"/>
        <v>Z8</v>
      </c>
      <c r="U16" s="7" t="str">
        <f ca="1"/>
        <v>0xC102</v>
      </c>
      <c r="V16" s="7" t="str">
        <f ca="1"/>
        <v>CaptureCompleteRecInSdram</v>
      </c>
      <c r="X16" s="8" t="s">
        <v>342</v>
      </c>
      <c r="Y16" s="8" t="s">
        <v>342</v>
      </c>
      <c r="Z16" s="8" t="s">
        <v>342</v>
      </c>
      <c r="AA16" s="8" t="s">
        <v>342</v>
      </c>
      <c r="AB16" s="7" t="s">
        <v>342</v>
      </c>
      <c r="AC16" s="7" t="s">
        <v>342</v>
      </c>
      <c r="AD16" s="7" t="s">
        <v>342</v>
      </c>
      <c r="AE16" s="7" t="s">
        <v>342</v>
      </c>
      <c r="AF16" s="7" t="s">
        <v>342</v>
      </c>
      <c r="AG16" s="7" t="s">
        <v>342</v>
      </c>
      <c r="AH16" s="7" t="s">
        <v>342</v>
      </c>
      <c r="AI16" s="7" t="s">
        <v>342</v>
      </c>
      <c r="AJ16" s="7" t="s">
        <v>342</v>
      </c>
      <c r="AK16" s="7" t="s">
        <v>346</v>
      </c>
    </row>
    <row r="17" spans="1:37" x14ac:dyDescent="0.25">
      <c r="A17" s="13" t="str">
        <f ca="1"/>
        <v>0xC103</v>
      </c>
      <c r="B17" s="14" t="str">
        <f ca="1"/>
        <v>CaptureSkip</v>
      </c>
      <c r="D17" s="8" t="str">
        <f ca="1"/>
        <v>CaptureSkip</v>
      </c>
      <c r="E17" s="8" t="str">
        <f ca="1"/>
        <v>CaptureSkip</v>
      </c>
      <c r="F17" s="8" t="str">
        <f ca="1"/>
        <v/>
      </c>
      <c r="G17" s="8" t="str">
        <f ca="1"/>
        <v/>
      </c>
      <c r="H17" s="7" t="str">
        <f ca="1"/>
        <v/>
      </c>
      <c r="I17" s="7" t="str">
        <f ca="1"/>
        <v/>
      </c>
      <c r="J17" s="7" t="str">
        <f ca="1"/>
        <v/>
      </c>
      <c r="K17" s="7" t="str">
        <f ca="1"/>
        <v/>
      </c>
      <c r="L17" s="7" t="str">
        <f ca="1"/>
        <v/>
      </c>
      <c r="M17" s="7" t="str">
        <f ca="1"/>
        <v/>
      </c>
      <c r="N17" s="7" t="str">
        <f ca="1"/>
        <v/>
      </c>
      <c r="O17" s="7" t="str">
        <f ca="1"/>
        <v/>
      </c>
      <c r="P17" s="7" t="str">
        <f ca="1"/>
        <v/>
      </c>
      <c r="Q17" s="7" t="str">
        <f ca="1"/>
        <v/>
      </c>
      <c r="T17" s="7" t="str">
        <f ca="1"/>
        <v>Z8</v>
      </c>
      <c r="U17" s="7" t="str">
        <f ca="1"/>
        <v>0xC103</v>
      </c>
      <c r="V17" s="7" t="str">
        <f ca="1"/>
        <v>CaptureSkip</v>
      </c>
      <c r="X17" s="8" t="s">
        <v>343</v>
      </c>
      <c r="Y17" s="8" t="s">
        <v>343</v>
      </c>
      <c r="Z17" s="8" t="s">
        <v>343</v>
      </c>
      <c r="AA17" s="8" t="s">
        <v>343</v>
      </c>
      <c r="AB17" s="7" t="s">
        <v>343</v>
      </c>
      <c r="AC17" s="7" t="s">
        <v>343</v>
      </c>
      <c r="AD17" s="7" t="s">
        <v>343</v>
      </c>
      <c r="AE17" s="7" t="s">
        <v>343</v>
      </c>
      <c r="AF17" s="7" t="s">
        <v>343</v>
      </c>
      <c r="AG17" s="7" t="s">
        <v>343</v>
      </c>
      <c r="AH17" s="7" t="s">
        <v>343</v>
      </c>
      <c r="AI17" s="7" t="s">
        <v>343</v>
      </c>
      <c r="AJ17" s="7" t="s">
        <v>343</v>
      </c>
      <c r="AK17" s="7" t="s">
        <v>347</v>
      </c>
    </row>
    <row r="18" spans="1:37" x14ac:dyDescent="0.25">
      <c r="A18" s="13" t="str">
        <f ca="1"/>
        <v>0xC104</v>
      </c>
      <c r="B18" s="14" t="str">
        <f ca="1"/>
        <v>PreviewImageAdded</v>
      </c>
      <c r="D18" s="8" t="str">
        <f ca="1"/>
        <v/>
      </c>
      <c r="E18" s="8" t="str">
        <f ca="1"/>
        <v/>
      </c>
      <c r="F18" s="8" t="str">
        <f ca="1"/>
        <v/>
      </c>
      <c r="G18" s="8" t="str">
        <f ca="1"/>
        <v/>
      </c>
      <c r="H18" s="7" t="str">
        <f ca="1"/>
        <v/>
      </c>
      <c r="I18" s="7" t="str">
        <f ca="1"/>
        <v/>
      </c>
      <c r="J18" s="7" t="str">
        <f ca="1"/>
        <v/>
      </c>
      <c r="K18" s="7" t="str">
        <f ca="1"/>
        <v/>
      </c>
      <c r="L18" s="7" t="str">
        <f ca="1"/>
        <v/>
      </c>
      <c r="M18" s="7" t="str">
        <f ca="1"/>
        <v/>
      </c>
      <c r="N18" s="7" t="str">
        <f ca="1"/>
        <v/>
      </c>
      <c r="O18" s="7" t="str">
        <f ca="1"/>
        <v/>
      </c>
      <c r="P18" s="7" t="str">
        <f ca="1"/>
        <v>PreviewImageAdded</v>
      </c>
      <c r="Q18" s="7" t="str">
        <f ca="1"/>
        <v>PreviewImageAdded</v>
      </c>
      <c r="T18" s="7" t="str">
        <f ca="1"/>
        <v>Z8</v>
      </c>
      <c r="U18" s="7" t="str">
        <f ca="1"/>
        <v>0xC105</v>
      </c>
      <c r="V18" s="7" t="str">
        <f ca="1"/>
        <v>MovieRecordInterrupted</v>
      </c>
      <c r="X18" s="8" t="s">
        <v>344</v>
      </c>
      <c r="Y18" s="8" t="s">
        <v>344</v>
      </c>
      <c r="Z18" s="8" t="s">
        <v>344</v>
      </c>
      <c r="AA18" s="8" t="s">
        <v>344</v>
      </c>
      <c r="AB18" s="7" t="s">
        <v>344</v>
      </c>
      <c r="AC18" s="7" t="s">
        <v>344</v>
      </c>
      <c r="AD18" s="7" t="s">
        <v>344</v>
      </c>
      <c r="AE18" s="7" t="s">
        <v>344</v>
      </c>
      <c r="AF18" s="7" t="s">
        <v>344</v>
      </c>
      <c r="AG18" s="7" t="s">
        <v>344</v>
      </c>
      <c r="AH18" s="7" t="s">
        <v>344</v>
      </c>
      <c r="AI18" s="7" t="s">
        <v>344</v>
      </c>
      <c r="AJ18" s="7" t="s">
        <v>344</v>
      </c>
      <c r="AK18" s="7" t="s">
        <v>348</v>
      </c>
    </row>
    <row r="19" spans="1:37" x14ac:dyDescent="0.25">
      <c r="A19" s="13" t="str">
        <f ca="1"/>
        <v>0xC105</v>
      </c>
      <c r="B19" s="14" t="str">
        <f ca="1"/>
        <v>MovieRecordInterrupted</v>
      </c>
      <c r="D19" s="8" t="str">
        <f ca="1"/>
        <v>MovieRecordInterrupted</v>
      </c>
      <c r="E19" s="8" t="str">
        <f ca="1"/>
        <v>MovieRecordInterrupted</v>
      </c>
      <c r="F19" s="8" t="str">
        <f ca="1"/>
        <v>MovieRecordInterrupted</v>
      </c>
      <c r="G19" s="8" t="str">
        <f ca="1"/>
        <v>MovieRecordInterrupted</v>
      </c>
      <c r="H19" s="7" t="str">
        <f ca="1"/>
        <v>MovieRecordInterrupted</v>
      </c>
      <c r="I19" s="7" t="str">
        <f ca="1"/>
        <v>MovieRecordInterrupted</v>
      </c>
      <c r="J19" s="7" t="str">
        <f ca="1"/>
        <v>MovieRecordInterrupted</v>
      </c>
      <c r="K19" s="7" t="str">
        <f ca="1"/>
        <v>MovieRecordInterrupted</v>
      </c>
      <c r="L19" s="7" t="str">
        <f ca="1"/>
        <v>MovieRecordInterrupted</v>
      </c>
      <c r="M19" s="7" t="str">
        <f ca="1"/>
        <v>RecordingInterrupted</v>
      </c>
      <c r="N19" s="7" t="str">
        <f ca="1"/>
        <v>RecordingInterrupted</v>
      </c>
      <c r="O19" s="7" t="str">
        <f ca="1"/>
        <v/>
      </c>
      <c r="P19" s="7" t="str">
        <f ca="1"/>
        <v/>
      </c>
      <c r="Q19" s="7" t="str">
        <f ca="1"/>
        <v/>
      </c>
      <c r="T19" s="7" t="str">
        <f ca="1"/>
        <v>Z8</v>
      </c>
      <c r="U19" s="7" t="str">
        <f ca="1"/>
        <v>0xC108</v>
      </c>
      <c r="V19" s="7" t="str">
        <f ca="1"/>
        <v>MovieRecordComplete</v>
      </c>
      <c r="X19" s="8" t="s">
        <v>345</v>
      </c>
      <c r="Y19" s="8" t="s">
        <v>345</v>
      </c>
      <c r="Z19" s="8" t="s">
        <v>345</v>
      </c>
      <c r="AA19" s="8" t="s">
        <v>345</v>
      </c>
      <c r="AB19" s="7" t="s">
        <v>345</v>
      </c>
      <c r="AC19" s="7" t="s">
        <v>345</v>
      </c>
      <c r="AD19" s="7" t="s">
        <v>345</v>
      </c>
      <c r="AE19" s="7" t="s">
        <v>345</v>
      </c>
      <c r="AF19" s="7" t="s">
        <v>345</v>
      </c>
      <c r="AG19" s="7" t="s">
        <v>345</v>
      </c>
      <c r="AH19" s="7" t="s">
        <v>345</v>
      </c>
      <c r="AI19" s="7" t="s">
        <v>345</v>
      </c>
      <c r="AJ19" s="7" t="s">
        <v>345</v>
      </c>
      <c r="AK19" s="7" t="s">
        <v>349</v>
      </c>
    </row>
    <row r="20" spans="1:37" x14ac:dyDescent="0.25">
      <c r="A20" s="13" t="str">
        <f ca="1"/>
        <v>0xC106</v>
      </c>
      <c r="B20" s="14" t="str">
        <f ca="1"/>
        <v>1stCaptureComplete</v>
      </c>
      <c r="D20" s="8" t="str">
        <f ca="1"/>
        <v/>
      </c>
      <c r="E20" s="8" t="str">
        <f ca="1"/>
        <v/>
      </c>
      <c r="F20" s="8" t="str">
        <f ca="1"/>
        <v/>
      </c>
      <c r="G20" s="8" t="str">
        <f ca="1"/>
        <v/>
      </c>
      <c r="H20" s="7" t="str">
        <f ca="1"/>
        <v/>
      </c>
      <c r="I20" s="7" t="str">
        <f ca="1"/>
        <v/>
      </c>
      <c r="J20" s="7" t="str">
        <f ca="1"/>
        <v/>
      </c>
      <c r="K20" s="7" t="str">
        <f ca="1"/>
        <v/>
      </c>
      <c r="L20" s="7" t="str">
        <f ca="1"/>
        <v>1stCaptureComplete</v>
      </c>
      <c r="M20" s="7" t="str">
        <f ca="1"/>
        <v>1stCaptureComplete</v>
      </c>
      <c r="N20" s="7" t="str">
        <f ca="1"/>
        <v/>
      </c>
      <c r="O20" s="7" t="str">
        <f ca="1"/>
        <v/>
      </c>
      <c r="P20" s="7" t="str">
        <f ca="1"/>
        <v/>
      </c>
      <c r="Q20" s="7" t="str">
        <f ca="1"/>
        <v/>
      </c>
      <c r="T20" s="7" t="str">
        <f ca="1"/>
        <v>Z8</v>
      </c>
      <c r="U20" s="7" t="str">
        <f ca="1"/>
        <v>0xC10A</v>
      </c>
      <c r="V20" s="7" t="str">
        <f ca="1"/>
        <v>MovieRecordStarted</v>
      </c>
      <c r="X20" s="8" t="s">
        <v>346</v>
      </c>
      <c r="Y20" s="8" t="s">
        <v>346</v>
      </c>
      <c r="Z20" s="8" t="s">
        <v>346</v>
      </c>
      <c r="AA20" s="8" t="s">
        <v>346</v>
      </c>
      <c r="AB20" s="7" t="s">
        <v>346</v>
      </c>
      <c r="AC20" s="7" t="s">
        <v>346</v>
      </c>
      <c r="AD20" s="7" t="s">
        <v>346</v>
      </c>
      <c r="AE20" s="7" t="s">
        <v>346</v>
      </c>
      <c r="AF20" s="7" t="s">
        <v>346</v>
      </c>
      <c r="AG20" s="7" t="s">
        <v>346</v>
      </c>
      <c r="AH20" s="7" t="s">
        <v>346</v>
      </c>
      <c r="AI20" s="7" t="s">
        <v>346</v>
      </c>
      <c r="AJ20" s="7" t="s">
        <v>346</v>
      </c>
      <c r="AK20" s="7" t="s">
        <v>350</v>
      </c>
    </row>
    <row r="21" spans="1:37" x14ac:dyDescent="0.25">
      <c r="A21" s="13" t="str">
        <f ca="1"/>
        <v>0xC107</v>
      </c>
      <c r="B21" s="14" t="str">
        <f ca="1"/>
        <v>MirrorUpCancelComplete</v>
      </c>
      <c r="D21" s="8" t="str">
        <f ca="1"/>
        <v/>
      </c>
      <c r="E21" s="8" t="str">
        <f ca="1"/>
        <v/>
      </c>
      <c r="F21" s="8" t="str">
        <f ca="1"/>
        <v/>
      </c>
      <c r="G21" s="8" t="str">
        <f ca="1"/>
        <v/>
      </c>
      <c r="H21" s="7" t="str">
        <f ca="1"/>
        <v/>
      </c>
      <c r="I21" s="7" t="str">
        <f ca="1"/>
        <v/>
      </c>
      <c r="J21" s="7" t="str">
        <f ca="1"/>
        <v/>
      </c>
      <c r="K21" s="7" t="str">
        <f ca="1"/>
        <v/>
      </c>
      <c r="L21" s="7" t="str">
        <f ca="1"/>
        <v>MirrorUpCancelComplete</v>
      </c>
      <c r="M21" s="7" t="str">
        <f ca="1"/>
        <v>MirrorUpCancelComplete</v>
      </c>
      <c r="N21" s="7" t="str">
        <f ca="1"/>
        <v/>
      </c>
      <c r="O21" s="7" t="str">
        <f ca="1"/>
        <v/>
      </c>
      <c r="P21" s="7" t="str">
        <f ca="1"/>
        <v/>
      </c>
      <c r="Q21" s="7" t="str">
        <f ca="1"/>
        <v/>
      </c>
      <c r="T21" s="7" t="str">
        <f ca="1"/>
        <v>Z8</v>
      </c>
      <c r="U21" s="7" t="str">
        <f ca="1"/>
        <v>0xC10B</v>
      </c>
      <c r="V21" s="7" t="str">
        <f ca="1"/>
        <v>PictureControlAdjustChanged</v>
      </c>
      <c r="X21" s="8" t="s">
        <v>347</v>
      </c>
      <c r="Y21" s="8" t="s">
        <v>347</v>
      </c>
      <c r="Z21" s="8" t="s">
        <v>347</v>
      </c>
      <c r="AA21" s="8" t="s">
        <v>347</v>
      </c>
      <c r="AB21" s="7" t="s">
        <v>347</v>
      </c>
      <c r="AC21" s="7" t="s">
        <v>347</v>
      </c>
      <c r="AD21" s="7" t="s">
        <v>347</v>
      </c>
      <c r="AE21" s="7" t="s">
        <v>347</v>
      </c>
      <c r="AF21" s="7" t="s">
        <v>347</v>
      </c>
      <c r="AG21" s="7" t="s">
        <v>347</v>
      </c>
      <c r="AH21" s="7" t="s">
        <v>347</v>
      </c>
      <c r="AI21" s="7" t="s">
        <v>347</v>
      </c>
      <c r="AJ21" s="7" t="s">
        <v>347</v>
      </c>
      <c r="AK21" s="7" t="s">
        <v>351</v>
      </c>
    </row>
    <row r="22" spans="1:37" x14ac:dyDescent="0.25">
      <c r="A22" s="13" t="str">
        <f ca="1"/>
        <v>0xC108</v>
      </c>
      <c r="B22" s="14" t="str">
        <f ca="1"/>
        <v>MovieRecordComplete</v>
      </c>
      <c r="D22" s="8" t="str">
        <f ca="1"/>
        <v>MovieRecordComplete</v>
      </c>
      <c r="E22" s="8" t="str">
        <f ca="1"/>
        <v>MovieRecordComplete</v>
      </c>
      <c r="F22" s="8" t="str">
        <f ca="1"/>
        <v>MovieRecordComplete</v>
      </c>
      <c r="G22" s="8" t="str">
        <f ca="1"/>
        <v>MovieRecordComplete</v>
      </c>
      <c r="H22" s="7" t="str">
        <f ca="1"/>
        <v>MovieRecordComplete</v>
      </c>
      <c r="I22" s="7" t="str">
        <f ca="1"/>
        <v>MovieRecordComplete</v>
      </c>
      <c r="J22" s="7" t="str">
        <f ca="1"/>
        <v>MovieRecordComplete</v>
      </c>
      <c r="K22" s="7" t="str">
        <f ca="1"/>
        <v>MovieRecordComplete</v>
      </c>
      <c r="L22" s="7" t="str">
        <f ca="1"/>
        <v>MovieRecordComplete</v>
      </c>
      <c r="M22" s="7" t="str">
        <f ca="1"/>
        <v>MovieRecordComplete</v>
      </c>
      <c r="N22" s="7" t="str">
        <f ca="1"/>
        <v/>
      </c>
      <c r="O22" s="7" t="str">
        <f ca="1"/>
        <v/>
      </c>
      <c r="P22" s="7" t="str">
        <f ca="1"/>
        <v/>
      </c>
      <c r="Q22" s="7" t="str">
        <f ca="1"/>
        <v/>
      </c>
      <c r="T22" s="7" t="str">
        <f ca="1"/>
        <v>Z8</v>
      </c>
      <c r="U22" s="7" t="str">
        <f ca="1"/>
        <v>0xC10C</v>
      </c>
      <c r="V22" s="7" t="str">
        <f ca="1"/>
        <v>LiveViewStateChanged</v>
      </c>
      <c r="X22" s="8" t="s">
        <v>348</v>
      </c>
      <c r="Y22" s="8" t="s">
        <v>348</v>
      </c>
      <c r="Z22" s="8" t="s">
        <v>348</v>
      </c>
      <c r="AA22" s="8" t="s">
        <v>348</v>
      </c>
      <c r="AB22" s="7" t="s">
        <v>348</v>
      </c>
      <c r="AC22" s="7" t="s">
        <v>348</v>
      </c>
      <c r="AD22" s="7" t="s">
        <v>348</v>
      </c>
      <c r="AE22" s="7" t="s">
        <v>348</v>
      </c>
      <c r="AF22" s="7" t="s">
        <v>348</v>
      </c>
      <c r="AG22" s="7" t="s">
        <v>348</v>
      </c>
      <c r="AH22" s="7" t="s">
        <v>348</v>
      </c>
      <c r="AI22" s="7" t="s">
        <v>348</v>
      </c>
      <c r="AJ22" s="7" t="s">
        <v>348</v>
      </c>
      <c r="AK22" s="7" t="s">
        <v>352</v>
      </c>
    </row>
    <row r="23" spans="1:37" x14ac:dyDescent="0.25">
      <c r="A23" s="13" t="str">
        <f ca="1"/>
        <v>0xC10A</v>
      </c>
      <c r="B23" s="14" t="str">
        <f ca="1"/>
        <v>MovieRecordStarted</v>
      </c>
      <c r="D23" s="8" t="str">
        <f ca="1"/>
        <v>MovieRecordStarted</v>
      </c>
      <c r="E23" s="8" t="str">
        <f ca="1"/>
        <v>MovieRecordStarted</v>
      </c>
      <c r="F23" s="8" t="str">
        <f ca="1"/>
        <v>MovieRecordStarted</v>
      </c>
      <c r="G23" s="8" t="str">
        <f ca="1"/>
        <v>MovieRecordStarted</v>
      </c>
      <c r="H23" s="7" t="str">
        <f ca="1"/>
        <v>MovieRecordStarted</v>
      </c>
      <c r="I23" s="7" t="str">
        <f ca="1"/>
        <v>MovieRecordStarted</v>
      </c>
      <c r="J23" s="7" t="str">
        <f ca="1"/>
        <v>MovieRecordStarted</v>
      </c>
      <c r="K23" s="7" t="str">
        <f ca="1"/>
        <v>MovieRecordStarted</v>
      </c>
      <c r="L23" s="7" t="str">
        <f ca="1"/>
        <v>MovieRecordStarted</v>
      </c>
      <c r="M23" s="7" t="str">
        <f ca="1"/>
        <v/>
      </c>
      <c r="N23" s="7" t="str">
        <f ca="1"/>
        <v/>
      </c>
      <c r="O23" s="7" t="str">
        <f ca="1"/>
        <v/>
      </c>
      <c r="P23" s="7" t="str">
        <f ca="1"/>
        <v/>
      </c>
      <c r="Q23" s="7" t="str">
        <f ca="1"/>
        <v/>
      </c>
      <c r="T23" s="7" t="str">
        <f ca="1"/>
        <v>Z8</v>
      </c>
      <c r="U23" s="7" t="str">
        <f ca="1"/>
        <v>0xC10D</v>
      </c>
      <c r="V23" s="7" t="str">
        <f ca="1"/>
        <v>PixelMappingComplete</v>
      </c>
      <c r="X23" s="8" t="s">
        <v>349</v>
      </c>
      <c r="Y23" s="8" t="s">
        <v>349</v>
      </c>
      <c r="Z23" s="8" t="s">
        <v>349</v>
      </c>
      <c r="AA23" s="8" t="s">
        <v>349</v>
      </c>
      <c r="AB23" s="7" t="s">
        <v>349</v>
      </c>
      <c r="AC23" s="7" t="s">
        <v>349</v>
      </c>
      <c r="AD23" s="7" t="s">
        <v>349</v>
      </c>
      <c r="AE23" s="7" t="s">
        <v>349</v>
      </c>
      <c r="AF23" s="7" t="s">
        <v>349</v>
      </c>
      <c r="AG23" s="7" t="s">
        <v>349</v>
      </c>
      <c r="AH23" s="7" t="s">
        <v>349</v>
      </c>
      <c r="AI23" s="7" t="s">
        <v>349</v>
      </c>
      <c r="AJ23" s="7" t="s">
        <v>349</v>
      </c>
      <c r="AK23" s="7" t="s">
        <v>353</v>
      </c>
    </row>
    <row r="24" spans="1:37" x14ac:dyDescent="0.25">
      <c r="A24" s="13" t="str">
        <f ca="1"/>
        <v>0xC10B</v>
      </c>
      <c r="B24" s="14" t="str">
        <f ca="1"/>
        <v>PictureControlAdjustChanged</v>
      </c>
      <c r="D24" s="8" t="str">
        <f ca="1"/>
        <v>PictureControlAdjustChanged</v>
      </c>
      <c r="E24" s="8" t="str">
        <f ca="1"/>
        <v>PictureControlAdjustChanged</v>
      </c>
      <c r="F24" s="8" t="str">
        <f ca="1"/>
        <v>PictureControlAdjustChanged</v>
      </c>
      <c r="G24" s="8" t="str">
        <f ca="1"/>
        <v>PictureControlAdjustChanged</v>
      </c>
      <c r="H24" s="7" t="str">
        <f ca="1"/>
        <v>PictureControlAdjustChanged</v>
      </c>
      <c r="I24" s="7" t="str">
        <f ca="1"/>
        <v>PictureControlAdjustChanged</v>
      </c>
      <c r="J24" s="7" t="str">
        <f ca="1"/>
        <v>PictureControlAdjustChanged</v>
      </c>
      <c r="K24" s="7" t="str">
        <f ca="1"/>
        <v>PictureControlAdjustChanged</v>
      </c>
      <c r="L24" s="7" t="str">
        <f ca="1"/>
        <v>PictureControlAdjustChanged</v>
      </c>
      <c r="M24" s="7" t="str">
        <f ca="1"/>
        <v/>
      </c>
      <c r="N24" s="7" t="str">
        <f ca="1"/>
        <v/>
      </c>
      <c r="O24" s="7" t="str">
        <f ca="1"/>
        <v/>
      </c>
      <c r="P24" s="7" t="str">
        <f ca="1"/>
        <v/>
      </c>
      <c r="Q24" s="7" t="str">
        <f ca="1"/>
        <v/>
      </c>
      <c r="T24" s="7" t="str">
        <f ca="1"/>
        <v>Z8</v>
      </c>
      <c r="U24" s="7" t="str">
        <f ca="1"/>
        <v>0xC10E</v>
      </c>
      <c r="V24" s="7" t="str">
        <f ca="1"/>
        <v>ManualSettingLensDataChanged</v>
      </c>
      <c r="X24" s="8" t="s">
        <v>350</v>
      </c>
      <c r="Y24" s="8" t="s">
        <v>350</v>
      </c>
      <c r="Z24" s="8" t="s">
        <v>350</v>
      </c>
      <c r="AA24" s="8" t="s">
        <v>350</v>
      </c>
      <c r="AB24" s="7" t="s">
        <v>350</v>
      </c>
      <c r="AC24" s="7" t="s">
        <v>350</v>
      </c>
      <c r="AD24" s="7" t="s">
        <v>350</v>
      </c>
      <c r="AE24" s="7" t="s">
        <v>350</v>
      </c>
      <c r="AF24" s="7" t="s">
        <v>350</v>
      </c>
      <c r="AG24" s="7" t="s">
        <v>350</v>
      </c>
      <c r="AH24" s="7" t="s">
        <v>350</v>
      </c>
      <c r="AI24" s="7" t="s">
        <v>350</v>
      </c>
      <c r="AJ24" s="7" t="s">
        <v>350</v>
      </c>
      <c r="AK24" s="7" t="s">
        <v>354</v>
      </c>
    </row>
    <row r="25" spans="1:37" x14ac:dyDescent="0.25">
      <c r="A25" s="13" t="str">
        <f ca="1"/>
        <v>0xC10C</v>
      </c>
      <c r="B25" s="14" t="str">
        <f ca="1"/>
        <v>LiveViewStateChanged</v>
      </c>
      <c r="D25" s="8" t="str">
        <f ca="1"/>
        <v>LiveViewStateChanged</v>
      </c>
      <c r="E25" s="8" t="str">
        <f ca="1"/>
        <v>LiveViewStateChanged</v>
      </c>
      <c r="F25" s="8" t="str">
        <f ca="1"/>
        <v>LiveViewStateChanged</v>
      </c>
      <c r="G25" s="8" t="str">
        <f ca="1"/>
        <v>LiveViewStateChanged</v>
      </c>
      <c r="H25" s="7" t="str">
        <f ca="1"/>
        <v>LiveViewStateChanged</v>
      </c>
      <c r="I25" s="7" t="str">
        <f ca="1"/>
        <v>LiveViewStateChanged</v>
      </c>
      <c r="J25" s="7" t="str">
        <f ca="1"/>
        <v>LiveViewStateChanged</v>
      </c>
      <c r="K25" s="7" t="str">
        <f ca="1"/>
        <v>LiveViewStateChanged</v>
      </c>
      <c r="L25" s="7" t="str">
        <f ca="1"/>
        <v>LiveViewStateChanged</v>
      </c>
      <c r="M25" s="7" t="str">
        <f ca="1"/>
        <v/>
      </c>
      <c r="N25" s="7" t="str">
        <f ca="1"/>
        <v/>
      </c>
      <c r="O25" s="7" t="str">
        <f ca="1"/>
        <v/>
      </c>
      <c r="P25" s="7" t="str">
        <f ca="1"/>
        <v/>
      </c>
      <c r="Q25" s="7" t="str">
        <f ca="1"/>
        <v/>
      </c>
      <c r="T25" s="7" t="str">
        <f ca="1"/>
        <v>Z8</v>
      </c>
      <c r="U25" s="7" t="str">
        <f ca="1"/>
        <v>0xC10F</v>
      </c>
      <c r="V25" s="7" t="str">
        <f ca="1"/>
        <v>OpenCaptureComplete</v>
      </c>
      <c r="X25" s="8" t="s">
        <v>351</v>
      </c>
      <c r="Y25" s="8" t="s">
        <v>351</v>
      </c>
      <c r="Z25" s="8" t="s">
        <v>351</v>
      </c>
      <c r="AA25" s="8" t="s">
        <v>351</v>
      </c>
      <c r="AB25" s="7" t="s">
        <v>351</v>
      </c>
      <c r="AC25" s="7" t="s">
        <v>351</v>
      </c>
      <c r="AD25" s="7" t="s">
        <v>351</v>
      </c>
      <c r="AE25" s="7" t="s">
        <v>351</v>
      </c>
      <c r="AF25" s="7" t="s">
        <v>351</v>
      </c>
      <c r="AG25" s="7" t="s">
        <v>351</v>
      </c>
      <c r="AH25" s="7" t="s">
        <v>351</v>
      </c>
      <c r="AI25" s="7" t="s">
        <v>351</v>
      </c>
      <c r="AJ25" s="7" t="s">
        <v>351</v>
      </c>
      <c r="AK25" s="7" t="s">
        <v>355</v>
      </c>
    </row>
    <row r="26" spans="1:37" x14ac:dyDescent="0.25">
      <c r="A26" s="13" t="str">
        <f ca="1"/>
        <v>0xC10D</v>
      </c>
      <c r="B26" s="14" t="str">
        <f ca="1"/>
        <v>PixelMappingComplete</v>
      </c>
      <c r="D26" s="8" t="str">
        <f ca="1"/>
        <v>PixelMappingComplete</v>
      </c>
      <c r="E26" s="8" t="str">
        <f ca="1"/>
        <v>PixelMappingComplete</v>
      </c>
      <c r="F26" s="8" t="str">
        <f ca="1"/>
        <v>PixelMappingComplete</v>
      </c>
      <c r="G26" s="8" t="str">
        <f ca="1"/>
        <v>PixelMappingComplete</v>
      </c>
      <c r="H26" s="7" t="str">
        <f ca="1"/>
        <v/>
      </c>
      <c r="I26" s="7" t="str">
        <f ca="1"/>
        <v/>
      </c>
      <c r="J26" s="7" t="str">
        <f ca="1"/>
        <v/>
      </c>
      <c r="K26" s="7" t="str">
        <f ca="1"/>
        <v>PixelMappingComplete</v>
      </c>
      <c r="L26" s="7" t="str">
        <f ca="1"/>
        <v>PixelMappingComplete</v>
      </c>
      <c r="M26" s="7" t="str">
        <f ca="1"/>
        <v/>
      </c>
      <c r="N26" s="7" t="str">
        <f ca="1"/>
        <v/>
      </c>
      <c r="O26" s="7" t="str">
        <f ca="1"/>
        <v/>
      </c>
      <c r="P26" s="7" t="str">
        <f ca="1"/>
        <v/>
      </c>
      <c r="Q26" s="7" t="str">
        <f ca="1"/>
        <v/>
      </c>
      <c r="T26" s="7" t="str">
        <f ca="1"/>
        <v>Z8</v>
      </c>
      <c r="U26" s="7" t="str">
        <f ca="1"/>
        <v>0xC120</v>
      </c>
      <c r="V26" s="7" t="str">
        <f ca="1"/>
        <v>SBAdded</v>
      </c>
      <c r="X26" s="8" t="s">
        <v>352</v>
      </c>
      <c r="Y26" s="8" t="s">
        <v>352</v>
      </c>
      <c r="Z26" s="8" t="s">
        <v>352</v>
      </c>
      <c r="AA26" s="8" t="s">
        <v>352</v>
      </c>
      <c r="AB26" s="7" t="s">
        <v>352</v>
      </c>
      <c r="AC26" s="7" t="s">
        <v>352</v>
      </c>
      <c r="AD26" s="7" t="s">
        <v>352</v>
      </c>
      <c r="AE26" s="7" t="s">
        <v>352</v>
      </c>
      <c r="AF26" s="7" t="s">
        <v>352</v>
      </c>
      <c r="AG26" s="7" t="s">
        <v>352</v>
      </c>
      <c r="AH26" s="7" t="s">
        <v>352</v>
      </c>
      <c r="AI26" s="7" t="s">
        <v>352</v>
      </c>
      <c r="AJ26" s="7" t="s">
        <v>352</v>
      </c>
      <c r="AK26" s="7" t="s">
        <v>356</v>
      </c>
    </row>
    <row r="27" spans="1:37" x14ac:dyDescent="0.25">
      <c r="A27" s="13" t="str">
        <f ca="1"/>
        <v>0xC10E</v>
      </c>
      <c r="B27" s="14" t="str">
        <f ca="1"/>
        <v>ManualSettingLensDataChanged</v>
      </c>
      <c r="D27" s="8" t="str">
        <f ca="1"/>
        <v>ManualSettingLensDataChanged</v>
      </c>
      <c r="E27" s="8" t="str">
        <f ca="1"/>
        <v>ManualSettingLensDataChanged</v>
      </c>
      <c r="F27" s="8" t="str">
        <f ca="1"/>
        <v>ManualSettingLensDataChanged</v>
      </c>
      <c r="G27" s="8" t="str">
        <f ca="1"/>
        <v>ManualSettingLensDataChanged</v>
      </c>
      <c r="H27" s="7" t="str">
        <f ca="1"/>
        <v/>
      </c>
      <c r="I27" s="7" t="str">
        <f ca="1"/>
        <v>ManualSettingLensDataChanged</v>
      </c>
      <c r="J27" s="7" t="str">
        <f ca="1"/>
        <v>ManualSettingLensDataChanged</v>
      </c>
      <c r="K27" s="7" t="str">
        <f ca="1"/>
        <v>ManualSettingLensDataChanged</v>
      </c>
      <c r="L27" s="7" t="str">
        <f ca="1"/>
        <v>ManualSettingLensDataChanged</v>
      </c>
      <c r="M27" s="7" t="str">
        <f ca="1"/>
        <v/>
      </c>
      <c r="N27" s="7" t="str">
        <f ca="1"/>
        <v/>
      </c>
      <c r="O27" s="7" t="str">
        <f ca="1"/>
        <v/>
      </c>
      <c r="P27" s="7" t="str">
        <f ca="1"/>
        <v/>
      </c>
      <c r="Q27" s="7" t="str">
        <f ca="1"/>
        <v/>
      </c>
      <c r="T27" s="7" t="str">
        <f ca="1"/>
        <v>Z8</v>
      </c>
      <c r="U27" s="7" t="str">
        <f ca="1"/>
        <v>0xC121</v>
      </c>
      <c r="V27" s="7" t="str">
        <f ca="1"/>
        <v>SBRemoved</v>
      </c>
      <c r="X27" s="8" t="s">
        <v>353</v>
      </c>
      <c r="Y27" s="8" t="s">
        <v>353</v>
      </c>
      <c r="Z27" s="8" t="s">
        <v>353</v>
      </c>
      <c r="AA27" s="8" t="s">
        <v>353</v>
      </c>
      <c r="AB27" s="7" t="s">
        <v>353</v>
      </c>
      <c r="AC27" s="7" t="s">
        <v>353</v>
      </c>
      <c r="AD27" s="7" t="s">
        <v>353</v>
      </c>
      <c r="AE27" s="7" t="s">
        <v>353</v>
      </c>
      <c r="AF27" s="7" t="s">
        <v>353</v>
      </c>
      <c r="AG27" s="7" t="s">
        <v>353</v>
      </c>
      <c r="AH27" s="7" t="s">
        <v>353</v>
      </c>
      <c r="AI27" s="7" t="s">
        <v>353</v>
      </c>
      <c r="AJ27" s="7" t="s">
        <v>353</v>
      </c>
      <c r="AK27" s="7" t="s">
        <v>1746</v>
      </c>
    </row>
    <row r="28" spans="1:37" x14ac:dyDescent="0.25">
      <c r="A28" s="13" t="str">
        <f ca="1"/>
        <v>0xC10F</v>
      </c>
      <c r="B28" s="14" t="str">
        <f ca="1"/>
        <v>OpenCaptureComplete</v>
      </c>
      <c r="D28" s="8" t="str">
        <f ca="1"/>
        <v>OpenCaptureComplete</v>
      </c>
      <c r="E28" s="8" t="str">
        <f ca="1"/>
        <v>OpenCaptureComplete</v>
      </c>
      <c r="F28" s="8" t="str">
        <f ca="1"/>
        <v/>
      </c>
      <c r="G28" s="8" t="str">
        <f ca="1"/>
        <v/>
      </c>
      <c r="H28" s="7" t="str">
        <f ca="1"/>
        <v/>
      </c>
      <c r="I28" s="7" t="str">
        <f ca="1"/>
        <v/>
      </c>
      <c r="J28" s="7" t="str">
        <f ca="1"/>
        <v/>
      </c>
      <c r="K28" s="7" t="str">
        <f ca="1"/>
        <v/>
      </c>
      <c r="L28" s="7" t="str">
        <f ca="1"/>
        <v/>
      </c>
      <c r="M28" s="7" t="str">
        <f ca="1"/>
        <v/>
      </c>
      <c r="N28" s="7" t="str">
        <f ca="1"/>
        <v/>
      </c>
      <c r="O28" s="7" t="str">
        <f ca="1"/>
        <v/>
      </c>
      <c r="P28" s="7" t="str">
        <f ca="1"/>
        <v/>
      </c>
      <c r="Q28" s="7" t="str">
        <f ca="1"/>
        <v/>
      </c>
      <c r="T28" s="7" t="str">
        <f ca="1"/>
        <v>Z8</v>
      </c>
      <c r="U28" s="7" t="str">
        <f ca="1"/>
        <v>0xC122</v>
      </c>
      <c r="V28" s="7" t="str">
        <f ca="1"/>
        <v>SBAttrChanged</v>
      </c>
      <c r="X28" s="8" t="s">
        <v>354</v>
      </c>
      <c r="Y28" s="8" t="s">
        <v>354</v>
      </c>
      <c r="Z28" s="8" t="s">
        <v>354</v>
      </c>
      <c r="AA28" s="8" t="s">
        <v>354</v>
      </c>
      <c r="AB28" s="7" t="s">
        <v>354</v>
      </c>
      <c r="AC28" s="7" t="s">
        <v>354</v>
      </c>
      <c r="AD28" s="7" t="s">
        <v>354</v>
      </c>
      <c r="AE28" s="7" t="s">
        <v>354</v>
      </c>
      <c r="AF28" s="7" t="s">
        <v>354</v>
      </c>
      <c r="AG28" s="7" t="s">
        <v>354</v>
      </c>
      <c r="AH28" s="7" t="s">
        <v>354</v>
      </c>
      <c r="AI28" s="7" t="s">
        <v>354</v>
      </c>
      <c r="AJ28" s="7" t="s">
        <v>354</v>
      </c>
      <c r="AK28" s="7" t="s">
        <v>1747</v>
      </c>
    </row>
    <row r="29" spans="1:37" x14ac:dyDescent="0.25">
      <c r="A29" s="13" t="str">
        <f ca="1"/>
        <v>0xC120</v>
      </c>
      <c r="B29" s="14" t="str">
        <f ca="1"/>
        <v>SBAdded</v>
      </c>
      <c r="D29" s="8" t="str">
        <f ca="1"/>
        <v>SBAdded</v>
      </c>
      <c r="E29" s="8" t="str">
        <f ca="1"/>
        <v>SBAdded</v>
      </c>
      <c r="F29" s="8" t="str">
        <f ca="1"/>
        <v>SBAdded</v>
      </c>
      <c r="G29" s="8" t="str">
        <f ca="1"/>
        <v>SBAdded</v>
      </c>
      <c r="H29" s="7" t="str">
        <f ca="1"/>
        <v/>
      </c>
      <c r="I29" s="7" t="str">
        <f ca="1"/>
        <v>SBAdded</v>
      </c>
      <c r="J29" s="7" t="str">
        <f ca="1"/>
        <v>SBAdded</v>
      </c>
      <c r="K29" s="7" t="str">
        <f ca="1"/>
        <v>SBAdded</v>
      </c>
      <c r="L29" s="7" t="str">
        <f ca="1"/>
        <v>SBAdded</v>
      </c>
      <c r="M29" s="7" t="str">
        <f ca="1"/>
        <v>SBAdded</v>
      </c>
      <c r="N29" s="7" t="str">
        <f ca="1"/>
        <v/>
      </c>
      <c r="O29" s="7" t="str">
        <f ca="1"/>
        <v/>
      </c>
      <c r="P29" s="7" t="str">
        <f ca="1"/>
        <v/>
      </c>
      <c r="Q29" s="7" t="str">
        <f ca="1"/>
        <v/>
      </c>
      <c r="T29" s="7" t="str">
        <f ca="1"/>
        <v>Z8</v>
      </c>
      <c r="U29" s="7" t="str">
        <f ca="1"/>
        <v>0xC123</v>
      </c>
      <c r="V29" s="7" t="str">
        <f ca="1"/>
        <v>SBGroupAttrChanged</v>
      </c>
      <c r="X29" s="8" t="s">
        <v>355</v>
      </c>
      <c r="Y29" s="8" t="s">
        <v>355</v>
      </c>
      <c r="Z29" s="8" t="s">
        <v>355</v>
      </c>
      <c r="AA29" s="8" t="s">
        <v>355</v>
      </c>
      <c r="AB29" s="7" t="s">
        <v>355</v>
      </c>
      <c r="AC29" s="7" t="s">
        <v>355</v>
      </c>
      <c r="AD29" s="7" t="s">
        <v>355</v>
      </c>
      <c r="AE29" s="7" t="s">
        <v>355</v>
      </c>
      <c r="AF29" s="7" t="s">
        <v>355</v>
      </c>
      <c r="AG29" s="7" t="s">
        <v>355</v>
      </c>
      <c r="AH29" s="7" t="s">
        <v>355</v>
      </c>
      <c r="AI29" s="7" t="s">
        <v>355</v>
      </c>
      <c r="AJ29" s="7" t="s">
        <v>355</v>
      </c>
    </row>
    <row r="30" spans="1:37" x14ac:dyDescent="0.25">
      <c r="A30" s="13" t="str">
        <f ca="1"/>
        <v>0xC121</v>
      </c>
      <c r="B30" s="14" t="str">
        <f ca="1"/>
        <v>SBRemoved</v>
      </c>
      <c r="D30" s="8" t="str">
        <f ca="1"/>
        <v>SBRemoved</v>
      </c>
      <c r="E30" s="8" t="str">
        <f ca="1"/>
        <v>SBRemoved</v>
      </c>
      <c r="F30" s="8" t="str">
        <f ca="1"/>
        <v>SBRemoved</v>
      </c>
      <c r="G30" s="8" t="str">
        <f ca="1"/>
        <v>SBRemoved</v>
      </c>
      <c r="H30" s="7" t="str">
        <f ca="1"/>
        <v/>
      </c>
      <c r="I30" s="7" t="str">
        <f ca="1"/>
        <v>SBRemoved</v>
      </c>
      <c r="J30" s="7" t="str">
        <f ca="1"/>
        <v>SBRemoved</v>
      </c>
      <c r="K30" s="7" t="str">
        <f ca="1"/>
        <v>SBRemoved</v>
      </c>
      <c r="L30" s="7" t="str">
        <f ca="1"/>
        <v>SBRemoved</v>
      </c>
      <c r="M30" s="7" t="str">
        <f ca="1"/>
        <v>SBRemoved</v>
      </c>
      <c r="N30" s="7" t="str">
        <f ca="1"/>
        <v/>
      </c>
      <c r="O30" s="7" t="str">
        <f ca="1"/>
        <v/>
      </c>
      <c r="P30" s="7" t="str">
        <f ca="1"/>
        <v/>
      </c>
      <c r="Q30" s="7" t="str">
        <f ca="1"/>
        <v/>
      </c>
      <c r="T30" s="7" t="str">
        <f ca="1"/>
        <v>Z8</v>
      </c>
      <c r="U30" s="7" t="str">
        <f ca="1"/>
        <v>0xC125</v>
      </c>
      <c r="V30" s="7" t="str">
        <f ca="1"/>
        <v>HlgQualityAdjustChanged</v>
      </c>
      <c r="X30" s="8" t="s">
        <v>356</v>
      </c>
      <c r="Y30" s="8" t="s">
        <v>356</v>
      </c>
      <c r="Z30" s="8" t="s">
        <v>356</v>
      </c>
      <c r="AA30" s="8" t="s">
        <v>356</v>
      </c>
      <c r="AB30" s="7" t="s">
        <v>356</v>
      </c>
      <c r="AC30" s="7" t="s">
        <v>356</v>
      </c>
      <c r="AD30" s="7" t="s">
        <v>356</v>
      </c>
      <c r="AE30" s="7" t="s">
        <v>356</v>
      </c>
      <c r="AF30" s="7" t="s">
        <v>356</v>
      </c>
      <c r="AG30" s="7" t="s">
        <v>356</v>
      </c>
      <c r="AH30" s="7" t="s">
        <v>356</v>
      </c>
      <c r="AI30" s="7" t="s">
        <v>356</v>
      </c>
      <c r="AJ30" s="7" t="s">
        <v>356</v>
      </c>
    </row>
    <row r="31" spans="1:37" x14ac:dyDescent="0.25">
      <c r="A31" s="13" t="str">
        <f ca="1"/>
        <v>0xC122</v>
      </c>
      <c r="B31" s="14" t="str">
        <f ca="1"/>
        <v>SBAttrChanged</v>
      </c>
      <c r="D31" s="8" t="str">
        <f ca="1"/>
        <v>SBAttrChanged</v>
      </c>
      <c r="E31" s="8" t="str">
        <f ca="1"/>
        <v>SBAttrChanged</v>
      </c>
      <c r="F31" s="8" t="str">
        <f ca="1"/>
        <v>SBAttrChanged</v>
      </c>
      <c r="G31" s="8" t="str">
        <f ca="1"/>
        <v>SBAttrChanged</v>
      </c>
      <c r="H31" s="7" t="str">
        <f ca="1"/>
        <v/>
      </c>
      <c r="I31" s="7" t="str">
        <f ca="1"/>
        <v>SBAttrChanged</v>
      </c>
      <c r="J31" s="7" t="str">
        <f ca="1"/>
        <v>SBAttrChanged</v>
      </c>
      <c r="K31" s="7" t="str">
        <f ca="1"/>
        <v>SBAttrChanged</v>
      </c>
      <c r="L31" s="7" t="str">
        <f ca="1"/>
        <v>SBAttrChanged</v>
      </c>
      <c r="M31" s="7" t="str">
        <f ca="1"/>
        <v>SBAttrChanged</v>
      </c>
      <c r="N31" s="7" t="str">
        <f ca="1"/>
        <v/>
      </c>
      <c r="O31" s="7" t="str">
        <f ca="1"/>
        <v/>
      </c>
      <c r="P31" s="7" t="str">
        <f ca="1"/>
        <v/>
      </c>
      <c r="Q31" s="7" t="str">
        <f ca="1"/>
        <v/>
      </c>
      <c r="T31" s="7" t="str">
        <f ca="1"/>
        <v>Z8</v>
      </c>
      <c r="U31" s="7" t="str">
        <f ca="1"/>
        <v>0xC126</v>
      </c>
      <c r="V31" s="7" t="str">
        <f ca="1"/>
        <v>PortraitImpressionBalanceAdjustChanged</v>
      </c>
      <c r="X31" s="8" t="s">
        <v>357</v>
      </c>
      <c r="Y31" s="8" t="s">
        <v>357</v>
      </c>
      <c r="Z31" s="8" t="s">
        <v>359</v>
      </c>
      <c r="AA31" s="8" t="s">
        <v>359</v>
      </c>
      <c r="AB31" s="7" t="s">
        <v>359</v>
      </c>
      <c r="AC31" s="7" t="s">
        <v>359</v>
      </c>
      <c r="AD31" s="7" t="s">
        <v>359</v>
      </c>
      <c r="AE31" s="7" t="s">
        <v>359</v>
      </c>
      <c r="AF31" s="7" t="s">
        <v>359</v>
      </c>
      <c r="AG31" s="7" t="s">
        <v>359</v>
      </c>
      <c r="AH31" s="7" t="s">
        <v>359</v>
      </c>
      <c r="AJ31" s="7" t="s">
        <v>1746</v>
      </c>
    </row>
    <row r="32" spans="1:37" x14ac:dyDescent="0.25">
      <c r="A32" s="13" t="str">
        <f ca="1"/>
        <v>0xC123</v>
      </c>
      <c r="B32" s="14" t="str">
        <f ca="1"/>
        <v>SBGroupAttrChanged</v>
      </c>
      <c r="D32" s="8" t="str">
        <f ca="1"/>
        <v>SBGroupAttrChanged</v>
      </c>
      <c r="E32" s="8" t="str">
        <f ca="1"/>
        <v>SBGroupAttrChanged</v>
      </c>
      <c r="F32" s="8" t="str">
        <f ca="1"/>
        <v>SBGroupAttrChanged</v>
      </c>
      <c r="G32" s="8" t="str">
        <f ca="1"/>
        <v>SBGroupAttrChanged</v>
      </c>
      <c r="H32" s="7" t="str">
        <f ca="1"/>
        <v/>
      </c>
      <c r="I32" s="7" t="str">
        <f ca="1"/>
        <v>SBGroupAttrChanged</v>
      </c>
      <c r="J32" s="7" t="str">
        <f ca="1"/>
        <v>SBGroupAttrChanged</v>
      </c>
      <c r="K32" s="7" t="str">
        <f ca="1"/>
        <v>SBGroupAttrChanged</v>
      </c>
      <c r="L32" s="7" t="str">
        <f ca="1"/>
        <v>SBGroupAttrChanged</v>
      </c>
      <c r="M32" s="7" t="str">
        <f ca="1"/>
        <v>SBGroupAttrChanged</v>
      </c>
      <c r="N32" s="7" t="str">
        <f ca="1"/>
        <v/>
      </c>
      <c r="O32" s="7" t="str">
        <f ca="1"/>
        <v/>
      </c>
      <c r="P32" s="7" t="str">
        <f ca="1"/>
        <v/>
      </c>
      <c r="Q32" s="7" t="str">
        <f ca="1"/>
        <v/>
      </c>
      <c r="T32" s="7" t="str">
        <f ca="1"/>
        <v>Z8</v>
      </c>
      <c r="U32" s="7" t="str">
        <f ca="1"/>
        <v>0xC127</v>
      </c>
      <c r="V32" s="7" t="str">
        <f ca="1"/>
        <v>PictureControlHlgAdjustChanged</v>
      </c>
      <c r="X32" s="8" t="s">
        <v>358</v>
      </c>
      <c r="Y32" s="8" t="s">
        <v>358</v>
      </c>
      <c r="Z32" s="8" t="s">
        <v>360</v>
      </c>
      <c r="AA32" s="8" t="s">
        <v>360</v>
      </c>
      <c r="AB32" s="7" t="s">
        <v>360</v>
      </c>
      <c r="AC32" s="7" t="s">
        <v>360</v>
      </c>
      <c r="AD32" s="7" t="s">
        <v>360</v>
      </c>
      <c r="AE32" s="7" t="s">
        <v>360</v>
      </c>
      <c r="AF32" s="7" t="s">
        <v>360</v>
      </c>
      <c r="AG32" s="7" t="s">
        <v>1706</v>
      </c>
      <c r="AH32" s="7" t="s">
        <v>1706</v>
      </c>
      <c r="AJ32" s="7" t="s">
        <v>1747</v>
      </c>
    </row>
    <row r="33" spans="1:33" x14ac:dyDescent="0.25">
      <c r="A33" s="13" t="str">
        <f ca="1"/>
        <v>0xC125</v>
      </c>
      <c r="B33" s="14" t="str">
        <f ca="1"/>
        <v>HlgQualityAdjustChanged</v>
      </c>
      <c r="D33" s="8" t="str">
        <f ca="1"/>
        <v>HlgQualityAdjustChanged</v>
      </c>
      <c r="E33" s="8" t="str">
        <f ca="1"/>
        <v>HlgQualityAdjustChanged</v>
      </c>
      <c r="F33" s="8" t="str">
        <f ca="1"/>
        <v/>
      </c>
      <c r="G33" s="8" t="str">
        <f ca="1"/>
        <v/>
      </c>
      <c r="H33" s="7" t="str">
        <f ca="1"/>
        <v/>
      </c>
      <c r="I33" s="7" t="str">
        <f ca="1"/>
        <v/>
      </c>
      <c r="J33" s="7" t="str">
        <f ca="1"/>
        <v/>
      </c>
      <c r="K33" s="7" t="str">
        <f ca="1"/>
        <v/>
      </c>
      <c r="L33" s="7" t="str">
        <f ca="1"/>
        <v/>
      </c>
      <c r="M33" s="7" t="str">
        <f ca="1"/>
        <v/>
      </c>
      <c r="N33" s="7" t="str">
        <f ca="1"/>
        <v/>
      </c>
      <c r="O33" s="7" t="str">
        <f ca="1"/>
        <v/>
      </c>
      <c r="P33" s="7" t="str">
        <f ca="1"/>
        <v/>
      </c>
      <c r="Q33" s="7" t="str">
        <f ca="1"/>
        <v/>
      </c>
      <c r="T33" s="7" t="str">
        <f ca="1"/>
        <v>Z9</v>
      </c>
      <c r="U33" s="7" t="str">
        <f ca="1"/>
        <v>0x4001</v>
      </c>
      <c r="V33" s="7" t="str">
        <f ca="1"/>
        <v>CancelTransaction</v>
      </c>
      <c r="X33" s="8" t="s">
        <v>359</v>
      </c>
      <c r="Y33" s="8" t="s">
        <v>359</v>
      </c>
      <c r="Z33" s="8" t="s">
        <v>361</v>
      </c>
      <c r="AA33" s="8" t="s">
        <v>361</v>
      </c>
      <c r="AB33" s="7" t="s">
        <v>361</v>
      </c>
      <c r="AC33" s="7" t="s">
        <v>361</v>
      </c>
      <c r="AD33" s="7" t="s">
        <v>361</v>
      </c>
      <c r="AE33" s="7" t="s">
        <v>361</v>
      </c>
      <c r="AF33" s="7" t="s">
        <v>1651</v>
      </c>
      <c r="AG33" s="7" t="s">
        <v>1651</v>
      </c>
    </row>
    <row r="34" spans="1:33" x14ac:dyDescent="0.25">
      <c r="A34" s="13" t="str">
        <f ca="1"/>
        <v>0xC126</v>
      </c>
      <c r="B34" s="14" t="str">
        <f ca="1"/>
        <v>PortraitImpressionBalanceAdjustChanged</v>
      </c>
      <c r="D34" s="8" t="str">
        <f ca="1"/>
        <v>PortraitImpressionBalanceAdjustChanged</v>
      </c>
      <c r="E34" s="8" t="str">
        <f ca="1"/>
        <v>PortraitImpressionBalanceAdjustChanged</v>
      </c>
      <c r="F34" s="8" t="str">
        <f ca="1"/>
        <v/>
      </c>
      <c r="G34" s="8" t="str">
        <f ca="1"/>
        <v/>
      </c>
      <c r="H34" s="7" t="str">
        <f ca="1"/>
        <v/>
      </c>
      <c r="I34" s="7" t="str">
        <f ca="1"/>
        <v/>
      </c>
      <c r="J34" s="7" t="str">
        <f ca="1"/>
        <v/>
      </c>
      <c r="K34" s="7" t="str">
        <f ca="1"/>
        <v/>
      </c>
      <c r="L34" s="7" t="str">
        <f ca="1"/>
        <v/>
      </c>
      <c r="M34" s="7" t="str">
        <f ca="1"/>
        <v/>
      </c>
      <c r="N34" s="7" t="str">
        <f ca="1"/>
        <v/>
      </c>
      <c r="O34" s="7" t="str">
        <f ca="1"/>
        <v/>
      </c>
      <c r="P34" s="7" t="str">
        <f ca="1"/>
        <v/>
      </c>
      <c r="Q34" s="7" t="str">
        <f ca="1"/>
        <v/>
      </c>
      <c r="T34" s="7" t="str">
        <f ca="1"/>
        <v>Z9</v>
      </c>
      <c r="U34" s="7" t="str">
        <f ca="1"/>
        <v>0x4002</v>
      </c>
      <c r="V34" s="7" t="str">
        <f ca="1"/>
        <v>ObjectAdded</v>
      </c>
      <c r="X34" s="8" t="s">
        <v>360</v>
      </c>
      <c r="Y34" s="8" t="s">
        <v>360</v>
      </c>
      <c r="Z34" s="8" t="s">
        <v>362</v>
      </c>
      <c r="AA34" s="8" t="s">
        <v>362</v>
      </c>
      <c r="AB34" s="7" t="s">
        <v>362</v>
      </c>
      <c r="AC34" s="7" t="s">
        <v>362</v>
      </c>
      <c r="AD34" s="7" t="s">
        <v>362</v>
      </c>
      <c r="AE34" s="7" t="s">
        <v>362</v>
      </c>
      <c r="AF34" s="7" t="s">
        <v>1652</v>
      </c>
      <c r="AG34" s="7" t="s">
        <v>1652</v>
      </c>
    </row>
    <row r="35" spans="1:33" x14ac:dyDescent="0.25">
      <c r="A35" s="13" t="str">
        <f ca="1"/>
        <v>0xC127</v>
      </c>
      <c r="B35" s="14" t="str">
        <f ca="1"/>
        <v>PictureControlHlgAdjustChanged</v>
      </c>
      <c r="D35" s="8" t="str">
        <f ca="1"/>
        <v>PictureControlHlgAdjustChanged</v>
      </c>
      <c r="E35" s="8" t="str">
        <f ca="1"/>
        <v/>
      </c>
      <c r="F35" s="8" t="str">
        <f ca="1"/>
        <v/>
      </c>
      <c r="G35" s="8" t="str">
        <f ca="1"/>
        <v/>
      </c>
      <c r="H35" s="7" t="str">
        <f ca="1"/>
        <v/>
      </c>
      <c r="I35" s="7" t="str">
        <f ca="1"/>
        <v/>
      </c>
      <c r="J35" s="7" t="str">
        <f ca="1"/>
        <v/>
      </c>
      <c r="K35" s="7" t="str">
        <f ca="1"/>
        <v/>
      </c>
      <c r="L35" s="7" t="str">
        <f ca="1"/>
        <v/>
      </c>
      <c r="M35" s="7" t="str">
        <f ca="1"/>
        <v/>
      </c>
      <c r="N35" s="7" t="str">
        <f ca="1"/>
        <v/>
      </c>
      <c r="O35" s="7" t="str">
        <f ca="1"/>
        <v/>
      </c>
      <c r="P35" s="7" t="str">
        <f ca="1"/>
        <v/>
      </c>
      <c r="Q35" s="7" t="str">
        <f ca="1"/>
        <v/>
      </c>
      <c r="T35" s="7" t="str">
        <f ca="1"/>
        <v>Z9</v>
      </c>
      <c r="U35" s="7" t="str">
        <f ca="1"/>
        <v>0x4003</v>
      </c>
      <c r="V35" s="7" t="str">
        <f ca="1"/>
        <v>ObjectRemoved</v>
      </c>
      <c r="X35" s="8" t="s">
        <v>361</v>
      </c>
      <c r="Y35" s="8" t="s">
        <v>361</v>
      </c>
      <c r="Z35" s="8" t="s">
        <v>363</v>
      </c>
      <c r="AA35" s="8" t="s">
        <v>363</v>
      </c>
      <c r="AB35" s="7" t="s">
        <v>363</v>
      </c>
      <c r="AC35" s="7" t="s">
        <v>363</v>
      </c>
      <c r="AD35" s="7" t="s">
        <v>363</v>
      </c>
      <c r="AE35" s="7" t="s">
        <v>363</v>
      </c>
      <c r="AF35" s="7" t="s">
        <v>1653</v>
      </c>
      <c r="AG35" s="7" t="s">
        <v>1653</v>
      </c>
    </row>
    <row r="36" spans="1:33" x14ac:dyDescent="0.25">
      <c r="T36" s="7" t="str">
        <f ca="1"/>
        <v>Z9</v>
      </c>
      <c r="U36" s="7" t="str">
        <f ca="1"/>
        <v>0x4004</v>
      </c>
      <c r="V36" s="7" t="str">
        <f ca="1"/>
        <v>StoreAdded</v>
      </c>
      <c r="X36" s="8" t="s">
        <v>362</v>
      </c>
      <c r="Y36" s="8" t="s">
        <v>362</v>
      </c>
      <c r="Z36" s="8" t="s">
        <v>364</v>
      </c>
      <c r="AA36" s="8" t="s">
        <v>364</v>
      </c>
      <c r="AB36" s="7" t="s">
        <v>364</v>
      </c>
      <c r="AC36" s="7" t="s">
        <v>364</v>
      </c>
      <c r="AD36" s="7" t="s">
        <v>364</v>
      </c>
      <c r="AE36" s="7" t="s">
        <v>364</v>
      </c>
      <c r="AF36" s="7" t="s">
        <v>1654</v>
      </c>
      <c r="AG36" s="7" t="s">
        <v>1654</v>
      </c>
    </row>
    <row r="37" spans="1:33" x14ac:dyDescent="0.25">
      <c r="T37" s="7" t="str">
        <f ca="1"/>
        <v>Z9</v>
      </c>
      <c r="U37" s="7" t="str">
        <f ca="1"/>
        <v>0x4005</v>
      </c>
      <c r="V37" s="7" t="str">
        <f ca="1"/>
        <v>StoreRemoved</v>
      </c>
      <c r="X37" s="8" t="s">
        <v>363</v>
      </c>
      <c r="Y37" s="8" t="s">
        <v>363</v>
      </c>
      <c r="Z37" s="8" t="s">
        <v>365</v>
      </c>
      <c r="AA37" s="8" t="s">
        <v>365</v>
      </c>
      <c r="AB37" s="7" t="s">
        <v>365</v>
      </c>
      <c r="AC37" s="7" t="s">
        <v>365</v>
      </c>
      <c r="AD37" s="7" t="s">
        <v>365</v>
      </c>
      <c r="AE37" s="7" t="s">
        <v>365</v>
      </c>
      <c r="AF37" s="7" t="s">
        <v>361</v>
      </c>
      <c r="AG37" s="7" t="s">
        <v>361</v>
      </c>
    </row>
    <row r="38" spans="1:33" x14ac:dyDescent="0.25">
      <c r="T38" s="7" t="str">
        <f ca="1"/>
        <v>Z9</v>
      </c>
      <c r="U38" s="7" t="str">
        <f ca="1"/>
        <v>0x4006</v>
      </c>
      <c r="V38" s="7" t="str">
        <f ca="1"/>
        <v>DevicePropChanged</v>
      </c>
      <c r="X38" s="8" t="s">
        <v>364</v>
      </c>
      <c r="Y38" s="8" t="s">
        <v>364</v>
      </c>
      <c r="Z38" s="8" t="s">
        <v>366</v>
      </c>
      <c r="AA38" s="8" t="s">
        <v>366</v>
      </c>
      <c r="AB38" s="7" t="s">
        <v>366</v>
      </c>
      <c r="AC38" s="7" t="s">
        <v>366</v>
      </c>
      <c r="AD38" s="7" t="s">
        <v>366</v>
      </c>
      <c r="AE38" s="7" t="s">
        <v>366</v>
      </c>
      <c r="AF38" s="7" t="s">
        <v>362</v>
      </c>
      <c r="AG38" s="7" t="s">
        <v>362</v>
      </c>
    </row>
    <row r="39" spans="1:33" x14ac:dyDescent="0.25">
      <c r="T39" s="7" t="str">
        <f ca="1"/>
        <v>Z9</v>
      </c>
      <c r="U39" s="7" t="str">
        <f ca="1"/>
        <v>0x4007</v>
      </c>
      <c r="V39" s="7" t="str">
        <f ca="1"/>
        <v>ObjectInfoChanged</v>
      </c>
      <c r="X39" s="8" t="s">
        <v>365</v>
      </c>
      <c r="Y39" s="8" t="s">
        <v>365</v>
      </c>
      <c r="Z39" s="8" t="s">
        <v>367</v>
      </c>
      <c r="AA39" s="8" t="s">
        <v>367</v>
      </c>
      <c r="AB39" s="7" t="s">
        <v>367</v>
      </c>
      <c r="AC39" s="7" t="s">
        <v>367</v>
      </c>
      <c r="AD39" s="7" t="s">
        <v>367</v>
      </c>
      <c r="AE39" s="7" t="s">
        <v>367</v>
      </c>
      <c r="AF39" s="7" t="s">
        <v>363</v>
      </c>
      <c r="AG39" s="7" t="s">
        <v>375</v>
      </c>
    </row>
    <row r="40" spans="1:33" x14ac:dyDescent="0.25">
      <c r="T40" s="7" t="str">
        <f ca="1"/>
        <v>Z9</v>
      </c>
      <c r="U40" s="7" t="str">
        <f ca="1"/>
        <v>0x4008</v>
      </c>
      <c r="V40" s="7" t="str">
        <f ca="1"/>
        <v>DeviceInfoChanged</v>
      </c>
      <c r="X40" s="8" t="s">
        <v>366</v>
      </c>
      <c r="Y40" s="8" t="s">
        <v>366</v>
      </c>
      <c r="Z40" s="8" t="s">
        <v>368</v>
      </c>
      <c r="AA40" s="8" t="s">
        <v>368</v>
      </c>
      <c r="AB40" s="7" t="s">
        <v>368</v>
      </c>
      <c r="AC40" s="7" t="s">
        <v>368</v>
      </c>
      <c r="AD40" s="7" t="s">
        <v>368</v>
      </c>
      <c r="AE40" s="7" t="s">
        <v>368</v>
      </c>
      <c r="AF40" s="7" t="s">
        <v>364</v>
      </c>
      <c r="AG40" s="7" t="s">
        <v>376</v>
      </c>
    </row>
    <row r="41" spans="1:33" x14ac:dyDescent="0.25">
      <c r="T41" s="7" t="str">
        <f ca="1"/>
        <v>Z9</v>
      </c>
      <c r="U41" s="7" t="str">
        <f ca="1"/>
        <v>0x4009</v>
      </c>
      <c r="V41" s="7" t="str">
        <f ca="1"/>
        <v>RequestObjectTransfer</v>
      </c>
      <c r="X41" s="8" t="s">
        <v>367</v>
      </c>
      <c r="Y41" s="8" t="s">
        <v>367</v>
      </c>
      <c r="Z41" s="8" t="s">
        <v>369</v>
      </c>
      <c r="AA41" s="8" t="s">
        <v>369</v>
      </c>
      <c r="AC41" s="7" t="s">
        <v>371</v>
      </c>
      <c r="AD41" s="7" t="s">
        <v>371</v>
      </c>
      <c r="AE41" s="7" t="s">
        <v>369</v>
      </c>
      <c r="AF41" s="7" t="s">
        <v>365</v>
      </c>
      <c r="AG41" s="7" t="s">
        <v>377</v>
      </c>
    </row>
    <row r="42" spans="1:33" x14ac:dyDescent="0.25">
      <c r="T42" s="7" t="str">
        <f ca="1"/>
        <v>Z9</v>
      </c>
      <c r="U42" s="7" t="str">
        <f ca="1"/>
        <v>0x400A</v>
      </c>
      <c r="V42" s="7" t="str">
        <f ca="1"/>
        <v>StoreFull</v>
      </c>
      <c r="X42" s="8" t="s">
        <v>368</v>
      </c>
      <c r="Y42" s="8" t="s">
        <v>368</v>
      </c>
      <c r="Z42" s="8" t="s">
        <v>370</v>
      </c>
      <c r="AA42" s="8" t="s">
        <v>370</v>
      </c>
      <c r="AC42" s="7" t="s">
        <v>372</v>
      </c>
      <c r="AD42" s="7" t="s">
        <v>372</v>
      </c>
      <c r="AE42" s="7" t="s">
        <v>370</v>
      </c>
      <c r="AF42" s="7" t="s">
        <v>366</v>
      </c>
      <c r="AG42" s="7" t="s">
        <v>378</v>
      </c>
    </row>
    <row r="43" spans="1:33" x14ac:dyDescent="0.25">
      <c r="T43" s="7" t="str">
        <f ca="1"/>
        <v>Z9</v>
      </c>
      <c r="U43" s="7" t="str">
        <f ca="1"/>
        <v>0x400C</v>
      </c>
      <c r="V43" s="7" t="str">
        <f ca="1"/>
        <v>StorageInfoChanged</v>
      </c>
      <c r="X43" s="8" t="s">
        <v>369</v>
      </c>
      <c r="Y43" s="8" t="s">
        <v>369</v>
      </c>
      <c r="Z43" s="8" t="s">
        <v>371</v>
      </c>
      <c r="AA43" s="8" t="s">
        <v>371</v>
      </c>
      <c r="AC43" s="7" t="s">
        <v>375</v>
      </c>
      <c r="AD43" s="7" t="s">
        <v>375</v>
      </c>
      <c r="AE43" s="7" t="s">
        <v>371</v>
      </c>
      <c r="AF43" s="7" t="s">
        <v>367</v>
      </c>
      <c r="AG43" s="7" t="s">
        <v>379</v>
      </c>
    </row>
    <row r="44" spans="1:33" x14ac:dyDescent="0.25">
      <c r="T44" s="7" t="str">
        <f ca="1"/>
        <v>Z9</v>
      </c>
      <c r="U44" s="7" t="str">
        <f ca="1"/>
        <v>0x400D</v>
      </c>
      <c r="V44" s="7" t="str">
        <f ca="1"/>
        <v>CaptureComplete</v>
      </c>
      <c r="X44" s="8" t="s">
        <v>370</v>
      </c>
      <c r="Y44" s="8" t="s">
        <v>370</v>
      </c>
      <c r="Z44" s="8" t="s">
        <v>372</v>
      </c>
      <c r="AA44" s="8" t="s">
        <v>372</v>
      </c>
      <c r="AC44" s="7" t="s">
        <v>376</v>
      </c>
      <c r="AD44" s="7" t="s">
        <v>376</v>
      </c>
      <c r="AE44" s="7" t="s">
        <v>372</v>
      </c>
      <c r="AF44" s="7" t="s">
        <v>368</v>
      </c>
      <c r="AG44" s="7" t="s">
        <v>380</v>
      </c>
    </row>
    <row r="45" spans="1:33" x14ac:dyDescent="0.25">
      <c r="T45" s="7" t="str">
        <f ca="1"/>
        <v>Z9</v>
      </c>
      <c r="U45" s="7" t="str">
        <f ca="1"/>
        <v>0xC101</v>
      </c>
      <c r="V45" s="7" t="str">
        <f ca="1"/>
        <v>ObjectAddedInSdram</v>
      </c>
      <c r="X45" s="8" t="s">
        <v>371</v>
      </c>
      <c r="Y45" s="8" t="s">
        <v>371</v>
      </c>
      <c r="Z45" s="8" t="s">
        <v>375</v>
      </c>
      <c r="AA45" s="8" t="s">
        <v>375</v>
      </c>
      <c r="AC45" s="7" t="s">
        <v>377</v>
      </c>
      <c r="AD45" s="7" t="s">
        <v>377</v>
      </c>
      <c r="AE45" s="7" t="s">
        <v>375</v>
      </c>
      <c r="AF45" s="7" t="s">
        <v>369</v>
      </c>
      <c r="AG45" s="7" t="s">
        <v>381</v>
      </c>
    </row>
    <row r="46" spans="1:33" x14ac:dyDescent="0.25">
      <c r="T46" s="7" t="str">
        <f ca="1"/>
        <v>Z9</v>
      </c>
      <c r="U46" s="7" t="str">
        <f ca="1"/>
        <v>0xC102</v>
      </c>
      <c r="V46" s="7" t="str">
        <f ca="1"/>
        <v>CaptureCompleteRecInSdram</v>
      </c>
      <c r="X46" s="8" t="s">
        <v>372</v>
      </c>
      <c r="Y46" s="8" t="s">
        <v>372</v>
      </c>
      <c r="Z46" s="8" t="s">
        <v>376</v>
      </c>
      <c r="AA46" s="8" t="s">
        <v>376</v>
      </c>
      <c r="AC46" s="7" t="s">
        <v>378</v>
      </c>
      <c r="AD46" s="7" t="s">
        <v>378</v>
      </c>
      <c r="AE46" s="7" t="s">
        <v>376</v>
      </c>
      <c r="AF46" s="7" t="s">
        <v>370</v>
      </c>
      <c r="AG46" s="7" t="s">
        <v>382</v>
      </c>
    </row>
    <row r="47" spans="1:33" x14ac:dyDescent="0.25">
      <c r="T47" s="7" t="str">
        <f ca="1"/>
        <v>Z9</v>
      </c>
      <c r="U47" s="7" t="str">
        <f ca="1"/>
        <v>0xC103</v>
      </c>
      <c r="V47" s="7" t="str">
        <f ca="1"/>
        <v>CaptureSkip</v>
      </c>
      <c r="X47" s="8" t="s">
        <v>373</v>
      </c>
      <c r="Y47" s="8" t="s">
        <v>373</v>
      </c>
      <c r="Z47" s="8" t="s">
        <v>377</v>
      </c>
      <c r="AA47" s="8" t="s">
        <v>377</v>
      </c>
      <c r="AC47" s="7" t="s">
        <v>379</v>
      </c>
      <c r="AD47" s="7" t="s">
        <v>379</v>
      </c>
      <c r="AE47" s="7" t="s">
        <v>377</v>
      </c>
      <c r="AF47" s="7" t="s">
        <v>371</v>
      </c>
    </row>
    <row r="48" spans="1:33" x14ac:dyDescent="0.25">
      <c r="T48" s="7" t="str">
        <f ca="1"/>
        <v>Z9</v>
      </c>
      <c r="U48" s="7" t="str">
        <f ca="1"/>
        <v>0xC105</v>
      </c>
      <c r="V48" s="7" t="str">
        <f ca="1"/>
        <v>MovieRecordInterrupted</v>
      </c>
      <c r="X48" s="8" t="s">
        <v>374</v>
      </c>
      <c r="Y48" s="8" t="s">
        <v>374</v>
      </c>
      <c r="Z48" s="8" t="s">
        <v>378</v>
      </c>
      <c r="AA48" s="8" t="s">
        <v>378</v>
      </c>
      <c r="AC48" s="7" t="s">
        <v>380</v>
      </c>
      <c r="AD48" s="7" t="s">
        <v>380</v>
      </c>
      <c r="AE48" s="7" t="s">
        <v>378</v>
      </c>
      <c r="AF48" s="7" t="s">
        <v>372</v>
      </c>
    </row>
    <row r="49" spans="20:32" x14ac:dyDescent="0.25">
      <c r="T49" s="7" t="str">
        <f ca="1"/>
        <v>Z9</v>
      </c>
      <c r="U49" s="7" t="str">
        <f ca="1"/>
        <v>0xC108</v>
      </c>
      <c r="V49" s="7" t="str">
        <f ca="1"/>
        <v>MovieRecordComplete</v>
      </c>
      <c r="X49" s="8" t="s">
        <v>375</v>
      </c>
      <c r="Y49" s="8" t="s">
        <v>375</v>
      </c>
      <c r="Z49" s="8" t="s">
        <v>379</v>
      </c>
      <c r="AA49" s="8" t="s">
        <v>379</v>
      </c>
      <c r="AC49" s="7" t="s">
        <v>381</v>
      </c>
      <c r="AD49" s="7" t="s">
        <v>381</v>
      </c>
      <c r="AE49" s="7" t="s">
        <v>379</v>
      </c>
      <c r="AF49" s="7" t="s">
        <v>375</v>
      </c>
    </row>
    <row r="50" spans="20:32" x14ac:dyDescent="0.25">
      <c r="T50" s="7" t="str">
        <f ca="1"/>
        <v>Z9</v>
      </c>
      <c r="U50" s="7" t="str">
        <f ca="1"/>
        <v>0xC10A</v>
      </c>
      <c r="V50" s="7" t="str">
        <f ca="1"/>
        <v>MovieRecordStarted</v>
      </c>
      <c r="X50" s="8" t="s">
        <v>376</v>
      </c>
      <c r="Y50" s="8" t="s">
        <v>376</v>
      </c>
      <c r="Z50" s="8" t="s">
        <v>380</v>
      </c>
      <c r="AA50" s="8" t="s">
        <v>380</v>
      </c>
      <c r="AC50" s="7" t="s">
        <v>382</v>
      </c>
      <c r="AD50" s="7" t="s">
        <v>382</v>
      </c>
      <c r="AE50" s="7" t="s">
        <v>380</v>
      </c>
      <c r="AF50" s="7" t="s">
        <v>376</v>
      </c>
    </row>
    <row r="51" spans="20:32" x14ac:dyDescent="0.25">
      <c r="T51" s="7" t="str">
        <f ca="1"/>
        <v>Z9</v>
      </c>
      <c r="U51" s="7" t="str">
        <f ca="1"/>
        <v>0xC10B</v>
      </c>
      <c r="V51" s="7" t="str">
        <f ca="1"/>
        <v>PictureControlAdjustChanged</v>
      </c>
      <c r="X51" s="8" t="s">
        <v>377</v>
      </c>
      <c r="Y51" s="8" t="s">
        <v>377</v>
      </c>
      <c r="Z51" s="8" t="s">
        <v>381</v>
      </c>
      <c r="AA51" s="8" t="s">
        <v>381</v>
      </c>
      <c r="AE51" s="7" t="s">
        <v>381</v>
      </c>
      <c r="AF51" s="7" t="s">
        <v>377</v>
      </c>
    </row>
    <row r="52" spans="20:32" x14ac:dyDescent="0.25">
      <c r="T52" s="7" t="str">
        <f ca="1"/>
        <v>Z9</v>
      </c>
      <c r="U52" s="7" t="str">
        <f ca="1"/>
        <v>0xC10C</v>
      </c>
      <c r="V52" s="7" t="str">
        <f ca="1"/>
        <v>LiveViewStateChanged</v>
      </c>
      <c r="X52" s="8" t="s">
        <v>378</v>
      </c>
      <c r="Y52" s="8" t="s">
        <v>378</v>
      </c>
      <c r="Z52" s="8" t="s">
        <v>382</v>
      </c>
      <c r="AA52" s="8" t="s">
        <v>382</v>
      </c>
      <c r="AE52" s="7" t="s">
        <v>382</v>
      </c>
      <c r="AF52" s="7" t="s">
        <v>378</v>
      </c>
    </row>
    <row r="53" spans="20:32" x14ac:dyDescent="0.25">
      <c r="T53" s="7" t="str">
        <f ca="1"/>
        <v>Z9</v>
      </c>
      <c r="U53" s="7" t="str">
        <f ca="1"/>
        <v>0xC10D</v>
      </c>
      <c r="V53" s="7" t="str">
        <f ca="1"/>
        <v>PixelMappingComplete</v>
      </c>
      <c r="X53" s="8" t="s">
        <v>379</v>
      </c>
      <c r="Y53" s="8" t="s">
        <v>379</v>
      </c>
      <c r="AF53" s="7" t="s">
        <v>379</v>
      </c>
    </row>
    <row r="54" spans="20:32" x14ac:dyDescent="0.25">
      <c r="T54" s="7" t="str">
        <f ca="1"/>
        <v>Z9</v>
      </c>
      <c r="U54" s="7" t="str">
        <f ca="1"/>
        <v>0xC10E</v>
      </c>
      <c r="V54" s="7" t="str">
        <f ca="1"/>
        <v>ManualSettingLensDataChanged</v>
      </c>
      <c r="X54" s="8" t="s">
        <v>380</v>
      </c>
      <c r="Y54" s="8" t="s">
        <v>380</v>
      </c>
      <c r="AF54" s="7" t="s">
        <v>380</v>
      </c>
    </row>
    <row r="55" spans="20:32" x14ac:dyDescent="0.25">
      <c r="T55" s="7" t="str">
        <f ca="1"/>
        <v>Z9</v>
      </c>
      <c r="U55" s="7" t="str">
        <f ca="1"/>
        <v>0xC10F</v>
      </c>
      <c r="V55" s="7" t="str">
        <f ca="1"/>
        <v>OpenCaptureComplete</v>
      </c>
      <c r="X55" s="8" t="s">
        <v>381</v>
      </c>
      <c r="Y55" s="8" t="s">
        <v>381</v>
      </c>
      <c r="AF55" s="7" t="s">
        <v>381</v>
      </c>
    </row>
    <row r="56" spans="20:32" x14ac:dyDescent="0.25">
      <c r="T56" s="7" t="str">
        <f ca="1"/>
        <v>Z9</v>
      </c>
      <c r="U56" s="7" t="str">
        <f ca="1"/>
        <v>0xC120</v>
      </c>
      <c r="V56" s="7" t="str">
        <f ca="1"/>
        <v>SBAdded</v>
      </c>
      <c r="X56" s="8" t="s">
        <v>382</v>
      </c>
      <c r="Y56" s="8" t="s">
        <v>382</v>
      </c>
      <c r="AF56" s="7" t="s">
        <v>382</v>
      </c>
    </row>
    <row r="57" spans="20:32" x14ac:dyDescent="0.25">
      <c r="T57" s="7" t="str">
        <f ca="1"/>
        <v>Z9</v>
      </c>
      <c r="U57" s="7" t="str">
        <f ca="1"/>
        <v>0xC121</v>
      </c>
      <c r="V57" s="7" t="str">
        <f ca="1"/>
        <v>SBRemoved</v>
      </c>
      <c r="X57" s="8" t="s">
        <v>383</v>
      </c>
      <c r="Y57" s="8" t="s">
        <v>383</v>
      </c>
    </row>
    <row r="58" spans="20:32" x14ac:dyDescent="0.25">
      <c r="T58" s="7" t="str">
        <f ca="1"/>
        <v>Z9</v>
      </c>
      <c r="U58" s="7" t="str">
        <f ca="1"/>
        <v>0xC122</v>
      </c>
      <c r="V58" s="7" t="str">
        <f ca="1"/>
        <v>SBAttrChanged</v>
      </c>
      <c r="X58" s="8" t="s">
        <v>384</v>
      </c>
      <c r="Y58" s="8" t="s">
        <v>384</v>
      </c>
    </row>
    <row r="59" spans="20:32" x14ac:dyDescent="0.25">
      <c r="T59" s="7" t="str">
        <f ca="1"/>
        <v>Z9</v>
      </c>
      <c r="U59" s="7" t="str">
        <f ca="1"/>
        <v>0xC123</v>
      </c>
      <c r="V59" s="7" t="str">
        <f ca="1"/>
        <v>SBGroupAttrChanged</v>
      </c>
      <c r="X59" s="8" t="s">
        <v>385</v>
      </c>
      <c r="Y59" s="8" t="s">
        <v>385</v>
      </c>
    </row>
    <row r="60" spans="20:32" x14ac:dyDescent="0.25">
      <c r="T60" s="7" t="str">
        <f ca="1"/>
        <v>Z9</v>
      </c>
      <c r="U60" s="7" t="str">
        <f ca="1"/>
        <v>0xC125</v>
      </c>
      <c r="V60" s="7" t="str">
        <f ca="1"/>
        <v>HlgQualityAdjustChanged</v>
      </c>
      <c r="X60" s="8" t="s">
        <v>386</v>
      </c>
      <c r="Y60" s="8" t="s">
        <v>386</v>
      </c>
    </row>
    <row r="61" spans="20:32" x14ac:dyDescent="0.25">
      <c r="T61" s="7" t="str">
        <f ca="1"/>
        <v>Z9</v>
      </c>
      <c r="U61" s="7" t="str">
        <f ca="1"/>
        <v>0xC126</v>
      </c>
      <c r="V61" s="7" t="str">
        <f ca="1"/>
        <v>PortraitImpressionBalanceAdjustChanged</v>
      </c>
      <c r="X61" s="8" t="s">
        <v>387</v>
      </c>
    </row>
    <row r="62" spans="20:32" x14ac:dyDescent="0.25">
      <c r="T62" s="7" t="str">
        <f ca="1"/>
        <v>Z6 II</v>
      </c>
      <c r="U62" s="7" t="str">
        <f ca="1"/>
        <v>0x4001</v>
      </c>
      <c r="V62" s="7" t="str">
        <f ca="1"/>
        <v>CancelTransaction</v>
      </c>
      <c r="X62" s="8" t="s">
        <v>388</v>
      </c>
    </row>
    <row r="63" spans="20:32" x14ac:dyDescent="0.25">
      <c r="T63" s="7" t="str">
        <f ca="1"/>
        <v>Z6 II</v>
      </c>
      <c r="U63" s="7" t="str">
        <f ca="1"/>
        <v>0x4002</v>
      </c>
      <c r="V63" s="7" t="str">
        <f ca="1"/>
        <v>ObjectAdded</v>
      </c>
    </row>
    <row r="64" spans="20:32" x14ac:dyDescent="0.25">
      <c r="T64" s="7" t="str">
        <f ca="1"/>
        <v>Z6 II</v>
      </c>
      <c r="U64" s="7" t="str">
        <f ca="1"/>
        <v>0x4003</v>
      </c>
      <c r="V64" s="7" t="str">
        <f ca="1"/>
        <v>ObjectRemoved</v>
      </c>
    </row>
    <row r="65" spans="20:22" x14ac:dyDescent="0.25">
      <c r="T65" s="7" t="str">
        <f ca="1"/>
        <v>Z6 II</v>
      </c>
      <c r="U65" s="7" t="str">
        <f ca="1"/>
        <v>0x4004</v>
      </c>
      <c r="V65" s="7" t="str">
        <f ca="1"/>
        <v>StoreAdded</v>
      </c>
    </row>
    <row r="66" spans="20:22" x14ac:dyDescent="0.25">
      <c r="T66" s="7" t="str">
        <f ca="1"/>
        <v>Z6 II</v>
      </c>
      <c r="U66" s="7" t="str">
        <f ca="1"/>
        <v>0x4005</v>
      </c>
      <c r="V66" s="7" t="str">
        <f ca="1"/>
        <v>StoreRemoved</v>
      </c>
    </row>
    <row r="67" spans="20:22" x14ac:dyDescent="0.25">
      <c r="T67" s="7" t="str">
        <f ca="1"/>
        <v>Z6 II</v>
      </c>
      <c r="U67" s="7" t="str">
        <f ca="1"/>
        <v>0x4006</v>
      </c>
      <c r="V67" s="7" t="str">
        <f ca="1"/>
        <v>DevicePropChanged</v>
      </c>
    </row>
    <row r="68" spans="20:22" x14ac:dyDescent="0.25">
      <c r="T68" s="7" t="str">
        <f ca="1"/>
        <v>Z6 II</v>
      </c>
      <c r="U68" s="7" t="str">
        <f ca="1"/>
        <v>0x4007</v>
      </c>
      <c r="V68" s="7" t="str">
        <f ca="1"/>
        <v>ObjectInfoChanged</v>
      </c>
    </row>
    <row r="69" spans="20:22" x14ac:dyDescent="0.25">
      <c r="T69" s="7" t="str">
        <f ca="1"/>
        <v>Z6 II</v>
      </c>
      <c r="U69" s="7" t="str">
        <f ca="1"/>
        <v>0x4008</v>
      </c>
      <c r="V69" s="7" t="str">
        <f ca="1"/>
        <v>DeviceInfoChanged</v>
      </c>
    </row>
    <row r="70" spans="20:22" x14ac:dyDescent="0.25">
      <c r="T70" s="7" t="str">
        <f ca="1"/>
        <v>Z6 II</v>
      </c>
      <c r="U70" s="7" t="str">
        <f ca="1"/>
        <v>0x4009</v>
      </c>
      <c r="V70" s="7" t="str">
        <f ca="1"/>
        <v>RequestObjectTransfer</v>
      </c>
    </row>
    <row r="71" spans="20:22" x14ac:dyDescent="0.25">
      <c r="T71" s="7" t="str">
        <f ca="1"/>
        <v>Z6 II</v>
      </c>
      <c r="U71" s="7" t="str">
        <f ca="1"/>
        <v>0x400A</v>
      </c>
      <c r="V71" s="7" t="str">
        <f ca="1"/>
        <v>StoreFull</v>
      </c>
    </row>
    <row r="72" spans="20:22" x14ac:dyDescent="0.25">
      <c r="T72" s="7" t="str">
        <f ca="1"/>
        <v>Z6 II</v>
      </c>
      <c r="U72" s="7" t="str">
        <f ca="1"/>
        <v>0x400C</v>
      </c>
      <c r="V72" s="7" t="str">
        <f ca="1"/>
        <v>StorageInfoChanged</v>
      </c>
    </row>
    <row r="73" spans="20:22" x14ac:dyDescent="0.25">
      <c r="T73" s="7" t="str">
        <f ca="1"/>
        <v>Z6 II</v>
      </c>
      <c r="U73" s="7" t="str">
        <f ca="1"/>
        <v>0x400D</v>
      </c>
      <c r="V73" s="7" t="str">
        <f ca="1"/>
        <v>CaptureComplete</v>
      </c>
    </row>
    <row r="74" spans="20:22" x14ac:dyDescent="0.25">
      <c r="T74" s="7" t="str">
        <f ca="1"/>
        <v>Z6 II</v>
      </c>
      <c r="U74" s="7" t="str">
        <f ca="1"/>
        <v>0xC101</v>
      </c>
      <c r="V74" s="7" t="str">
        <f ca="1"/>
        <v>ObjectAddedInSdram</v>
      </c>
    </row>
    <row r="75" spans="20:22" x14ac:dyDescent="0.25">
      <c r="T75" s="7" t="str">
        <f ca="1"/>
        <v>Z6 II</v>
      </c>
      <c r="U75" s="7" t="str">
        <f ca="1"/>
        <v>0xC102</v>
      </c>
      <c r="V75" s="7" t="str">
        <f ca="1"/>
        <v>CaptureCompleteRecInSdram</v>
      </c>
    </row>
    <row r="76" spans="20:22" x14ac:dyDescent="0.25">
      <c r="T76" s="7" t="str">
        <f ca="1"/>
        <v>Z6 II</v>
      </c>
      <c r="U76" s="7" t="str">
        <f ca="1"/>
        <v>0xC105</v>
      </c>
      <c r="V76" s="7" t="str">
        <f ca="1"/>
        <v>MovieRecordInterrupted</v>
      </c>
    </row>
    <row r="77" spans="20:22" x14ac:dyDescent="0.25">
      <c r="T77" s="7" t="str">
        <f ca="1"/>
        <v>Z6 II</v>
      </c>
      <c r="U77" s="7" t="str">
        <f ca="1"/>
        <v>0xC108</v>
      </c>
      <c r="V77" s="7" t="str">
        <f ca="1"/>
        <v>MovieRecordComplete</v>
      </c>
    </row>
    <row r="78" spans="20:22" x14ac:dyDescent="0.25">
      <c r="T78" s="7" t="str">
        <f ca="1"/>
        <v>Z6 II</v>
      </c>
      <c r="U78" s="7" t="str">
        <f ca="1"/>
        <v>0xC10A</v>
      </c>
      <c r="V78" s="7" t="str">
        <f ca="1"/>
        <v>MovieRecordStarted</v>
      </c>
    </row>
    <row r="79" spans="20:22" x14ac:dyDescent="0.25">
      <c r="T79" s="7" t="str">
        <f ca="1"/>
        <v>Z6 II</v>
      </c>
      <c r="U79" s="7" t="str">
        <f ca="1"/>
        <v>0xC10B</v>
      </c>
      <c r="V79" s="7" t="str">
        <f ca="1"/>
        <v>PictureControlAdjustChanged</v>
      </c>
    </row>
    <row r="80" spans="20:22" x14ac:dyDescent="0.25">
      <c r="T80" s="7" t="str">
        <f ca="1"/>
        <v>Z6 II</v>
      </c>
      <c r="U80" s="7" t="str">
        <f ca="1"/>
        <v>0xC10C</v>
      </c>
      <c r="V80" s="7" t="str">
        <f ca="1"/>
        <v>LiveViewStateChanged</v>
      </c>
    </row>
    <row r="81" spans="20:22" x14ac:dyDescent="0.25">
      <c r="T81" s="7" t="str">
        <f ca="1"/>
        <v>Z6 II</v>
      </c>
      <c r="U81" s="7" t="str">
        <f ca="1"/>
        <v>0xC10D</v>
      </c>
      <c r="V81" s="7" t="str">
        <f ca="1"/>
        <v>PixelMappingComplete</v>
      </c>
    </row>
    <row r="82" spans="20:22" x14ac:dyDescent="0.25">
      <c r="T82" s="7" t="str">
        <f ca="1"/>
        <v>Z6 II</v>
      </c>
      <c r="U82" s="7" t="str">
        <f ca="1"/>
        <v>0xC10E</v>
      </c>
      <c r="V82" s="7" t="str">
        <f ca="1"/>
        <v>ManualSettingLensDataChanged</v>
      </c>
    </row>
    <row r="83" spans="20:22" x14ac:dyDescent="0.25">
      <c r="T83" s="7" t="str">
        <f ca="1"/>
        <v>Z6 II</v>
      </c>
      <c r="U83" s="7" t="str">
        <f ca="1"/>
        <v>0xC120</v>
      </c>
      <c r="V83" s="7" t="str">
        <f ca="1"/>
        <v>SBAdded</v>
      </c>
    </row>
    <row r="84" spans="20:22" x14ac:dyDescent="0.25">
      <c r="T84" s="7" t="str">
        <f ca="1"/>
        <v>Z6 II</v>
      </c>
      <c r="U84" s="7" t="str">
        <f ca="1"/>
        <v>0xC121</v>
      </c>
      <c r="V84" s="7" t="str">
        <f ca="1"/>
        <v>SBRemoved</v>
      </c>
    </row>
    <row r="85" spans="20:22" x14ac:dyDescent="0.25">
      <c r="T85" s="7" t="str">
        <f ca="1"/>
        <v>Z6 II</v>
      </c>
      <c r="U85" s="7" t="str">
        <f ca="1"/>
        <v>0xC122</v>
      </c>
      <c r="V85" s="7" t="str">
        <f ca="1"/>
        <v>SBAttrChanged</v>
      </c>
    </row>
    <row r="86" spans="20:22" x14ac:dyDescent="0.25">
      <c r="T86" s="7" t="str">
        <f ca="1"/>
        <v>Z6 II</v>
      </c>
      <c r="U86" s="7" t="str">
        <f ca="1"/>
        <v>0xC123</v>
      </c>
      <c r="V86" s="7" t="str">
        <f ca="1"/>
        <v>SBGroupAttrChanged</v>
      </c>
    </row>
    <row r="87" spans="20:22" x14ac:dyDescent="0.25">
      <c r="T87" s="7" t="str">
        <f ca="1"/>
        <v>Z7 II</v>
      </c>
      <c r="U87" s="7" t="str">
        <f ca="1"/>
        <v>0x4001</v>
      </c>
      <c r="V87" s="7" t="str">
        <f ca="1"/>
        <v>CancelTransaction</v>
      </c>
    </row>
    <row r="88" spans="20:22" x14ac:dyDescent="0.25">
      <c r="T88" s="7" t="str">
        <f ca="1"/>
        <v>Z7 II</v>
      </c>
      <c r="U88" s="7" t="str">
        <f ca="1"/>
        <v>0x4002</v>
      </c>
      <c r="V88" s="7" t="str">
        <f ca="1"/>
        <v>ObjectAdded</v>
      </c>
    </row>
    <row r="89" spans="20:22" x14ac:dyDescent="0.25">
      <c r="T89" s="7" t="str">
        <f ca="1"/>
        <v>Z7 II</v>
      </c>
      <c r="U89" s="7" t="str">
        <f ca="1"/>
        <v>0x4003</v>
      </c>
      <c r="V89" s="7" t="str">
        <f ca="1"/>
        <v>ObjectRemoved</v>
      </c>
    </row>
    <row r="90" spans="20:22" x14ac:dyDescent="0.25">
      <c r="T90" s="7" t="str">
        <f ca="1"/>
        <v>Z7 II</v>
      </c>
      <c r="U90" s="7" t="str">
        <f ca="1"/>
        <v>0x4004</v>
      </c>
      <c r="V90" s="7" t="str">
        <f ca="1"/>
        <v>StoreAdded</v>
      </c>
    </row>
    <row r="91" spans="20:22" x14ac:dyDescent="0.25">
      <c r="T91" s="7" t="str">
        <f ca="1"/>
        <v>Z7 II</v>
      </c>
      <c r="U91" s="7" t="str">
        <f ca="1"/>
        <v>0x4005</v>
      </c>
      <c r="V91" s="7" t="str">
        <f ca="1"/>
        <v>StoreRemoved</v>
      </c>
    </row>
    <row r="92" spans="20:22" x14ac:dyDescent="0.25">
      <c r="T92" s="7" t="str">
        <f ca="1"/>
        <v>Z7 II</v>
      </c>
      <c r="U92" s="7" t="str">
        <f ca="1"/>
        <v>0x4006</v>
      </c>
      <c r="V92" s="7" t="str">
        <f ca="1"/>
        <v>DevicePropChanged</v>
      </c>
    </row>
    <row r="93" spans="20:22" x14ac:dyDescent="0.25">
      <c r="T93" s="7" t="str">
        <f ca="1"/>
        <v>Z7 II</v>
      </c>
      <c r="U93" s="7" t="str">
        <f ca="1"/>
        <v>0x4007</v>
      </c>
      <c r="V93" s="7" t="str">
        <f ca="1"/>
        <v>ObjectInfoChanged</v>
      </c>
    </row>
    <row r="94" spans="20:22" x14ac:dyDescent="0.25">
      <c r="T94" s="7" t="str">
        <f ca="1"/>
        <v>Z7 II</v>
      </c>
      <c r="U94" s="7" t="str">
        <f ca="1"/>
        <v>0x4008</v>
      </c>
      <c r="V94" s="7" t="str">
        <f ca="1"/>
        <v>DeviceInfoChanged</v>
      </c>
    </row>
    <row r="95" spans="20:22" x14ac:dyDescent="0.25">
      <c r="T95" s="7" t="str">
        <f ca="1"/>
        <v>Z7 II</v>
      </c>
      <c r="U95" s="7" t="str">
        <f ca="1"/>
        <v>0x4009</v>
      </c>
      <c r="V95" s="7" t="str">
        <f ca="1"/>
        <v>RequestObjectTransfer</v>
      </c>
    </row>
    <row r="96" spans="20:22" x14ac:dyDescent="0.25">
      <c r="T96" s="7" t="str">
        <f ca="1"/>
        <v>Z7 II</v>
      </c>
      <c r="U96" s="7" t="str">
        <f ca="1"/>
        <v>0x400A</v>
      </c>
      <c r="V96" s="7" t="str">
        <f ca="1"/>
        <v>StoreFull</v>
      </c>
    </row>
    <row r="97" spans="20:22" x14ac:dyDescent="0.25">
      <c r="T97" s="7" t="str">
        <f ca="1"/>
        <v>Z7 II</v>
      </c>
      <c r="U97" s="7" t="str">
        <f ca="1"/>
        <v>0x400C</v>
      </c>
      <c r="V97" s="7" t="str">
        <f ca="1"/>
        <v>StorageInfoChanged</v>
      </c>
    </row>
    <row r="98" spans="20:22" x14ac:dyDescent="0.25">
      <c r="T98" s="7" t="str">
        <f ca="1"/>
        <v>Z7 II</v>
      </c>
      <c r="U98" s="7" t="str">
        <f ca="1"/>
        <v>0x400D</v>
      </c>
      <c r="V98" s="7" t="str">
        <f ca="1"/>
        <v>CaptureComplete</v>
      </c>
    </row>
    <row r="99" spans="20:22" x14ac:dyDescent="0.25">
      <c r="T99" s="7" t="str">
        <f ca="1"/>
        <v>Z7 II</v>
      </c>
      <c r="U99" s="7" t="str">
        <f ca="1"/>
        <v>0xC101</v>
      </c>
      <c r="V99" s="7" t="str">
        <f ca="1"/>
        <v>ObjectAddedInSdram</v>
      </c>
    </row>
    <row r="100" spans="20:22" x14ac:dyDescent="0.25">
      <c r="T100" s="7" t="str">
        <f ca="1"/>
        <v>Z7 II</v>
      </c>
      <c r="U100" s="7" t="str">
        <f ca="1"/>
        <v>0xC102</v>
      </c>
      <c r="V100" s="7" t="str">
        <f ca="1"/>
        <v>CaptureCompleteRecInSdram</v>
      </c>
    </row>
    <row r="101" spans="20:22" x14ac:dyDescent="0.25">
      <c r="T101" s="7" t="str">
        <f ca="1"/>
        <v>Z7 II</v>
      </c>
      <c r="U101" s="7" t="str">
        <f ca="1"/>
        <v>0xC105</v>
      </c>
      <c r="V101" s="7" t="str">
        <f ca="1"/>
        <v>MovieRecordInterrupted</v>
      </c>
    </row>
    <row r="102" spans="20:22" x14ac:dyDescent="0.25">
      <c r="T102" s="7" t="str">
        <f ca="1"/>
        <v>Z7 II</v>
      </c>
      <c r="U102" s="7" t="str">
        <f ca="1"/>
        <v>0xC108</v>
      </c>
      <c r="V102" s="7" t="str">
        <f ca="1"/>
        <v>MovieRecordComplete</v>
      </c>
    </row>
    <row r="103" spans="20:22" x14ac:dyDescent="0.25">
      <c r="T103" s="7" t="str">
        <f ca="1"/>
        <v>Z7 II</v>
      </c>
      <c r="U103" s="7" t="str">
        <f ca="1"/>
        <v>0xC10A</v>
      </c>
      <c r="V103" s="7" t="str">
        <f ca="1"/>
        <v>MovieRecordStarted</v>
      </c>
    </row>
    <row r="104" spans="20:22" x14ac:dyDescent="0.25">
      <c r="T104" s="7" t="str">
        <f ca="1"/>
        <v>Z7 II</v>
      </c>
      <c r="U104" s="7" t="str">
        <f ca="1"/>
        <v>0xC10B</v>
      </c>
      <c r="V104" s="7" t="str">
        <f ca="1"/>
        <v>PictureControlAdjustChanged</v>
      </c>
    </row>
    <row r="105" spans="20:22" x14ac:dyDescent="0.25">
      <c r="T105" s="7" t="str">
        <f ca="1"/>
        <v>Z7 II</v>
      </c>
      <c r="U105" s="7" t="str">
        <f ca="1"/>
        <v>0xC10C</v>
      </c>
      <c r="V105" s="7" t="str">
        <f ca="1"/>
        <v>LiveViewStateChanged</v>
      </c>
    </row>
    <row r="106" spans="20:22" x14ac:dyDescent="0.25">
      <c r="T106" s="7" t="str">
        <f ca="1"/>
        <v>Z7 II</v>
      </c>
      <c r="U106" s="7" t="str">
        <f ca="1"/>
        <v>0xC10D</v>
      </c>
      <c r="V106" s="7" t="str">
        <f ca="1"/>
        <v>PixelMappingComplete</v>
      </c>
    </row>
    <row r="107" spans="20:22" x14ac:dyDescent="0.25">
      <c r="T107" s="7" t="str">
        <f ca="1"/>
        <v>Z7 II</v>
      </c>
      <c r="U107" s="7" t="str">
        <f ca="1"/>
        <v>0xC10E</v>
      </c>
      <c r="V107" s="7" t="str">
        <f ca="1"/>
        <v>ManualSettingLensDataChanged</v>
      </c>
    </row>
    <row r="108" spans="20:22" x14ac:dyDescent="0.25">
      <c r="T108" s="7" t="str">
        <f ca="1"/>
        <v>Z7 II</v>
      </c>
      <c r="U108" s="7" t="str">
        <f ca="1"/>
        <v>0xC120</v>
      </c>
      <c r="V108" s="7" t="str">
        <f ca="1"/>
        <v>SBAdded</v>
      </c>
    </row>
    <row r="109" spans="20:22" x14ac:dyDescent="0.25">
      <c r="T109" s="7" t="str">
        <f ca="1"/>
        <v>Z7 II</v>
      </c>
      <c r="U109" s="7" t="str">
        <f ca="1"/>
        <v>0xC121</v>
      </c>
      <c r="V109" s="7" t="str">
        <f ca="1"/>
        <v>SBRemoved</v>
      </c>
    </row>
    <row r="110" spans="20:22" x14ac:dyDescent="0.25">
      <c r="T110" s="7" t="str">
        <f ca="1"/>
        <v>Z7 II</v>
      </c>
      <c r="U110" s="7" t="str">
        <f ca="1"/>
        <v>0xC122</v>
      </c>
      <c r="V110" s="7" t="str">
        <f ca="1"/>
        <v>SBAttrChanged</v>
      </c>
    </row>
    <row r="111" spans="20:22" x14ac:dyDescent="0.25">
      <c r="T111" s="7" t="str">
        <f ca="1"/>
        <v>Z7 II</v>
      </c>
      <c r="U111" s="7" t="str">
        <f ca="1"/>
        <v>0xC123</v>
      </c>
      <c r="V111" s="7" t="str">
        <f ca="1"/>
        <v>SBGroupAttrChanged</v>
      </c>
    </row>
    <row r="112" spans="20:22" x14ac:dyDescent="0.25">
      <c r="T112" s="7" t="str">
        <f ca="1"/>
        <v>Z50</v>
      </c>
      <c r="U112" s="7" t="str">
        <f ca="1"/>
        <v>0x4001</v>
      </c>
      <c r="V112" s="7" t="str">
        <f ca="1"/>
        <v>CancelTransaction</v>
      </c>
    </row>
    <row r="113" spans="20:22" x14ac:dyDescent="0.25">
      <c r="T113" s="7" t="str">
        <f ca="1"/>
        <v>Z50</v>
      </c>
      <c r="U113" s="7" t="str">
        <f ca="1"/>
        <v>0x4002</v>
      </c>
      <c r="V113" s="7" t="str">
        <f ca="1"/>
        <v>ObjectAdded</v>
      </c>
    </row>
    <row r="114" spans="20:22" x14ac:dyDescent="0.25">
      <c r="T114" s="7" t="str">
        <f ca="1"/>
        <v>Z50</v>
      </c>
      <c r="U114" s="7" t="str">
        <f ca="1"/>
        <v>0x4003</v>
      </c>
      <c r="V114" s="7" t="str">
        <f ca="1"/>
        <v>ObjectRemoved</v>
      </c>
    </row>
    <row r="115" spans="20:22" x14ac:dyDescent="0.25">
      <c r="T115" s="7" t="str">
        <f ca="1"/>
        <v>Z50</v>
      </c>
      <c r="U115" s="7" t="str">
        <f ca="1"/>
        <v>0x4004</v>
      </c>
      <c r="V115" s="7" t="str">
        <f ca="1"/>
        <v>StoreAdded</v>
      </c>
    </row>
    <row r="116" spans="20:22" x14ac:dyDescent="0.25">
      <c r="T116" s="7" t="str">
        <f ca="1"/>
        <v>Z50</v>
      </c>
      <c r="U116" s="7" t="str">
        <f ca="1"/>
        <v>0x4005</v>
      </c>
      <c r="V116" s="7" t="str">
        <f ca="1"/>
        <v>StoreRemoved</v>
      </c>
    </row>
    <row r="117" spans="20:22" x14ac:dyDescent="0.25">
      <c r="T117" s="7" t="str">
        <f ca="1"/>
        <v>Z50</v>
      </c>
      <c r="U117" s="7" t="str">
        <f ca="1"/>
        <v>0x4006</v>
      </c>
      <c r="V117" s="7" t="str">
        <f ca="1"/>
        <v>DevicePropChanged</v>
      </c>
    </row>
    <row r="118" spans="20:22" x14ac:dyDescent="0.25">
      <c r="T118" s="7" t="str">
        <f ca="1"/>
        <v>Z50</v>
      </c>
      <c r="U118" s="7" t="str">
        <f ca="1"/>
        <v>0x4007</v>
      </c>
      <c r="V118" s="7" t="str">
        <f ca="1"/>
        <v>ObjectInfoChanged</v>
      </c>
    </row>
    <row r="119" spans="20:22" x14ac:dyDescent="0.25">
      <c r="T119" s="7" t="str">
        <f ca="1"/>
        <v>Z50</v>
      </c>
      <c r="U119" s="7" t="str">
        <f ca="1"/>
        <v>0x4008</v>
      </c>
      <c r="V119" s="7" t="str">
        <f ca="1"/>
        <v>DeviceInfoChanged</v>
      </c>
    </row>
    <row r="120" spans="20:22" x14ac:dyDescent="0.25">
      <c r="T120" s="7" t="str">
        <f ca="1"/>
        <v>Z50</v>
      </c>
      <c r="U120" s="7" t="str">
        <f ca="1"/>
        <v>0x4009</v>
      </c>
      <c r="V120" s="7" t="str">
        <f ca="1"/>
        <v>RequestObjectTransfer</v>
      </c>
    </row>
    <row r="121" spans="20:22" x14ac:dyDescent="0.25">
      <c r="T121" s="7" t="str">
        <f ca="1"/>
        <v>Z50</v>
      </c>
      <c r="U121" s="7" t="str">
        <f ca="1"/>
        <v>0x400A</v>
      </c>
      <c r="V121" s="7" t="str">
        <f ca="1"/>
        <v>StoreFull</v>
      </c>
    </row>
    <row r="122" spans="20:22" x14ac:dyDescent="0.25">
      <c r="T122" s="7" t="str">
        <f ca="1"/>
        <v>Z50</v>
      </c>
      <c r="U122" s="7" t="str">
        <f ca="1"/>
        <v>0x400C</v>
      </c>
      <c r="V122" s="7" t="str">
        <f ca="1"/>
        <v>StorageInfoChanged</v>
      </c>
    </row>
    <row r="123" spans="20:22" x14ac:dyDescent="0.25">
      <c r="T123" s="7" t="str">
        <f ca="1"/>
        <v>Z50</v>
      </c>
      <c r="U123" s="7" t="str">
        <f ca="1"/>
        <v>0x400D</v>
      </c>
      <c r="V123" s="7" t="str">
        <f ca="1"/>
        <v>CaptureComplete</v>
      </c>
    </row>
    <row r="124" spans="20:22" x14ac:dyDescent="0.25">
      <c r="T124" s="7" t="str">
        <f ca="1"/>
        <v>Z50</v>
      </c>
      <c r="U124" s="7" t="str">
        <f ca="1"/>
        <v>0xC101</v>
      </c>
      <c r="V124" s="7" t="str">
        <f ca="1"/>
        <v>ObjectAddedInSdram</v>
      </c>
    </row>
    <row r="125" spans="20:22" x14ac:dyDescent="0.25">
      <c r="T125" s="7" t="str">
        <f ca="1"/>
        <v>Z50</v>
      </c>
      <c r="U125" s="7" t="str">
        <f ca="1"/>
        <v>0xC102</v>
      </c>
      <c r="V125" s="7" t="str">
        <f ca="1"/>
        <v>CaptureCompleteRecInSdram</v>
      </c>
    </row>
    <row r="126" spans="20:22" x14ac:dyDescent="0.25">
      <c r="T126" s="7" t="str">
        <f ca="1"/>
        <v>Z50</v>
      </c>
      <c r="U126" s="7" t="str">
        <f ca="1"/>
        <v>0xC105</v>
      </c>
      <c r="V126" s="7" t="str">
        <f ca="1"/>
        <v>MovieRecordInterrupted</v>
      </c>
    </row>
    <row r="127" spans="20:22" x14ac:dyDescent="0.25">
      <c r="T127" s="7" t="str">
        <f ca="1"/>
        <v>Z50</v>
      </c>
      <c r="U127" s="7" t="str">
        <f ca="1"/>
        <v>0xC108</v>
      </c>
      <c r="V127" s="7" t="str">
        <f ca="1"/>
        <v>MovieRecordComplete</v>
      </c>
    </row>
    <row r="128" spans="20:22" x14ac:dyDescent="0.25">
      <c r="T128" s="7" t="str">
        <f ca="1"/>
        <v>Z50</v>
      </c>
      <c r="U128" s="7" t="str">
        <f ca="1"/>
        <v>0xC10A</v>
      </c>
      <c r="V128" s="7" t="str">
        <f ca="1"/>
        <v>MovieRecordStarted</v>
      </c>
    </row>
    <row r="129" spans="20:22" x14ac:dyDescent="0.25">
      <c r="T129" s="7" t="str">
        <f ca="1"/>
        <v>Z50</v>
      </c>
      <c r="U129" s="7" t="str">
        <f ca="1"/>
        <v>0xC10B</v>
      </c>
      <c r="V129" s="7" t="str">
        <f ca="1"/>
        <v>PictureControlAdjustChanged</v>
      </c>
    </row>
    <row r="130" spans="20:22" x14ac:dyDescent="0.25">
      <c r="T130" s="7" t="str">
        <f ca="1"/>
        <v>Z50</v>
      </c>
      <c r="U130" s="7" t="str">
        <f ca="1"/>
        <v>0xC10C</v>
      </c>
      <c r="V130" s="7" t="str">
        <f ca="1"/>
        <v>LiveViewStateChanged</v>
      </c>
    </row>
    <row r="131" spans="20:22" x14ac:dyDescent="0.25">
      <c r="T131" s="7" t="str">
        <f ca="1"/>
        <v>Z6</v>
      </c>
      <c r="U131" s="7" t="str">
        <f ca="1"/>
        <v>0x4001</v>
      </c>
      <c r="V131" s="7" t="str">
        <f ca="1"/>
        <v>CancelTransaction</v>
      </c>
    </row>
    <row r="132" spans="20:22" x14ac:dyDescent="0.25">
      <c r="T132" s="7" t="str">
        <f ca="1"/>
        <v>Z6</v>
      </c>
      <c r="U132" s="7" t="str">
        <f ca="1"/>
        <v>0x4002</v>
      </c>
      <c r="V132" s="7" t="str">
        <f ca="1"/>
        <v>ObjectAdded</v>
      </c>
    </row>
    <row r="133" spans="20:22" x14ac:dyDescent="0.25">
      <c r="T133" s="7" t="str">
        <f ca="1"/>
        <v>Z6</v>
      </c>
      <c r="U133" s="7" t="str">
        <f ca="1"/>
        <v>0x4003</v>
      </c>
      <c r="V133" s="7" t="str">
        <f ca="1"/>
        <v>ObjectRemoved</v>
      </c>
    </row>
    <row r="134" spans="20:22" x14ac:dyDescent="0.25">
      <c r="T134" s="7" t="str">
        <f ca="1"/>
        <v>Z6</v>
      </c>
      <c r="U134" s="7" t="str">
        <f ca="1"/>
        <v>0x4004</v>
      </c>
      <c r="V134" s="7" t="str">
        <f ca="1"/>
        <v>StoreAdded</v>
      </c>
    </row>
    <row r="135" spans="20:22" x14ac:dyDescent="0.25">
      <c r="T135" s="7" t="str">
        <f ca="1"/>
        <v>Z6</v>
      </c>
      <c r="U135" s="7" t="str">
        <f ca="1"/>
        <v>0x4005</v>
      </c>
      <c r="V135" s="7" t="str">
        <f ca="1"/>
        <v>StoreRemoved</v>
      </c>
    </row>
    <row r="136" spans="20:22" x14ac:dyDescent="0.25">
      <c r="T136" s="7" t="str">
        <f ca="1"/>
        <v>Z6</v>
      </c>
      <c r="U136" s="7" t="str">
        <f ca="1"/>
        <v>0x4006</v>
      </c>
      <c r="V136" s="7" t="str">
        <f ca="1"/>
        <v>DevicePropChanged</v>
      </c>
    </row>
    <row r="137" spans="20:22" x14ac:dyDescent="0.25">
      <c r="T137" s="7" t="str">
        <f ca="1"/>
        <v>Z6</v>
      </c>
      <c r="U137" s="7" t="str">
        <f ca="1"/>
        <v>0x4007</v>
      </c>
      <c r="V137" s="7" t="str">
        <f ca="1"/>
        <v>ObjectInfoChanged</v>
      </c>
    </row>
    <row r="138" spans="20:22" x14ac:dyDescent="0.25">
      <c r="T138" s="7" t="str">
        <f ca="1"/>
        <v>Z6</v>
      </c>
      <c r="U138" s="7" t="str">
        <f ca="1"/>
        <v>0x4008</v>
      </c>
      <c r="V138" s="7" t="str">
        <f ca="1"/>
        <v>DeviceInfoChanged</v>
      </c>
    </row>
    <row r="139" spans="20:22" x14ac:dyDescent="0.25">
      <c r="T139" s="7" t="str">
        <f ca="1"/>
        <v>Z6</v>
      </c>
      <c r="U139" s="7" t="str">
        <f ca="1"/>
        <v>0x4009</v>
      </c>
      <c r="V139" s="7" t="str">
        <f ca="1"/>
        <v>RequestObjectTransfer</v>
      </c>
    </row>
    <row r="140" spans="20:22" x14ac:dyDescent="0.25">
      <c r="T140" s="7" t="str">
        <f ca="1"/>
        <v>Z6</v>
      </c>
      <c r="U140" s="7" t="str">
        <f ca="1"/>
        <v>0x400A</v>
      </c>
      <c r="V140" s="7" t="str">
        <f ca="1"/>
        <v>StoreFull</v>
      </c>
    </row>
    <row r="141" spans="20:22" x14ac:dyDescent="0.25">
      <c r="T141" s="7" t="str">
        <f ca="1"/>
        <v>Z6</v>
      </c>
      <c r="U141" s="7" t="str">
        <f ca="1"/>
        <v>0x400C</v>
      </c>
      <c r="V141" s="7" t="str">
        <f ca="1"/>
        <v>StorageInfoChanged</v>
      </c>
    </row>
    <row r="142" spans="20:22" x14ac:dyDescent="0.25">
      <c r="T142" s="7" t="str">
        <f ca="1"/>
        <v>Z6</v>
      </c>
      <c r="U142" s="7" t="str">
        <f ca="1"/>
        <v>0x400D</v>
      </c>
      <c r="V142" s="7" t="str">
        <f ca="1"/>
        <v>CaptureComplete</v>
      </c>
    </row>
    <row r="143" spans="20:22" x14ac:dyDescent="0.25">
      <c r="T143" s="7" t="str">
        <f ca="1"/>
        <v>Z6</v>
      </c>
      <c r="U143" s="7" t="str">
        <f ca="1"/>
        <v>0xC101</v>
      </c>
      <c r="V143" s="7" t="str">
        <f ca="1"/>
        <v>ObjectAddedInSdram</v>
      </c>
    </row>
    <row r="144" spans="20:22" x14ac:dyDescent="0.25">
      <c r="T144" s="7" t="str">
        <f ca="1"/>
        <v>Z6</v>
      </c>
      <c r="U144" s="7" t="str">
        <f ca="1"/>
        <v>0xC102</v>
      </c>
      <c r="V144" s="7" t="str">
        <f ca="1"/>
        <v>CaptureCompleteRecInSdram</v>
      </c>
    </row>
    <row r="145" spans="20:22" x14ac:dyDescent="0.25">
      <c r="T145" s="7" t="str">
        <f ca="1"/>
        <v>Z6</v>
      </c>
      <c r="U145" s="7" t="str">
        <f ca="1"/>
        <v>0xC105</v>
      </c>
      <c r="V145" s="7" t="str">
        <f ca="1"/>
        <v>MovieRecordInterrupted</v>
      </c>
    </row>
    <row r="146" spans="20:22" x14ac:dyDescent="0.25">
      <c r="T146" s="7" t="str">
        <f ca="1"/>
        <v>Z6</v>
      </c>
      <c r="U146" s="7" t="str">
        <f ca="1"/>
        <v>0xC108</v>
      </c>
      <c r="V146" s="7" t="str">
        <f ca="1"/>
        <v>MovieRecordComplete</v>
      </c>
    </row>
    <row r="147" spans="20:22" x14ac:dyDescent="0.25">
      <c r="T147" s="7" t="str">
        <f ca="1"/>
        <v>Z6</v>
      </c>
      <c r="U147" s="7" t="str">
        <f ca="1"/>
        <v>0xC10A</v>
      </c>
      <c r="V147" s="7" t="str">
        <f ca="1"/>
        <v>MovieRecordStarted</v>
      </c>
    </row>
    <row r="148" spans="20:22" x14ac:dyDescent="0.25">
      <c r="T148" s="7" t="str">
        <f ca="1"/>
        <v>Z6</v>
      </c>
      <c r="U148" s="7" t="str">
        <f ca="1"/>
        <v>0xC10B</v>
      </c>
      <c r="V148" s="7" t="str">
        <f ca="1"/>
        <v>PictureControlAdjustChanged</v>
      </c>
    </row>
    <row r="149" spans="20:22" x14ac:dyDescent="0.25">
      <c r="T149" s="7" t="str">
        <f ca="1"/>
        <v>Z6</v>
      </c>
      <c r="U149" s="7" t="str">
        <f ca="1"/>
        <v>0xC10C</v>
      </c>
      <c r="V149" s="7" t="str">
        <f ca="1"/>
        <v>LiveViewStateChanged</v>
      </c>
    </row>
    <row r="150" spans="20:22" x14ac:dyDescent="0.25">
      <c r="T150" s="7" t="str">
        <f ca="1"/>
        <v>Z6</v>
      </c>
      <c r="U150" s="7" t="str">
        <f ca="1"/>
        <v>0xC10E</v>
      </c>
      <c r="V150" s="7" t="str">
        <f ca="1"/>
        <v>ManualSettingLensDataChanged</v>
      </c>
    </row>
    <row r="151" spans="20:22" x14ac:dyDescent="0.25">
      <c r="T151" s="7" t="str">
        <f ca="1"/>
        <v>Z6</v>
      </c>
      <c r="U151" s="7" t="str">
        <f ca="1"/>
        <v>0xC120</v>
      </c>
      <c r="V151" s="7" t="str">
        <f ca="1"/>
        <v>SBAdded</v>
      </c>
    </row>
    <row r="152" spans="20:22" x14ac:dyDescent="0.25">
      <c r="T152" s="7" t="str">
        <f ca="1"/>
        <v>Z6</v>
      </c>
      <c r="U152" s="7" t="str">
        <f ca="1"/>
        <v>0xC121</v>
      </c>
      <c r="V152" s="7" t="str">
        <f ca="1"/>
        <v>SBRemoved</v>
      </c>
    </row>
    <row r="153" spans="20:22" x14ac:dyDescent="0.25">
      <c r="T153" s="7" t="str">
        <f ca="1"/>
        <v>Z6</v>
      </c>
      <c r="U153" s="7" t="str">
        <f ca="1"/>
        <v>0xC122</v>
      </c>
      <c r="V153" s="7" t="str">
        <f ca="1"/>
        <v>SBAttrChanged</v>
      </c>
    </row>
    <row r="154" spans="20:22" x14ac:dyDescent="0.25">
      <c r="T154" s="7" t="str">
        <f ca="1"/>
        <v>Z6</v>
      </c>
      <c r="U154" s="7" t="str">
        <f ca="1"/>
        <v>0xC123</v>
      </c>
      <c r="V154" s="7" t="str">
        <f ca="1"/>
        <v>SBGroupAttrChanged</v>
      </c>
    </row>
    <row r="155" spans="20:22" x14ac:dyDescent="0.25">
      <c r="T155" s="7" t="str">
        <f ca="1"/>
        <v>Z7</v>
      </c>
      <c r="U155" s="7" t="str">
        <f ca="1"/>
        <v>0x4001</v>
      </c>
      <c r="V155" s="7" t="str">
        <f ca="1"/>
        <v>CancelTransaction</v>
      </c>
    </row>
    <row r="156" spans="20:22" x14ac:dyDescent="0.25">
      <c r="T156" s="7" t="str">
        <f ca="1"/>
        <v>Z7</v>
      </c>
      <c r="U156" s="7" t="str">
        <f ca="1"/>
        <v>0x4002</v>
      </c>
      <c r="V156" s="7" t="str">
        <f ca="1"/>
        <v>ObjectAdded</v>
      </c>
    </row>
    <row r="157" spans="20:22" x14ac:dyDescent="0.25">
      <c r="T157" s="7" t="str">
        <f ca="1"/>
        <v>Z7</v>
      </c>
      <c r="U157" s="7" t="str">
        <f ca="1"/>
        <v>0x4003</v>
      </c>
      <c r="V157" s="7" t="str">
        <f ca="1"/>
        <v>ObjectRemoved</v>
      </c>
    </row>
    <row r="158" spans="20:22" x14ac:dyDescent="0.25">
      <c r="T158" s="7" t="str">
        <f ca="1"/>
        <v>Z7</v>
      </c>
      <c r="U158" s="7" t="str">
        <f ca="1"/>
        <v>0x4004</v>
      </c>
      <c r="V158" s="7" t="str">
        <f ca="1"/>
        <v>StoreAdded</v>
      </c>
    </row>
    <row r="159" spans="20:22" x14ac:dyDescent="0.25">
      <c r="T159" s="7" t="str">
        <f ca="1"/>
        <v>Z7</v>
      </c>
      <c r="U159" s="7" t="str">
        <f ca="1"/>
        <v>0x4005</v>
      </c>
      <c r="V159" s="7" t="str">
        <f ca="1"/>
        <v>StoreRemoved</v>
      </c>
    </row>
    <row r="160" spans="20:22" x14ac:dyDescent="0.25">
      <c r="T160" s="7" t="str">
        <f ca="1"/>
        <v>Z7</v>
      </c>
      <c r="U160" s="7" t="str">
        <f ca="1"/>
        <v>0x4006</v>
      </c>
      <c r="V160" s="7" t="str">
        <f ca="1"/>
        <v>DevicePropChanged</v>
      </c>
    </row>
    <row r="161" spans="20:22" x14ac:dyDescent="0.25">
      <c r="T161" s="7" t="str">
        <f ca="1"/>
        <v>Z7</v>
      </c>
      <c r="U161" s="7" t="str">
        <f ca="1"/>
        <v>0x4007</v>
      </c>
      <c r="V161" s="7" t="str">
        <f ca="1"/>
        <v>ObjectInfoChanged</v>
      </c>
    </row>
    <row r="162" spans="20:22" x14ac:dyDescent="0.25">
      <c r="T162" s="7" t="str">
        <f ca="1"/>
        <v>Z7</v>
      </c>
      <c r="U162" s="7" t="str">
        <f ca="1"/>
        <v>0x4008</v>
      </c>
      <c r="V162" s="7" t="str">
        <f ca="1"/>
        <v>DeviceInfoChanged</v>
      </c>
    </row>
    <row r="163" spans="20:22" x14ac:dyDescent="0.25">
      <c r="T163" s="7" t="str">
        <f ca="1"/>
        <v>Z7</v>
      </c>
      <c r="U163" s="7" t="str">
        <f ca="1"/>
        <v>0x4009</v>
      </c>
      <c r="V163" s="7" t="str">
        <f ca="1"/>
        <v>RequestObjectTransfer</v>
      </c>
    </row>
    <row r="164" spans="20:22" x14ac:dyDescent="0.25">
      <c r="T164" s="7" t="str">
        <f ca="1"/>
        <v>Z7</v>
      </c>
      <c r="U164" s="7" t="str">
        <f ca="1"/>
        <v>0x400A</v>
      </c>
      <c r="V164" s="7" t="str">
        <f ca="1"/>
        <v>StoreFull</v>
      </c>
    </row>
    <row r="165" spans="20:22" x14ac:dyDescent="0.25">
      <c r="T165" s="7" t="str">
        <f ca="1"/>
        <v>Z7</v>
      </c>
      <c r="U165" s="7" t="str">
        <f ca="1"/>
        <v>0x400C</v>
      </c>
      <c r="V165" s="7" t="str">
        <f ca="1"/>
        <v>StorageInfoChanged</v>
      </c>
    </row>
    <row r="166" spans="20:22" x14ac:dyDescent="0.25">
      <c r="T166" s="7" t="str">
        <f ca="1"/>
        <v>Z7</v>
      </c>
      <c r="U166" s="7" t="str">
        <f ca="1"/>
        <v>0x400D</v>
      </c>
      <c r="V166" s="7" t="str">
        <f ca="1"/>
        <v>CaptureComplete</v>
      </c>
    </row>
    <row r="167" spans="20:22" x14ac:dyDescent="0.25">
      <c r="T167" s="7" t="str">
        <f ca="1"/>
        <v>Z7</v>
      </c>
      <c r="U167" s="7" t="str">
        <f ca="1"/>
        <v>0xC101</v>
      </c>
      <c r="V167" s="7" t="str">
        <f ca="1"/>
        <v>ObjectAddedInSdram</v>
      </c>
    </row>
    <row r="168" spans="20:22" x14ac:dyDescent="0.25">
      <c r="T168" s="7" t="str">
        <f ca="1"/>
        <v>Z7</v>
      </c>
      <c r="U168" s="7" t="str">
        <f ca="1"/>
        <v>0xC102</v>
      </c>
      <c r="V168" s="7" t="str">
        <f ca="1"/>
        <v>CaptureCompleteRecInSdram</v>
      </c>
    </row>
    <row r="169" spans="20:22" x14ac:dyDescent="0.25">
      <c r="T169" s="7" t="str">
        <f ca="1"/>
        <v>Z7</v>
      </c>
      <c r="U169" s="7" t="str">
        <f ca="1"/>
        <v>0xC105</v>
      </c>
      <c r="V169" s="7" t="str">
        <f ca="1"/>
        <v>MovieRecordInterrupted</v>
      </c>
    </row>
    <row r="170" spans="20:22" x14ac:dyDescent="0.25">
      <c r="T170" s="7" t="str">
        <f ca="1"/>
        <v>Z7</v>
      </c>
      <c r="U170" s="7" t="str">
        <f ca="1"/>
        <v>0xC108</v>
      </c>
      <c r="V170" s="7" t="str">
        <f ca="1"/>
        <v>MovieRecordComplete</v>
      </c>
    </row>
    <row r="171" spans="20:22" x14ac:dyDescent="0.25">
      <c r="T171" s="7" t="str">
        <f ca="1"/>
        <v>Z7</v>
      </c>
      <c r="U171" s="7" t="str">
        <f ca="1"/>
        <v>0xC10A</v>
      </c>
      <c r="V171" s="7" t="str">
        <f ca="1"/>
        <v>MovieRecordStarted</v>
      </c>
    </row>
    <row r="172" spans="20:22" x14ac:dyDescent="0.25">
      <c r="T172" s="7" t="str">
        <f ca="1"/>
        <v>Z7</v>
      </c>
      <c r="U172" s="7" t="str">
        <f ca="1"/>
        <v>0xC10B</v>
      </c>
      <c r="V172" s="7" t="str">
        <f ca="1"/>
        <v>PictureControlAdjustChanged</v>
      </c>
    </row>
    <row r="173" spans="20:22" x14ac:dyDescent="0.25">
      <c r="T173" s="7" t="str">
        <f ca="1"/>
        <v>Z7</v>
      </c>
      <c r="U173" s="7" t="str">
        <f ca="1"/>
        <v>0xC10C</v>
      </c>
      <c r="V173" s="7" t="str">
        <f ca="1"/>
        <v>LiveViewStateChanged</v>
      </c>
    </row>
    <row r="174" spans="20:22" x14ac:dyDescent="0.25">
      <c r="T174" s="7" t="str">
        <f ca="1"/>
        <v>Z7</v>
      </c>
      <c r="U174" s="7" t="str">
        <f ca="1"/>
        <v>0xC10E</v>
      </c>
      <c r="V174" s="7" t="str">
        <f ca="1"/>
        <v>ManualSettingLensDataChanged</v>
      </c>
    </row>
    <row r="175" spans="20:22" x14ac:dyDescent="0.25">
      <c r="T175" s="7" t="str">
        <f ca="1"/>
        <v>Z7</v>
      </c>
      <c r="U175" s="7" t="str">
        <f ca="1"/>
        <v>0xC120</v>
      </c>
      <c r="V175" s="7" t="str">
        <f ca="1"/>
        <v>SBAdded</v>
      </c>
    </row>
    <row r="176" spans="20:22" x14ac:dyDescent="0.25">
      <c r="T176" s="7" t="str">
        <f ca="1"/>
        <v>Z7</v>
      </c>
      <c r="U176" s="7" t="str">
        <f ca="1"/>
        <v>0xC121</v>
      </c>
      <c r="V176" s="7" t="str">
        <f ca="1"/>
        <v>SBRemoved</v>
      </c>
    </row>
    <row r="177" spans="20:22" x14ac:dyDescent="0.25">
      <c r="T177" s="7" t="str">
        <f ca="1"/>
        <v>Z7</v>
      </c>
      <c r="U177" s="7" t="str">
        <f ca="1"/>
        <v>0xC122</v>
      </c>
      <c r="V177" s="7" t="str">
        <f ca="1"/>
        <v>SBAttrChanged</v>
      </c>
    </row>
    <row r="178" spans="20:22" x14ac:dyDescent="0.25">
      <c r="T178" s="7" t="str">
        <f ca="1"/>
        <v>Z7</v>
      </c>
      <c r="U178" s="7" t="str">
        <f ca="1"/>
        <v>0xC123</v>
      </c>
      <c r="V178" s="7" t="str">
        <f ca="1"/>
        <v>SBGroupAttrChanged</v>
      </c>
    </row>
    <row r="179" spans="20:22" x14ac:dyDescent="0.25">
      <c r="T179" s="7" t="str">
        <f ca="1"/>
        <v>Z5</v>
      </c>
      <c r="U179" s="7" t="str">
        <f ca="1"/>
        <v>0x4001</v>
      </c>
      <c r="V179" s="7" t="str">
        <f ca="1"/>
        <v>CancelTransaction</v>
      </c>
    </row>
    <row r="180" spans="20:22" x14ac:dyDescent="0.25">
      <c r="T180" s="7" t="str">
        <f ca="1"/>
        <v>Z5</v>
      </c>
      <c r="U180" s="7" t="str">
        <f ca="1"/>
        <v>0x4002</v>
      </c>
      <c r="V180" s="7" t="str">
        <f ca="1"/>
        <v>ObjectAdded</v>
      </c>
    </row>
    <row r="181" spans="20:22" x14ac:dyDescent="0.25">
      <c r="T181" s="7" t="str">
        <f ca="1"/>
        <v>Z5</v>
      </c>
      <c r="U181" s="7" t="str">
        <f ca="1"/>
        <v>0x4003</v>
      </c>
      <c r="V181" s="7" t="str">
        <f ca="1"/>
        <v>ObjectRemoved</v>
      </c>
    </row>
    <row r="182" spans="20:22" x14ac:dyDescent="0.25">
      <c r="T182" s="7" t="str">
        <f ca="1"/>
        <v>Z5</v>
      </c>
      <c r="U182" s="7" t="str">
        <f ca="1"/>
        <v>0x4004</v>
      </c>
      <c r="V182" s="7" t="str">
        <f ca="1"/>
        <v>StoreAdded</v>
      </c>
    </row>
    <row r="183" spans="20:22" x14ac:dyDescent="0.25">
      <c r="T183" s="7" t="str">
        <f ca="1"/>
        <v>Z5</v>
      </c>
      <c r="U183" s="7" t="str">
        <f ca="1"/>
        <v>0x4005</v>
      </c>
      <c r="V183" s="7" t="str">
        <f ca="1"/>
        <v>StoreRemoved</v>
      </c>
    </row>
    <row r="184" spans="20:22" x14ac:dyDescent="0.25">
      <c r="T184" s="7" t="str">
        <f ca="1"/>
        <v>Z5</v>
      </c>
      <c r="U184" s="7" t="str">
        <f ca="1"/>
        <v>0x4006</v>
      </c>
      <c r="V184" s="7" t="str">
        <f ca="1"/>
        <v>DevicePropChanged</v>
      </c>
    </row>
    <row r="185" spans="20:22" x14ac:dyDescent="0.25">
      <c r="T185" s="7" t="str">
        <f ca="1"/>
        <v>Z5</v>
      </c>
      <c r="U185" s="7" t="str">
        <f ca="1"/>
        <v>0x4007</v>
      </c>
      <c r="V185" s="7" t="str">
        <f ca="1"/>
        <v>ObjectInfoChanged</v>
      </c>
    </row>
    <row r="186" spans="20:22" x14ac:dyDescent="0.25">
      <c r="T186" s="7" t="str">
        <f ca="1"/>
        <v>Z5</v>
      </c>
      <c r="U186" s="7" t="str">
        <f ca="1"/>
        <v>0x4008</v>
      </c>
      <c r="V186" s="7" t="str">
        <f ca="1"/>
        <v>DeviceInfoChanged</v>
      </c>
    </row>
    <row r="187" spans="20:22" x14ac:dyDescent="0.25">
      <c r="T187" s="7" t="str">
        <f ca="1"/>
        <v>Z5</v>
      </c>
      <c r="U187" s="7" t="str">
        <f ca="1"/>
        <v>0x4009</v>
      </c>
      <c r="V187" s="7" t="str">
        <f ca="1"/>
        <v>RequestObjectTransfer</v>
      </c>
    </row>
    <row r="188" spans="20:22" x14ac:dyDescent="0.25">
      <c r="T188" s="7" t="str">
        <f ca="1"/>
        <v>Z5</v>
      </c>
      <c r="U188" s="7" t="str">
        <f ca="1"/>
        <v>0x400A</v>
      </c>
      <c r="V188" s="7" t="str">
        <f ca="1"/>
        <v>StoreFull</v>
      </c>
    </row>
    <row r="189" spans="20:22" x14ac:dyDescent="0.25">
      <c r="T189" s="7" t="str">
        <f ca="1"/>
        <v>Z5</v>
      </c>
      <c r="U189" s="7" t="str">
        <f ca="1"/>
        <v>0x400C</v>
      </c>
      <c r="V189" s="7" t="str">
        <f ca="1"/>
        <v>StorageInfoChanged</v>
      </c>
    </row>
    <row r="190" spans="20:22" x14ac:dyDescent="0.25">
      <c r="T190" s="7" t="str">
        <f ca="1"/>
        <v>Z5</v>
      </c>
      <c r="U190" s="7" t="str">
        <f ca="1"/>
        <v>0x400D</v>
      </c>
      <c r="V190" s="7" t="str">
        <f ca="1"/>
        <v>CaptureComplete</v>
      </c>
    </row>
    <row r="191" spans="20:22" x14ac:dyDescent="0.25">
      <c r="T191" s="7" t="str">
        <f ca="1"/>
        <v>Z5</v>
      </c>
      <c r="U191" s="7" t="str">
        <f ca="1"/>
        <v>0xC101</v>
      </c>
      <c r="V191" s="7" t="str">
        <f ca="1"/>
        <v>ObjectAddedInSdram</v>
      </c>
    </row>
    <row r="192" spans="20:22" x14ac:dyDescent="0.25">
      <c r="T192" s="7" t="str">
        <f ca="1"/>
        <v>Z5</v>
      </c>
      <c r="U192" s="7" t="str">
        <f ca="1"/>
        <v>0xC102</v>
      </c>
      <c r="V192" s="7" t="str">
        <f ca="1"/>
        <v>CaptureCompleteRecInSdram</v>
      </c>
    </row>
    <row r="193" spans="20:22" x14ac:dyDescent="0.25">
      <c r="T193" s="7" t="str">
        <f ca="1"/>
        <v>Z5</v>
      </c>
      <c r="U193" s="7" t="str">
        <f ca="1"/>
        <v>0xC105</v>
      </c>
      <c r="V193" s="7" t="str">
        <f ca="1"/>
        <v>MovieRecordInterrupted</v>
      </c>
    </row>
    <row r="194" spans="20:22" x14ac:dyDescent="0.25">
      <c r="T194" s="7" t="str">
        <f ca="1"/>
        <v>Z5</v>
      </c>
      <c r="U194" s="7" t="str">
        <f ca="1"/>
        <v>0xC108</v>
      </c>
      <c r="V194" s="7" t="str">
        <f ca="1"/>
        <v>MovieRecordComplete</v>
      </c>
    </row>
    <row r="195" spans="20:22" x14ac:dyDescent="0.25">
      <c r="T195" s="7" t="str">
        <f ca="1"/>
        <v>Z5</v>
      </c>
      <c r="U195" s="7" t="str">
        <f ca="1"/>
        <v>0xC10A</v>
      </c>
      <c r="V195" s="7" t="str">
        <f ca="1"/>
        <v>MovieRecordStarted</v>
      </c>
    </row>
    <row r="196" spans="20:22" x14ac:dyDescent="0.25">
      <c r="T196" s="7" t="str">
        <f ca="1"/>
        <v>Z5</v>
      </c>
      <c r="U196" s="7" t="str">
        <f ca="1"/>
        <v>0xC10B</v>
      </c>
      <c r="V196" s="7" t="str">
        <f ca="1"/>
        <v>PictureControlAdjustChanged</v>
      </c>
    </row>
    <row r="197" spans="20:22" x14ac:dyDescent="0.25">
      <c r="T197" s="7" t="str">
        <f ca="1"/>
        <v>Z5</v>
      </c>
      <c r="U197" s="7" t="str">
        <f ca="1"/>
        <v>0xC10C</v>
      </c>
      <c r="V197" s="7" t="str">
        <f ca="1"/>
        <v>LiveViewStateChanged</v>
      </c>
    </row>
    <row r="198" spans="20:22" x14ac:dyDescent="0.25">
      <c r="T198" s="7" t="str">
        <f ca="1"/>
        <v>Z5</v>
      </c>
      <c r="U198" s="7" t="str">
        <f ca="1"/>
        <v>0xC10D</v>
      </c>
      <c r="V198" s="7" t="str">
        <f ca="1"/>
        <v>PixelMappingComplete</v>
      </c>
    </row>
    <row r="199" spans="20:22" x14ac:dyDescent="0.25">
      <c r="T199" s="7" t="str">
        <f ca="1"/>
        <v>Z5</v>
      </c>
      <c r="U199" s="7" t="str">
        <f ca="1"/>
        <v>0xC10E</v>
      </c>
      <c r="V199" s="7" t="str">
        <f ca="1"/>
        <v>ManualSettingLensDataChanged</v>
      </c>
    </row>
    <row r="200" spans="20:22" x14ac:dyDescent="0.25">
      <c r="T200" s="7" t="str">
        <f ca="1"/>
        <v>Z5</v>
      </c>
      <c r="U200" s="7" t="str">
        <f ca="1"/>
        <v>0xC120</v>
      </c>
      <c r="V200" s="7" t="str">
        <f ca="1"/>
        <v>SBAdded</v>
      </c>
    </row>
    <row r="201" spans="20:22" x14ac:dyDescent="0.25">
      <c r="T201" s="7" t="str">
        <f ca="1"/>
        <v>Z5</v>
      </c>
      <c r="U201" s="7" t="str">
        <f ca="1"/>
        <v>0xC121</v>
      </c>
      <c r="V201" s="7" t="str">
        <f ca="1"/>
        <v>SBRemoved</v>
      </c>
    </row>
    <row r="202" spans="20:22" x14ac:dyDescent="0.25">
      <c r="T202" s="7" t="str">
        <f ca="1"/>
        <v>Z5</v>
      </c>
      <c r="U202" s="7" t="str">
        <f ca="1"/>
        <v>0xC122</v>
      </c>
      <c r="V202" s="7" t="str">
        <f ca="1"/>
        <v>SBAttrChanged</v>
      </c>
    </row>
    <row r="203" spans="20:22" x14ac:dyDescent="0.25">
      <c r="T203" s="7" t="str">
        <f ca="1"/>
        <v>Z5</v>
      </c>
      <c r="U203" s="7" t="str">
        <f ca="1"/>
        <v>0xC123</v>
      </c>
      <c r="V203" s="7" t="str">
        <f ca="1"/>
        <v>SBGroupAttrChanged</v>
      </c>
    </row>
    <row r="204" spans="20:22" x14ac:dyDescent="0.25">
      <c r="T204" s="7" t="str">
        <f ca="1"/>
        <v>D6</v>
      </c>
      <c r="U204" s="7" t="str">
        <f ca="1"/>
        <v>0x4001</v>
      </c>
      <c r="V204" s="7" t="str">
        <f ca="1"/>
        <v>CancelTransaction</v>
      </c>
    </row>
    <row r="205" spans="20:22" x14ac:dyDescent="0.25">
      <c r="T205" s="7" t="str">
        <f ca="1"/>
        <v>D6</v>
      </c>
      <c r="U205" s="7" t="str">
        <f ca="1"/>
        <v>0x4002</v>
      </c>
      <c r="V205" s="7" t="str">
        <f ca="1"/>
        <v>ObjectAdded</v>
      </c>
    </row>
    <row r="206" spans="20:22" x14ac:dyDescent="0.25">
      <c r="T206" s="7" t="str">
        <f ca="1"/>
        <v>D6</v>
      </c>
      <c r="U206" s="7" t="str">
        <f ca="1"/>
        <v>0x4003</v>
      </c>
      <c r="V206" s="7" t="str">
        <f ca="1"/>
        <v>ObjectRemoved</v>
      </c>
    </row>
    <row r="207" spans="20:22" x14ac:dyDescent="0.25">
      <c r="T207" s="7" t="str">
        <f ca="1"/>
        <v>D6</v>
      </c>
      <c r="U207" s="7" t="str">
        <f ca="1"/>
        <v>0x4004</v>
      </c>
      <c r="V207" s="7" t="str">
        <f ca="1"/>
        <v>StoreAdded</v>
      </c>
    </row>
    <row r="208" spans="20:22" x14ac:dyDescent="0.25">
      <c r="T208" s="7" t="str">
        <f ca="1"/>
        <v>D6</v>
      </c>
      <c r="U208" s="7" t="str">
        <f ca="1"/>
        <v>0x4005</v>
      </c>
      <c r="V208" s="7" t="str">
        <f ca="1"/>
        <v>StoreRemoved</v>
      </c>
    </row>
    <row r="209" spans="20:22" x14ac:dyDescent="0.25">
      <c r="T209" s="7" t="str">
        <f ca="1"/>
        <v>D6</v>
      </c>
      <c r="U209" s="7" t="str">
        <f ca="1"/>
        <v>0x4006</v>
      </c>
      <c r="V209" s="7" t="str">
        <f ca="1"/>
        <v>DevicePropChanged</v>
      </c>
    </row>
    <row r="210" spans="20:22" x14ac:dyDescent="0.25">
      <c r="T210" s="7" t="str">
        <f ca="1"/>
        <v>D6</v>
      </c>
      <c r="U210" s="7" t="str">
        <f ca="1"/>
        <v>0x4007</v>
      </c>
      <c r="V210" s="7" t="str">
        <f ca="1"/>
        <v>ObjectInfoChanged</v>
      </c>
    </row>
    <row r="211" spans="20:22" x14ac:dyDescent="0.25">
      <c r="T211" s="7" t="str">
        <f ca="1"/>
        <v>D6</v>
      </c>
      <c r="U211" s="7" t="str">
        <f ca="1"/>
        <v>0x4008</v>
      </c>
      <c r="V211" s="7" t="str">
        <f ca="1"/>
        <v>DeviceInfoChanged</v>
      </c>
    </row>
    <row r="212" spans="20:22" x14ac:dyDescent="0.25">
      <c r="T212" s="7" t="str">
        <f ca="1"/>
        <v>D6</v>
      </c>
      <c r="U212" s="7" t="str">
        <f ca="1"/>
        <v>0x4009</v>
      </c>
      <c r="V212" s="7" t="str">
        <f ca="1"/>
        <v>RequestObjectTransfer</v>
      </c>
    </row>
    <row r="213" spans="20:22" x14ac:dyDescent="0.25">
      <c r="T213" s="7" t="str">
        <f ca="1"/>
        <v>D6</v>
      </c>
      <c r="U213" s="7" t="str">
        <f ca="1"/>
        <v>0x400A</v>
      </c>
      <c r="V213" s="7" t="str">
        <f ca="1"/>
        <v>StoreFull</v>
      </c>
    </row>
    <row r="214" spans="20:22" x14ac:dyDescent="0.25">
      <c r="T214" s="7" t="str">
        <f ca="1"/>
        <v>D6</v>
      </c>
      <c r="U214" s="7" t="str">
        <f ca="1"/>
        <v>0x400C</v>
      </c>
      <c r="V214" s="7" t="str">
        <f ca="1"/>
        <v>StorageInfoChanged</v>
      </c>
    </row>
    <row r="215" spans="20:22" x14ac:dyDescent="0.25">
      <c r="T215" s="7" t="str">
        <f ca="1"/>
        <v>D6</v>
      </c>
      <c r="U215" s="7" t="str">
        <f ca="1"/>
        <v>0x400D</v>
      </c>
      <c r="V215" s="7" t="str">
        <f ca="1"/>
        <v>CaptureComplete</v>
      </c>
    </row>
    <row r="216" spans="20:22" x14ac:dyDescent="0.25">
      <c r="T216" s="7" t="str">
        <f ca="1"/>
        <v>D6</v>
      </c>
      <c r="U216" s="7" t="str">
        <f ca="1"/>
        <v>0xC101</v>
      </c>
      <c r="V216" s="7" t="str">
        <f ca="1"/>
        <v>ObjectAddedInSdram</v>
      </c>
    </row>
    <row r="217" spans="20:22" x14ac:dyDescent="0.25">
      <c r="T217" s="7" t="str">
        <f ca="1"/>
        <v>D6</v>
      </c>
      <c r="U217" s="7" t="str">
        <f ca="1"/>
        <v>0xC102</v>
      </c>
      <c r="V217" s="7" t="str">
        <f ca="1"/>
        <v>CaptureCompleteRecInSdram</v>
      </c>
    </row>
    <row r="218" spans="20:22" x14ac:dyDescent="0.25">
      <c r="T218" s="7" t="str">
        <f ca="1"/>
        <v>D6</v>
      </c>
      <c r="U218" s="7" t="str">
        <f ca="1"/>
        <v>0xC105</v>
      </c>
      <c r="V218" s="7" t="str">
        <f ca="1"/>
        <v>MovieRecordInterrupted</v>
      </c>
    </row>
    <row r="219" spans="20:22" x14ac:dyDescent="0.25">
      <c r="T219" s="7" t="str">
        <f ca="1"/>
        <v>D6</v>
      </c>
      <c r="U219" s="7" t="str">
        <f ca="1"/>
        <v>0xC106</v>
      </c>
      <c r="V219" s="7" t="str">
        <f ca="1"/>
        <v>1stCaptureComplete</v>
      </c>
    </row>
    <row r="220" spans="20:22" x14ac:dyDescent="0.25">
      <c r="T220" s="7" t="str">
        <f ca="1"/>
        <v>D6</v>
      </c>
      <c r="U220" s="7" t="str">
        <f ca="1"/>
        <v>0xC107</v>
      </c>
      <c r="V220" s="7" t="str">
        <f ca="1"/>
        <v>MirrorUpCancelComplete</v>
      </c>
    </row>
    <row r="221" spans="20:22" x14ac:dyDescent="0.25">
      <c r="T221" s="7" t="str">
        <f ca="1"/>
        <v>D6</v>
      </c>
      <c r="U221" s="7" t="str">
        <f ca="1"/>
        <v>0xC108</v>
      </c>
      <c r="V221" s="7" t="str">
        <f ca="1"/>
        <v>MovieRecordComplete</v>
      </c>
    </row>
    <row r="222" spans="20:22" x14ac:dyDescent="0.25">
      <c r="T222" s="7" t="str">
        <f ca="1"/>
        <v>D6</v>
      </c>
      <c r="U222" s="7" t="str">
        <f ca="1"/>
        <v>0xC10A</v>
      </c>
      <c r="V222" s="7" t="str">
        <f ca="1"/>
        <v>MovieRecordStarted</v>
      </c>
    </row>
    <row r="223" spans="20:22" x14ac:dyDescent="0.25">
      <c r="T223" s="7" t="str">
        <f ca="1"/>
        <v>D6</v>
      </c>
      <c r="U223" s="7" t="str">
        <f ca="1"/>
        <v>0xC10B</v>
      </c>
      <c r="V223" s="7" t="str">
        <f ca="1"/>
        <v>PictureControlAdjustChanged</v>
      </c>
    </row>
    <row r="224" spans="20:22" x14ac:dyDescent="0.25">
      <c r="T224" s="7" t="str">
        <f ca="1"/>
        <v>D6</v>
      </c>
      <c r="U224" s="7" t="str">
        <f ca="1"/>
        <v>0xC10C</v>
      </c>
      <c r="V224" s="7" t="str">
        <f ca="1"/>
        <v>LiveViewStateChanged</v>
      </c>
    </row>
    <row r="225" spans="20:22" x14ac:dyDescent="0.25">
      <c r="T225" s="7" t="str">
        <f ca="1"/>
        <v>D6</v>
      </c>
      <c r="U225" s="7" t="str">
        <f ca="1"/>
        <v>0xC10D</v>
      </c>
      <c r="V225" s="7" t="str">
        <f ca="1"/>
        <v>PixelMappingComplete</v>
      </c>
    </row>
    <row r="226" spans="20:22" x14ac:dyDescent="0.25">
      <c r="T226" s="7" t="str">
        <f ca="1"/>
        <v>D6</v>
      </c>
      <c r="U226" s="7" t="str">
        <f ca="1"/>
        <v>0xC10E</v>
      </c>
      <c r="V226" s="7" t="str">
        <f ca="1"/>
        <v>ManualSettingLensDataChanged</v>
      </c>
    </row>
    <row r="227" spans="20:22" x14ac:dyDescent="0.25">
      <c r="T227" s="7" t="str">
        <f ca="1"/>
        <v>D6</v>
      </c>
      <c r="U227" s="7" t="str">
        <f ca="1"/>
        <v>0xC120</v>
      </c>
      <c r="V227" s="7" t="str">
        <f ca="1"/>
        <v>SBAdded</v>
      </c>
    </row>
    <row r="228" spans="20:22" x14ac:dyDescent="0.25">
      <c r="T228" s="7" t="str">
        <f ca="1"/>
        <v>D6</v>
      </c>
      <c r="U228" s="7" t="str">
        <f ca="1"/>
        <v>0xC121</v>
      </c>
      <c r="V228" s="7" t="str">
        <f ca="1"/>
        <v>SBRemoved</v>
      </c>
    </row>
    <row r="229" spans="20:22" x14ac:dyDescent="0.25">
      <c r="T229" s="7" t="str">
        <f ca="1"/>
        <v>D6</v>
      </c>
      <c r="U229" s="7" t="str">
        <f ca="1"/>
        <v>0xC122</v>
      </c>
      <c r="V229" s="7" t="str">
        <f ca="1"/>
        <v>SBAttrChanged</v>
      </c>
    </row>
    <row r="230" spans="20:22" x14ac:dyDescent="0.25">
      <c r="T230" s="7" t="str">
        <f ca="1"/>
        <v>D6</v>
      </c>
      <c r="U230" s="7" t="str">
        <f ca="1"/>
        <v>0xC123</v>
      </c>
      <c r="V230" s="7" t="str">
        <f ca="1"/>
        <v>SBGroupAttrChanged</v>
      </c>
    </row>
    <row r="231" spans="20:22" x14ac:dyDescent="0.25">
      <c r="T231" s="7" t="str">
        <f ca="1"/>
        <v>D5</v>
      </c>
      <c r="U231" s="7" t="str">
        <f ca="1"/>
        <v>0x4001</v>
      </c>
      <c r="V231" s="7" t="str">
        <f ca="1"/>
        <v>CancelTransaction</v>
      </c>
    </row>
    <row r="232" spans="20:22" x14ac:dyDescent="0.25">
      <c r="T232" s="7" t="str">
        <f ca="1"/>
        <v>D5</v>
      </c>
      <c r="U232" s="7" t="str">
        <f ca="1"/>
        <v>0x4002</v>
      </c>
      <c r="V232" s="7" t="str">
        <f ca="1"/>
        <v>ObjectAdded</v>
      </c>
    </row>
    <row r="233" spans="20:22" x14ac:dyDescent="0.25">
      <c r="T233" s="7" t="str">
        <f ca="1"/>
        <v>D5</v>
      </c>
      <c r="U233" s="7" t="str">
        <f ca="1"/>
        <v>0x4003</v>
      </c>
      <c r="V233" s="7" t="str">
        <f ca="1"/>
        <v>ObjectRemoved</v>
      </c>
    </row>
    <row r="234" spans="20:22" x14ac:dyDescent="0.25">
      <c r="T234" s="7" t="str">
        <f ca="1"/>
        <v>D5</v>
      </c>
      <c r="U234" s="7" t="str">
        <f ca="1"/>
        <v>0x4004</v>
      </c>
      <c r="V234" s="7" t="str">
        <f ca="1"/>
        <v>StoreAdded</v>
      </c>
    </row>
    <row r="235" spans="20:22" x14ac:dyDescent="0.25">
      <c r="T235" s="7" t="str">
        <f ca="1"/>
        <v>D5</v>
      </c>
      <c r="U235" s="7" t="str">
        <f ca="1"/>
        <v>0x4005</v>
      </c>
      <c r="V235" s="7" t="str">
        <f ca="1"/>
        <v>StoreRemoved</v>
      </c>
    </row>
    <row r="236" spans="20:22" x14ac:dyDescent="0.25">
      <c r="T236" s="7" t="str">
        <f ca="1"/>
        <v>D5</v>
      </c>
      <c r="U236" s="7" t="str">
        <f ca="1"/>
        <v>0x4006</v>
      </c>
      <c r="V236" s="7" t="str">
        <f ca="1"/>
        <v>DevicePropChanged</v>
      </c>
    </row>
    <row r="237" spans="20:22" x14ac:dyDescent="0.25">
      <c r="T237" s="7" t="str">
        <f ca="1"/>
        <v>D5</v>
      </c>
      <c r="U237" s="7" t="str">
        <f ca="1"/>
        <v>0x4007</v>
      </c>
      <c r="V237" s="7" t="str">
        <f ca="1"/>
        <v>ObjectInfoChanged</v>
      </c>
    </row>
    <row r="238" spans="20:22" x14ac:dyDescent="0.25">
      <c r="T238" s="7" t="str">
        <f ca="1"/>
        <v>D5</v>
      </c>
      <c r="U238" s="7" t="str">
        <f ca="1"/>
        <v>0x4008</v>
      </c>
      <c r="V238" s="7" t="str">
        <f ca="1"/>
        <v>DeviceInfoChanged</v>
      </c>
    </row>
    <row r="239" spans="20:22" x14ac:dyDescent="0.25">
      <c r="T239" s="7" t="str">
        <f ca="1"/>
        <v>D5</v>
      </c>
      <c r="U239" s="7" t="str">
        <f ca="1"/>
        <v>0x4009</v>
      </c>
      <c r="V239" s="7" t="str">
        <f ca="1"/>
        <v>RequestObjectTransfer</v>
      </c>
    </row>
    <row r="240" spans="20:22" x14ac:dyDescent="0.25">
      <c r="T240" s="7" t="str">
        <f ca="1"/>
        <v>D5</v>
      </c>
      <c r="U240" s="7" t="str">
        <f ca="1"/>
        <v>0x400A</v>
      </c>
      <c r="V240" s="7" t="str">
        <f ca="1"/>
        <v>StoreFull</v>
      </c>
    </row>
    <row r="241" spans="20:22" x14ac:dyDescent="0.25">
      <c r="T241" s="7" t="str">
        <f ca="1"/>
        <v>D5</v>
      </c>
      <c r="U241" s="7" t="str">
        <f ca="1"/>
        <v>0x400C</v>
      </c>
      <c r="V241" s="7" t="str">
        <f ca="1"/>
        <v>StorageInfoChanged</v>
      </c>
    </row>
    <row r="242" spans="20:22" x14ac:dyDescent="0.25">
      <c r="T242" s="7" t="str">
        <f ca="1"/>
        <v>D5</v>
      </c>
      <c r="U242" s="7" t="str">
        <f ca="1"/>
        <v>0x400D</v>
      </c>
      <c r="V242" s="7" t="str">
        <f ca="1"/>
        <v>CaptureComplete</v>
      </c>
    </row>
    <row r="243" spans="20:22" x14ac:dyDescent="0.25">
      <c r="T243" s="7" t="str">
        <f ca="1"/>
        <v>D5</v>
      </c>
      <c r="U243" s="7" t="str">
        <f ca="1"/>
        <v>0xC101</v>
      </c>
      <c r="V243" s="7" t="str">
        <f ca="1"/>
        <v>ObjectAddedInSdram</v>
      </c>
    </row>
    <row r="244" spans="20:22" x14ac:dyDescent="0.25">
      <c r="T244" s="7" t="str">
        <f ca="1"/>
        <v>D5</v>
      </c>
      <c r="U244" s="7" t="str">
        <f ca="1"/>
        <v>0xC102</v>
      </c>
      <c r="V244" s="7" t="str">
        <f ca="1"/>
        <v>CaptureCompleteRecInSdram</v>
      </c>
    </row>
    <row r="245" spans="20:22" x14ac:dyDescent="0.25">
      <c r="T245" s="7" t="str">
        <f ca="1"/>
        <v>D5</v>
      </c>
      <c r="U245" s="7" t="str">
        <f ca="1"/>
        <v>0xC105</v>
      </c>
      <c r="V245" s="7" t="str">
        <f ca="1"/>
        <v>RecordingInterrupted</v>
      </c>
    </row>
    <row r="246" spans="20:22" x14ac:dyDescent="0.25">
      <c r="T246" s="7" t="str">
        <f ca="1"/>
        <v>D5</v>
      </c>
      <c r="U246" s="7" t="str">
        <f ca="1"/>
        <v>0xC106</v>
      </c>
      <c r="V246" s="7" t="str">
        <f ca="1"/>
        <v>1stCaptureComplete</v>
      </c>
    </row>
    <row r="247" spans="20:22" x14ac:dyDescent="0.25">
      <c r="T247" s="7" t="str">
        <f ca="1"/>
        <v>D5</v>
      </c>
      <c r="U247" s="7" t="str">
        <f ca="1"/>
        <v>0xC107</v>
      </c>
      <c r="V247" s="7" t="str">
        <f ca="1"/>
        <v>MirrorUpCancelComplete</v>
      </c>
    </row>
    <row r="248" spans="20:22" x14ac:dyDescent="0.25">
      <c r="T248" s="7" t="str">
        <f ca="1"/>
        <v>D5</v>
      </c>
      <c r="U248" s="7" t="str">
        <f ca="1"/>
        <v>0xC108</v>
      </c>
      <c r="V248" s="7" t="str">
        <f ca="1"/>
        <v>MovieRecordComplete</v>
      </c>
    </row>
    <row r="249" spans="20:22" x14ac:dyDescent="0.25">
      <c r="T249" s="7" t="str">
        <f ca="1"/>
        <v>D5</v>
      </c>
      <c r="U249" s="7" t="str">
        <f ca="1"/>
        <v>0xC120</v>
      </c>
      <c r="V249" s="7" t="str">
        <f ca="1"/>
        <v>SBAdded</v>
      </c>
    </row>
    <row r="250" spans="20:22" x14ac:dyDescent="0.25">
      <c r="T250" s="7" t="str">
        <f ca="1"/>
        <v>D5</v>
      </c>
      <c r="U250" s="7" t="str">
        <f ca="1"/>
        <v>0xC121</v>
      </c>
      <c r="V250" s="7" t="str">
        <f ca="1"/>
        <v>SBRemoved</v>
      </c>
    </row>
    <row r="251" spans="20:22" x14ac:dyDescent="0.25">
      <c r="T251" s="7" t="str">
        <f ca="1"/>
        <v>D5</v>
      </c>
      <c r="U251" s="7" t="str">
        <f ca="1"/>
        <v>0xC122</v>
      </c>
      <c r="V251" s="7" t="str">
        <f ca="1"/>
        <v>SBAttrChanged</v>
      </c>
    </row>
    <row r="252" spans="20:22" x14ac:dyDescent="0.25">
      <c r="T252" s="7" t="str">
        <f ca="1"/>
        <v>D5</v>
      </c>
      <c r="U252" s="7" t="str">
        <f ca="1"/>
        <v>0xC123</v>
      </c>
      <c r="V252" s="7" t="str">
        <f ca="1"/>
        <v>SBGroupAttrChanged</v>
      </c>
    </row>
    <row r="253" spans="20:22" x14ac:dyDescent="0.25">
      <c r="T253" s="7" t="str">
        <f ca="1"/>
        <v>D4S</v>
      </c>
      <c r="U253" s="7" t="str">
        <f ca="1"/>
        <v>0x4001</v>
      </c>
      <c r="V253" s="7" t="str">
        <f ca="1"/>
        <v>CancelTransaction</v>
      </c>
    </row>
    <row r="254" spans="20:22" x14ac:dyDescent="0.25">
      <c r="T254" s="7" t="str">
        <f ca="1"/>
        <v>D4S</v>
      </c>
      <c r="U254" s="7" t="str">
        <f ca="1"/>
        <v>0x4002</v>
      </c>
      <c r="V254" s="7" t="str">
        <f ca="1"/>
        <v>ObjectAdded</v>
      </c>
    </row>
    <row r="255" spans="20:22" x14ac:dyDescent="0.25">
      <c r="T255" s="7" t="str">
        <f ca="1"/>
        <v>D4S</v>
      </c>
      <c r="U255" s="7" t="str">
        <f ca="1"/>
        <v>0x4003</v>
      </c>
      <c r="V255" s="7" t="str">
        <f ca="1"/>
        <v>ObjectRemoved</v>
      </c>
    </row>
    <row r="256" spans="20:22" x14ac:dyDescent="0.25">
      <c r="T256" s="7" t="str">
        <f ca="1"/>
        <v>D4S</v>
      </c>
      <c r="U256" s="7" t="str">
        <f ca="1"/>
        <v>0x4004</v>
      </c>
      <c r="V256" s="7" t="str">
        <f ca="1"/>
        <v>StoreAdded</v>
      </c>
    </row>
    <row r="257" spans="20:22" x14ac:dyDescent="0.25">
      <c r="T257" s="7" t="str">
        <f ca="1"/>
        <v>D4S</v>
      </c>
      <c r="U257" s="7" t="str">
        <f ca="1"/>
        <v>0x4005</v>
      </c>
      <c r="V257" s="7" t="str">
        <f ca="1"/>
        <v>StoreRemoved</v>
      </c>
    </row>
    <row r="258" spans="20:22" x14ac:dyDescent="0.25">
      <c r="T258" s="7" t="str">
        <f ca="1"/>
        <v>D4S</v>
      </c>
      <c r="U258" s="7" t="str">
        <f ca="1"/>
        <v>0x4006</v>
      </c>
      <c r="V258" s="7" t="str">
        <f ca="1"/>
        <v>DevicePropChanged</v>
      </c>
    </row>
    <row r="259" spans="20:22" x14ac:dyDescent="0.25">
      <c r="T259" s="7" t="str">
        <f ca="1"/>
        <v>D4S</v>
      </c>
      <c r="U259" s="7" t="str">
        <f ca="1"/>
        <v>0x4007</v>
      </c>
      <c r="V259" s="7" t="str">
        <f ca="1"/>
        <v>ObjectInfoChanged</v>
      </c>
    </row>
    <row r="260" spans="20:22" x14ac:dyDescent="0.25">
      <c r="T260" s="7" t="str">
        <f ca="1"/>
        <v>D4S</v>
      </c>
      <c r="U260" s="7" t="str">
        <f ca="1"/>
        <v>0x4008</v>
      </c>
      <c r="V260" s="7" t="str">
        <f ca="1"/>
        <v>DeviceInfoChanged</v>
      </c>
    </row>
    <row r="261" spans="20:22" x14ac:dyDescent="0.25">
      <c r="T261" s="7" t="str">
        <f ca="1"/>
        <v>D4S</v>
      </c>
      <c r="U261" s="7" t="str">
        <f ca="1"/>
        <v>0x4009</v>
      </c>
      <c r="V261" s="7" t="str">
        <f ca="1"/>
        <v>RequestObjectTransfer</v>
      </c>
    </row>
    <row r="262" spans="20:22" x14ac:dyDescent="0.25">
      <c r="T262" s="7" t="str">
        <f ca="1"/>
        <v>D4S</v>
      </c>
      <c r="U262" s="7" t="str">
        <f ca="1"/>
        <v>0x400A</v>
      </c>
      <c r="V262" s="7" t="str">
        <f ca="1"/>
        <v>StoreFull</v>
      </c>
    </row>
    <row r="263" spans="20:22" x14ac:dyDescent="0.25">
      <c r="T263" s="7" t="str">
        <f ca="1"/>
        <v>D4S</v>
      </c>
      <c r="U263" s="7" t="str">
        <f ca="1"/>
        <v>0x400C</v>
      </c>
      <c r="V263" s="7" t="str">
        <f ca="1"/>
        <v>StorageInfoChanged</v>
      </c>
    </row>
    <row r="264" spans="20:22" x14ac:dyDescent="0.25">
      <c r="T264" s="7" t="str">
        <f ca="1"/>
        <v>D4S</v>
      </c>
      <c r="U264" s="7" t="str">
        <f ca="1"/>
        <v>0x400D</v>
      </c>
      <c r="V264" s="7" t="str">
        <f ca="1"/>
        <v>CaptureComplete</v>
      </c>
    </row>
    <row r="265" spans="20:22" x14ac:dyDescent="0.25">
      <c r="T265" s="7" t="str">
        <f ca="1"/>
        <v>D4S</v>
      </c>
      <c r="U265" s="7" t="str">
        <f ca="1"/>
        <v>0xC101</v>
      </c>
      <c r="V265" s="7" t="str">
        <f ca="1"/>
        <v>ObjectAddedInSdram</v>
      </c>
    </row>
    <row r="266" spans="20:22" x14ac:dyDescent="0.25">
      <c r="T266" s="7" t="str">
        <f ca="1"/>
        <v>D4S</v>
      </c>
      <c r="U266" s="7" t="str">
        <f ca="1"/>
        <v>0xC102</v>
      </c>
      <c r="V266" s="7" t="str">
        <f ca="1"/>
        <v>CaptureCompleteRecInSdram</v>
      </c>
    </row>
    <row r="267" spans="20:22" x14ac:dyDescent="0.25">
      <c r="T267" s="7" t="str">
        <f ca="1"/>
        <v>D4S</v>
      </c>
      <c r="U267" s="7" t="str">
        <f ca="1"/>
        <v>0xC105</v>
      </c>
      <c r="V267" s="7" t="str">
        <f ca="1"/>
        <v>RecordingInterrupted</v>
      </c>
    </row>
    <row r="268" spans="20:22" x14ac:dyDescent="0.25">
      <c r="T268" s="7" t="str">
        <f ca="1"/>
        <v>D4</v>
      </c>
      <c r="U268" s="7" t="str">
        <f ca="1"/>
        <v>0x4001</v>
      </c>
      <c r="V268" s="7" t="str">
        <f ca="1"/>
        <v>CancelTransaction</v>
      </c>
    </row>
    <row r="269" spans="20:22" x14ac:dyDescent="0.25">
      <c r="T269" s="7" t="str">
        <f ca="1"/>
        <v>D4</v>
      </c>
      <c r="U269" s="7" t="str">
        <f ca="1"/>
        <v>0x4002</v>
      </c>
      <c r="V269" s="7" t="str">
        <f ca="1"/>
        <v>ObjectAdded</v>
      </c>
    </row>
    <row r="270" spans="20:22" x14ac:dyDescent="0.25">
      <c r="T270" s="7" t="str">
        <f ca="1"/>
        <v>D4</v>
      </c>
      <c r="U270" s="7" t="str">
        <f ca="1"/>
        <v>0x4003</v>
      </c>
      <c r="V270" s="7" t="str">
        <f ca="1"/>
        <v>ObjectRemoved</v>
      </c>
    </row>
    <row r="271" spans="20:22" x14ac:dyDescent="0.25">
      <c r="T271" s="7" t="str">
        <f ca="1"/>
        <v>D4</v>
      </c>
      <c r="U271" s="7" t="str">
        <f ca="1"/>
        <v>0x4004</v>
      </c>
      <c r="V271" s="7" t="str">
        <f ca="1"/>
        <v>StoreAdded</v>
      </c>
    </row>
    <row r="272" spans="20:22" x14ac:dyDescent="0.25">
      <c r="T272" s="7" t="str">
        <f ca="1"/>
        <v>D4</v>
      </c>
      <c r="U272" s="7" t="str">
        <f ca="1"/>
        <v>0x4005</v>
      </c>
      <c r="V272" s="7" t="str">
        <f ca="1"/>
        <v>StoreRemoved</v>
      </c>
    </row>
    <row r="273" spans="20:22" x14ac:dyDescent="0.25">
      <c r="T273" s="7" t="str">
        <f ca="1"/>
        <v>D4</v>
      </c>
      <c r="U273" s="7" t="str">
        <f ca="1"/>
        <v>0x4006</v>
      </c>
      <c r="V273" s="7" t="str">
        <f ca="1"/>
        <v>DevicePropChanged</v>
      </c>
    </row>
    <row r="274" spans="20:22" x14ac:dyDescent="0.25">
      <c r="T274" s="7" t="str">
        <f ca="1"/>
        <v>D4</v>
      </c>
      <c r="U274" s="7" t="str">
        <f ca="1"/>
        <v>0x4007</v>
      </c>
      <c r="V274" s="7" t="str">
        <f ca="1"/>
        <v>ObjectInfoChanged</v>
      </c>
    </row>
    <row r="275" spans="20:22" x14ac:dyDescent="0.25">
      <c r="T275" s="7" t="str">
        <f ca="1"/>
        <v>D4</v>
      </c>
      <c r="U275" s="7" t="str">
        <f ca="1"/>
        <v>0x4008</v>
      </c>
      <c r="V275" s="7" t="str">
        <f ca="1"/>
        <v>DeviceInfoChanged</v>
      </c>
    </row>
    <row r="276" spans="20:22" x14ac:dyDescent="0.25">
      <c r="T276" s="7" t="str">
        <f ca="1"/>
        <v>D4</v>
      </c>
      <c r="U276" s="7" t="str">
        <f ca="1"/>
        <v>0x4009</v>
      </c>
      <c r="V276" s="7" t="str">
        <f ca="1"/>
        <v>RequestObjectTransfer</v>
      </c>
    </row>
    <row r="277" spans="20:22" x14ac:dyDescent="0.25">
      <c r="T277" s="7" t="str">
        <f ca="1"/>
        <v>D4</v>
      </c>
      <c r="U277" s="7" t="str">
        <f ca="1"/>
        <v>0x400A</v>
      </c>
      <c r="V277" s="7" t="str">
        <f ca="1"/>
        <v>StoreFull</v>
      </c>
    </row>
    <row r="278" spans="20:22" x14ac:dyDescent="0.25">
      <c r="T278" s="7" t="str">
        <f ca="1"/>
        <v>D4</v>
      </c>
      <c r="U278" s="7" t="str">
        <f ca="1"/>
        <v>0x400C</v>
      </c>
      <c r="V278" s="7" t="str">
        <f ca="1"/>
        <v>StorageInfoChanged</v>
      </c>
    </row>
    <row r="279" spans="20:22" x14ac:dyDescent="0.25">
      <c r="T279" s="7" t="str">
        <f ca="1"/>
        <v>D4</v>
      </c>
      <c r="U279" s="7" t="str">
        <f ca="1"/>
        <v>0x400D</v>
      </c>
      <c r="V279" s="7" t="str">
        <f ca="1"/>
        <v>CaptureComplete</v>
      </c>
    </row>
    <row r="280" spans="20:22" x14ac:dyDescent="0.25">
      <c r="T280" s="7" t="str">
        <f ca="1"/>
        <v>D4</v>
      </c>
      <c r="U280" s="7" t="str">
        <f ca="1"/>
        <v>0xC101</v>
      </c>
      <c r="V280" s="7" t="str">
        <f ca="1"/>
        <v>ObjectAddedInSdram</v>
      </c>
    </row>
    <row r="281" spans="20:22" x14ac:dyDescent="0.25">
      <c r="T281" s="7" t="str">
        <f ca="1"/>
        <v>D4</v>
      </c>
      <c r="U281" s="7" t="str">
        <f ca="1"/>
        <v>0xC102</v>
      </c>
      <c r="V281" s="7" t="str">
        <f ca="1"/>
        <v>CaptureCompleteRecInSdram</v>
      </c>
    </row>
    <row r="282" spans="20:22" x14ac:dyDescent="0.25">
      <c r="T282" s="7" t="str">
        <f ca="1"/>
        <v>D3X</v>
      </c>
      <c r="U282" s="7" t="str">
        <f ca="1"/>
        <v>0x4001</v>
      </c>
      <c r="V282" s="7" t="str">
        <f ca="1"/>
        <v>CancelTransaction</v>
      </c>
    </row>
    <row r="283" spans="20:22" x14ac:dyDescent="0.25">
      <c r="T283" s="7" t="str">
        <f ca="1"/>
        <v>D3X</v>
      </c>
      <c r="U283" s="7" t="str">
        <f ca="1"/>
        <v>0x4002</v>
      </c>
      <c r="V283" s="7" t="str">
        <f ca="1"/>
        <v>ObjectAdded</v>
      </c>
    </row>
    <row r="284" spans="20:22" x14ac:dyDescent="0.25">
      <c r="T284" s="7" t="str">
        <f ca="1"/>
        <v>D3X</v>
      </c>
      <c r="U284" s="7" t="str">
        <f ca="1"/>
        <v>0x4003</v>
      </c>
      <c r="V284" s="7" t="str">
        <f ca="1"/>
        <v>ObjectRemoved</v>
      </c>
    </row>
    <row r="285" spans="20:22" x14ac:dyDescent="0.25">
      <c r="T285" s="7" t="str">
        <f ca="1"/>
        <v>D3X</v>
      </c>
      <c r="U285" s="7" t="str">
        <f ca="1"/>
        <v>0x4004</v>
      </c>
      <c r="V285" s="7" t="str">
        <f ca="1"/>
        <v>StoreAdded</v>
      </c>
    </row>
    <row r="286" spans="20:22" x14ac:dyDescent="0.25">
      <c r="T286" s="7" t="str">
        <f ca="1"/>
        <v>D3X</v>
      </c>
      <c r="U286" s="7" t="str">
        <f ca="1"/>
        <v>0x4005</v>
      </c>
      <c r="V286" s="7" t="str">
        <f ca="1"/>
        <v>StoreRemoved</v>
      </c>
    </row>
    <row r="287" spans="20:22" x14ac:dyDescent="0.25">
      <c r="T287" s="7" t="str">
        <f ca="1"/>
        <v>D3X</v>
      </c>
      <c r="U287" s="7" t="str">
        <f ca="1"/>
        <v>0x4006</v>
      </c>
      <c r="V287" s="7" t="str">
        <f ca="1"/>
        <v>DevicePropChanged</v>
      </c>
    </row>
    <row r="288" spans="20:22" x14ac:dyDescent="0.25">
      <c r="T288" s="7" t="str">
        <f ca="1"/>
        <v>D3X</v>
      </c>
      <c r="U288" s="7" t="str">
        <f ca="1"/>
        <v>0x4007</v>
      </c>
      <c r="V288" s="7" t="str">
        <f ca="1"/>
        <v>ObjectInfoChanged</v>
      </c>
    </row>
    <row r="289" spans="20:22" x14ac:dyDescent="0.25">
      <c r="T289" s="7" t="str">
        <f ca="1"/>
        <v>D3X</v>
      </c>
      <c r="U289" s="7" t="str">
        <f ca="1"/>
        <v>0x4008</v>
      </c>
      <c r="V289" s="7" t="str">
        <f ca="1"/>
        <v>DeviceInfoChanged</v>
      </c>
    </row>
    <row r="290" spans="20:22" x14ac:dyDescent="0.25">
      <c r="T290" s="7" t="str">
        <f ca="1"/>
        <v>D3X</v>
      </c>
      <c r="U290" s="7" t="str">
        <f ca="1"/>
        <v>0x4009</v>
      </c>
      <c r="V290" s="7" t="str">
        <f ca="1"/>
        <v>RequestObjectTransfer</v>
      </c>
    </row>
    <row r="291" spans="20:22" x14ac:dyDescent="0.25">
      <c r="T291" s="7" t="str">
        <f ca="1"/>
        <v>D3X</v>
      </c>
      <c r="U291" s="7" t="str">
        <f ca="1"/>
        <v>0x400A</v>
      </c>
      <c r="V291" s="7" t="str">
        <f ca="1"/>
        <v>StoreFull</v>
      </c>
    </row>
    <row r="292" spans="20:22" x14ac:dyDescent="0.25">
      <c r="T292" s="7" t="str">
        <f ca="1"/>
        <v>D3X</v>
      </c>
      <c r="U292" s="7" t="str">
        <f ca="1"/>
        <v>0x400C</v>
      </c>
      <c r="V292" s="7" t="str">
        <f ca="1"/>
        <v>StorageInfoChanged</v>
      </c>
    </row>
    <row r="293" spans="20:22" x14ac:dyDescent="0.25">
      <c r="T293" s="7" t="str">
        <f ca="1"/>
        <v>D3X</v>
      </c>
      <c r="U293" s="7" t="str">
        <f ca="1"/>
        <v>0x400D</v>
      </c>
      <c r="V293" s="7" t="str">
        <f ca="1"/>
        <v>CaptureComplete</v>
      </c>
    </row>
    <row r="294" spans="20:22" x14ac:dyDescent="0.25">
      <c r="T294" s="7" t="str">
        <f ca="1"/>
        <v>D3X</v>
      </c>
      <c r="U294" s="7" t="str">
        <f ca="1"/>
        <v>0xC101</v>
      </c>
      <c r="V294" s="7" t="str">
        <f ca="1"/>
        <v>ObjectAddedInSdram</v>
      </c>
    </row>
    <row r="295" spans="20:22" x14ac:dyDescent="0.25">
      <c r="T295" s="7" t="str">
        <f ca="1"/>
        <v>D3X</v>
      </c>
      <c r="U295" s="7" t="str">
        <f ca="1"/>
        <v>0xC102</v>
      </c>
      <c r="V295" s="7" t="str">
        <f ca="1"/>
        <v>CaptureCompleteRecInSdram</v>
      </c>
    </row>
    <row r="296" spans="20:22" x14ac:dyDescent="0.25">
      <c r="T296" s="7" t="str">
        <f ca="1"/>
        <v>D3X</v>
      </c>
      <c r="U296" s="7" t="str">
        <f ca="1"/>
        <v>0xC104</v>
      </c>
      <c r="V296" s="7" t="str">
        <f ca="1"/>
        <v>PreviewImageAdded</v>
      </c>
    </row>
    <row r="297" spans="20:22" x14ac:dyDescent="0.25">
      <c r="T297" s="7" t="str">
        <f ca="1"/>
        <v>D3</v>
      </c>
      <c r="U297" s="7" t="str">
        <f ca="1"/>
        <v>0x4001</v>
      </c>
      <c r="V297" s="7" t="str">
        <f ca="1"/>
        <v>CancelTransaction</v>
      </c>
    </row>
    <row r="298" spans="20:22" x14ac:dyDescent="0.25">
      <c r="T298" s="7" t="str">
        <f ca="1"/>
        <v>D3</v>
      </c>
      <c r="U298" s="7" t="str">
        <f ca="1"/>
        <v>0x4002</v>
      </c>
      <c r="V298" s="7" t="str">
        <f ca="1"/>
        <v>ObjectAdded</v>
      </c>
    </row>
    <row r="299" spans="20:22" x14ac:dyDescent="0.25">
      <c r="T299" s="7" t="str">
        <f ca="1"/>
        <v>D3</v>
      </c>
      <c r="U299" s="7" t="str">
        <f ca="1"/>
        <v>0x4004</v>
      </c>
      <c r="V299" s="7" t="str">
        <f ca="1"/>
        <v>StoreAdded</v>
      </c>
    </row>
    <row r="300" spans="20:22" x14ac:dyDescent="0.25">
      <c r="T300" s="7" t="str">
        <f ca="1"/>
        <v>D3</v>
      </c>
      <c r="U300" s="7" t="str">
        <f ca="1"/>
        <v>0x4005</v>
      </c>
      <c r="V300" s="7" t="str">
        <f ca="1"/>
        <v>StoreRemoved</v>
      </c>
    </row>
    <row r="301" spans="20:22" x14ac:dyDescent="0.25">
      <c r="T301" s="7" t="str">
        <f ca="1"/>
        <v>D3</v>
      </c>
      <c r="U301" s="7" t="str">
        <f ca="1"/>
        <v>0x4006</v>
      </c>
      <c r="V301" s="7" t="str">
        <f ca="1"/>
        <v>DevicePropChanged</v>
      </c>
    </row>
    <row r="302" spans="20:22" x14ac:dyDescent="0.25">
      <c r="T302" s="7" t="str">
        <f ca="1"/>
        <v>D3</v>
      </c>
      <c r="U302" s="7" t="str">
        <f ca="1"/>
        <v>0x4008</v>
      </c>
      <c r="V302" s="7" t="str">
        <f ca="1"/>
        <v>DeviceInfoChanged</v>
      </c>
    </row>
    <row r="303" spans="20:22" x14ac:dyDescent="0.25">
      <c r="T303" s="7" t="str">
        <f ca="1"/>
        <v>D3</v>
      </c>
      <c r="U303" s="7" t="str">
        <f ca="1"/>
        <v>0x4009</v>
      </c>
      <c r="V303" s="7" t="str">
        <f ca="1"/>
        <v>RequestObjectTransfer</v>
      </c>
    </row>
    <row r="304" spans="20:22" x14ac:dyDescent="0.25">
      <c r="T304" s="7" t="str">
        <f ca="1"/>
        <v>D3</v>
      </c>
      <c r="U304" s="7" t="str">
        <f ca="1"/>
        <v>0x400A</v>
      </c>
      <c r="V304" s="7" t="str">
        <f ca="1"/>
        <v>StoreFull</v>
      </c>
    </row>
    <row r="305" spans="20:22" x14ac:dyDescent="0.25">
      <c r="T305" s="7" t="str">
        <f ca="1"/>
        <v>D3</v>
      </c>
      <c r="U305" s="7" t="str">
        <f ca="1"/>
        <v>0x400C</v>
      </c>
      <c r="V305" s="7" t="str">
        <f ca="1"/>
        <v>StorageInfoChanged</v>
      </c>
    </row>
    <row r="306" spans="20:22" x14ac:dyDescent="0.25">
      <c r="T306" s="7" t="str">
        <f ca="1"/>
        <v>D3</v>
      </c>
      <c r="U306" s="7" t="str">
        <f ca="1"/>
        <v>0x400D</v>
      </c>
      <c r="V306" s="7" t="str">
        <f ca="1"/>
        <v>CaptureComplete</v>
      </c>
    </row>
    <row r="307" spans="20:22" x14ac:dyDescent="0.25">
      <c r="T307" s="7" t="str">
        <f ca="1"/>
        <v>D3</v>
      </c>
      <c r="U307" s="7" t="str">
        <f ca="1"/>
        <v>0xC101</v>
      </c>
      <c r="V307" s="7" t="str">
        <f ca="1"/>
        <v>ObjectAddedInSdram</v>
      </c>
    </row>
    <row r="308" spans="20:22" x14ac:dyDescent="0.25">
      <c r="T308" s="7" t="str">
        <f ca="1"/>
        <v>D3</v>
      </c>
      <c r="U308" s="7" t="str">
        <f ca="1"/>
        <v>0xC102</v>
      </c>
      <c r="V308" s="7" t="str">
        <f ca="1"/>
        <v>CaptureCompleteRecInSdram</v>
      </c>
    </row>
    <row r="309" spans="20:22" x14ac:dyDescent="0.25">
      <c r="T309" s="7" t="str">
        <f ca="1"/>
        <v>D3</v>
      </c>
      <c r="U309" s="7" t="str">
        <f ca="1"/>
        <v>0xC104</v>
      </c>
      <c r="V309" s="7" t="str">
        <f ca="1"/>
        <v>PreviewImageAdded</v>
      </c>
    </row>
  </sheetData>
  <conditionalFormatting sqref="D3:Q1048576">
    <cfRule type="cellIs" dxfId="7" priority="1" operator="notEqual">
      <formula>_xlfn.SINGLE($B:$B)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48742-BD8C-42DF-A74F-D2D7765227B7}">
  <sheetPr>
    <tabColor theme="7" tint="0.59999389629810485"/>
  </sheetPr>
  <dimension ref="A1:AK3677"/>
  <sheetViews>
    <sheetView workbookViewId="0">
      <pane xSplit="2" ySplit="2" topLeftCell="C453" activePane="bottomRight" state="frozen"/>
      <selection activeCell="C4" sqref="C4"/>
      <selection pane="topRight" activeCell="C4" sqref="C4"/>
      <selection pane="bottomLeft" activeCell="C4" sqref="C4"/>
      <selection pane="bottomRight" activeCell="C303" sqref="C303"/>
    </sheetView>
  </sheetViews>
  <sheetFormatPr defaultRowHeight="15" x14ac:dyDescent="0.25"/>
  <cols>
    <col min="1" max="1" width="16.42578125" style="13" bestFit="1" customWidth="1"/>
    <col min="2" max="2" width="25.7109375" style="14" bestFit="1" customWidth="1"/>
    <col min="3" max="3" width="9.140625" style="7"/>
    <col min="4" max="7" width="9.140625" style="8" customWidth="1"/>
    <col min="8" max="19" width="9.140625" style="7"/>
    <col min="20" max="20" width="6.5703125" style="7" bestFit="1" customWidth="1"/>
    <col min="21" max="21" width="9.5703125" style="7" bestFit="1" customWidth="1"/>
    <col min="22" max="23" width="9.140625" style="7"/>
    <col min="24" max="27" width="9.140625" style="8"/>
    <col min="28" max="16384" width="9.140625" style="7"/>
  </cols>
  <sheetData>
    <row r="1" spans="1:37" s="9" customFormat="1" x14ac:dyDescent="0.25">
      <c r="A1" s="2"/>
      <c r="B1" s="10"/>
      <c r="D1" s="2" t="str" cm="1">
        <f t="array" ref="D1:Q1">TRANSPOSE(Cameras[Camera])</f>
        <v>Z8</v>
      </c>
      <c r="E1" s="2" t="str">
        <v>Z9</v>
      </c>
      <c r="F1" s="2" t="str">
        <v>Z6 II</v>
      </c>
      <c r="G1" s="2" t="str">
        <v>Z7 II</v>
      </c>
      <c r="H1" s="9" t="str">
        <v>Z50</v>
      </c>
      <c r="I1" s="9" t="str">
        <v>Z6</v>
      </c>
      <c r="J1" s="9" t="str">
        <v>Z7</v>
      </c>
      <c r="K1" s="9" t="str">
        <v>Z5</v>
      </c>
      <c r="L1" s="9" t="str">
        <v>D6</v>
      </c>
      <c r="M1" s="9" t="str">
        <v>D5</v>
      </c>
      <c r="N1" s="9" t="str">
        <v>D4S</v>
      </c>
      <c r="O1" s="9" t="str">
        <v>D4</v>
      </c>
      <c r="P1" s="9" t="str">
        <v>D3X</v>
      </c>
      <c r="Q1" s="9" t="str">
        <v>D3</v>
      </c>
      <c r="X1" s="9" t="str" cm="1">
        <f t="array" ref="X1:AK1">TRANSPOSE(Cameras[Camera])</f>
        <v>Z8</v>
      </c>
      <c r="Y1" s="9" t="str">
        <v>Z9</v>
      </c>
      <c r="Z1" s="9" t="str">
        <v>Z6 II</v>
      </c>
      <c r="AA1" s="9" t="str">
        <v>Z7 II</v>
      </c>
      <c r="AB1" s="9" t="str">
        <v>Z50</v>
      </c>
      <c r="AC1" s="9" t="str">
        <v>Z6</v>
      </c>
      <c r="AD1" s="9" t="str">
        <v>Z7</v>
      </c>
      <c r="AE1" s="9" t="str">
        <v>Z5</v>
      </c>
      <c r="AF1" s="9" t="str">
        <v>D6</v>
      </c>
      <c r="AG1" s="9" t="str">
        <v>D5</v>
      </c>
      <c r="AH1" s="9" t="str">
        <v>D4S</v>
      </c>
      <c r="AI1" s="9" t="str">
        <v>D4</v>
      </c>
      <c r="AJ1" s="9" t="str">
        <v>D3X</v>
      </c>
      <c r="AK1" s="9" t="str">
        <v>D3</v>
      </c>
    </row>
    <row r="2" spans="1:37" s="11" customFormat="1" x14ac:dyDescent="0.25">
      <c r="A2" s="3" t="s">
        <v>389</v>
      </c>
      <c r="B2" s="6" t="s">
        <v>4</v>
      </c>
      <c r="C2" s="4"/>
      <c r="D2" s="5" t="str" cm="1">
        <f t="array" ref="D2:Q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</v>
      </c>
      <c r="I2" s="4" t="str">
        <v>Rev. 1.40</v>
      </c>
      <c r="J2" s="4" t="str">
        <v>Rev. 1.40</v>
      </c>
      <c r="K2" s="4" t="str">
        <v>Rev. 1.10</v>
      </c>
      <c r="L2" s="4" t="str">
        <v>Rev. 1.0</v>
      </c>
      <c r="M2" s="4" t="str">
        <v>Rev. 2.0</v>
      </c>
      <c r="N2" s="4" t="str">
        <v>Rev. 1.0</v>
      </c>
      <c r="O2" s="4" t="str">
        <v>Rev. 1.0</v>
      </c>
      <c r="P2" s="4" t="str">
        <v>Rev. 1.0</v>
      </c>
      <c r="Q2" s="4" t="str">
        <v>Rev. 1.0</v>
      </c>
      <c r="R2" s="4"/>
      <c r="S2" s="4"/>
      <c r="T2" s="12" t="s">
        <v>1232</v>
      </c>
      <c r="U2" s="12" t="s">
        <v>1233</v>
      </c>
      <c r="V2" s="12" t="s">
        <v>1234</v>
      </c>
      <c r="W2" s="4"/>
      <c r="X2" s="11" t="str" cm="1">
        <f t="array" ref="X2:AK2">"Rev. "&amp;TRANSPOSE(Cameras[MTP Doc])</f>
        <v>Rev. 2.00</v>
      </c>
      <c r="Y2" s="11" t="str">
        <v>Rev. 6.00</v>
      </c>
      <c r="Z2" s="11" t="str">
        <v>Rev. 1.10</v>
      </c>
      <c r="AA2" s="11" t="str">
        <v>Rev. 1.10</v>
      </c>
      <c r="AB2" s="11" t="str">
        <v>Rev. 2.0</v>
      </c>
      <c r="AC2" s="11" t="str">
        <v>Rev. 1.40</v>
      </c>
      <c r="AD2" s="11" t="str">
        <v>Rev. 1.40</v>
      </c>
      <c r="AE2" s="11" t="str">
        <v>Rev. 1.10</v>
      </c>
      <c r="AF2" s="11" t="str">
        <v>Rev. 1.0</v>
      </c>
      <c r="AG2" s="11" t="str">
        <v>Rev. 2.0</v>
      </c>
      <c r="AH2" s="11" t="str">
        <v>Rev. 1.0</v>
      </c>
      <c r="AI2" s="11" t="str">
        <v>Rev. 1.0</v>
      </c>
      <c r="AJ2" s="11" t="str">
        <v>Rev. 1.0</v>
      </c>
      <c r="AK2" s="11" t="str">
        <v>Rev. 1.0</v>
      </c>
    </row>
    <row r="3" spans="1:37" x14ac:dyDescent="0.25">
      <c r="A3" s="13" t="str" cm="1">
        <f t="array" aca="1" ref="A3:B468" ca="1">_xlfn.LET(_xlpm.arr,_xlfn.ANCHORARRAY(T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0x5001</v>
      </c>
      <c r="B3" s="14" t="str">
        <f ca="1"/>
        <v>BatteryLevel</v>
      </c>
      <c r="D3" s="8" t="str" cm="1">
        <f t="array" aca="1" ref="D3:Q468" ca="1">_xlfn.LET(_xlpm.models,_xlfn.ANCHORARRAY(D1),_xlpm.arr,_xlfn.ANCHORARRAY(T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BatteryLevel</v>
      </c>
      <c r="E3" s="8" t="str">
        <f ca="1"/>
        <v>BatteryLevel</v>
      </c>
      <c r="F3" s="8" t="str">
        <f ca="1"/>
        <v>BatteryLevel</v>
      </c>
      <c r="G3" s="8" t="str">
        <f ca="1"/>
        <v>BatteryLevel</v>
      </c>
      <c r="H3" s="7" t="str">
        <f ca="1"/>
        <v>BatteryLevel</v>
      </c>
      <c r="I3" s="7" t="str">
        <f ca="1"/>
        <v>BatteryLevel</v>
      </c>
      <c r="J3" s="7" t="str">
        <f ca="1"/>
        <v>BatteryLevel</v>
      </c>
      <c r="K3" s="7" t="str">
        <f ca="1"/>
        <v>BatteryLevel</v>
      </c>
      <c r="L3" s="7" t="str">
        <f ca="1"/>
        <v>BatteryLevel</v>
      </c>
      <c r="M3" s="7" t="str">
        <f ca="1"/>
        <v>BatteryLevel</v>
      </c>
      <c r="N3" s="7" t="str">
        <f ca="1"/>
        <v>BatteryLevel</v>
      </c>
      <c r="O3" s="7" t="str">
        <f ca="1"/>
        <v>BatteryLevel</v>
      </c>
      <c r="P3" s="7" t="str">
        <f ca="1"/>
        <v>BatteryLevel</v>
      </c>
      <c r="Q3" s="7" t="str">
        <f ca="1"/>
        <v>BatteryLevel</v>
      </c>
      <c r="T3" s="7" t="str" cm="1">
        <f t="array" aca="1" ref="T3:V3677" ca="1">_xlfn.LET(_xlpm.models,_xlfn.ANCHORARRAY(X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U3" s="7" t="str">
        <f ca="1"/>
        <v>0x5001</v>
      </c>
      <c r="V3" s="7" t="str">
        <f ca="1"/>
        <v>BatteryLevel</v>
      </c>
      <c r="X3" s="8" t="s">
        <v>390</v>
      </c>
      <c r="Y3" s="8" t="s">
        <v>390</v>
      </c>
      <c r="Z3" s="8" t="s">
        <v>390</v>
      </c>
      <c r="AA3" s="8" t="s">
        <v>390</v>
      </c>
      <c r="AB3" s="7" t="s">
        <v>390</v>
      </c>
      <c r="AC3" s="7" t="s">
        <v>390</v>
      </c>
      <c r="AD3" s="7" t="s">
        <v>390</v>
      </c>
      <c r="AE3" s="7" t="s">
        <v>390</v>
      </c>
      <c r="AF3" s="7" t="s">
        <v>390</v>
      </c>
      <c r="AG3" s="7" t="s">
        <v>390</v>
      </c>
      <c r="AH3" s="7" t="s">
        <v>390</v>
      </c>
      <c r="AI3" s="7" t="s">
        <v>390</v>
      </c>
      <c r="AJ3" s="7" t="s">
        <v>390</v>
      </c>
      <c r="AK3" s="7" t="s">
        <v>390</v>
      </c>
    </row>
    <row r="4" spans="1:37" x14ac:dyDescent="0.25">
      <c r="A4" s="13" t="str">
        <f ca="1"/>
        <v>0x5003</v>
      </c>
      <c r="B4" s="14" t="str">
        <f ca="1"/>
        <v>ImageSize</v>
      </c>
      <c r="D4" s="8" t="str">
        <f ca="1"/>
        <v>ImageSize</v>
      </c>
      <c r="E4" s="8" t="str">
        <f ca="1"/>
        <v>ImageSize</v>
      </c>
      <c r="F4" s="8" t="str">
        <f ca="1"/>
        <v>ImageSize</v>
      </c>
      <c r="G4" s="8" t="str">
        <f ca="1"/>
        <v>ImageSize</v>
      </c>
      <c r="H4" s="7" t="str">
        <f ca="1"/>
        <v>ImageSize</v>
      </c>
      <c r="I4" s="7" t="str">
        <f ca="1"/>
        <v>ImageSize</v>
      </c>
      <c r="J4" s="7" t="str">
        <f ca="1"/>
        <v>ImageSize</v>
      </c>
      <c r="K4" s="7" t="str">
        <f ca="1"/>
        <v>ImageSize</v>
      </c>
      <c r="L4" s="7" t="str">
        <f ca="1"/>
        <v>ImageSize</v>
      </c>
      <c r="M4" s="7" t="str">
        <f ca="1"/>
        <v>ImageSize</v>
      </c>
      <c r="N4" s="7" t="str">
        <f ca="1"/>
        <v>ImageSize</v>
      </c>
      <c r="O4" s="7" t="str">
        <f ca="1"/>
        <v>ImageSize</v>
      </c>
      <c r="P4" s="7" t="str">
        <f ca="1"/>
        <v>ImageSize</v>
      </c>
      <c r="Q4" s="7" t="str">
        <f ca="1"/>
        <v>ImageSize</v>
      </c>
      <c r="T4" s="7" t="str">
        <f ca="1"/>
        <v>Z8</v>
      </c>
      <c r="U4" s="7" t="str">
        <f ca="1"/>
        <v>0x5003</v>
      </c>
      <c r="V4" s="7" t="str">
        <f ca="1"/>
        <v>ImageSize</v>
      </c>
      <c r="X4" s="8" t="s">
        <v>391</v>
      </c>
      <c r="Y4" s="8" t="s">
        <v>391</v>
      </c>
      <c r="Z4" s="8" t="s">
        <v>391</v>
      </c>
      <c r="AA4" s="8" t="s">
        <v>391</v>
      </c>
      <c r="AB4" s="7" t="s">
        <v>391</v>
      </c>
      <c r="AC4" s="7" t="s">
        <v>391</v>
      </c>
      <c r="AD4" s="7" t="s">
        <v>391</v>
      </c>
      <c r="AE4" s="7" t="s">
        <v>391</v>
      </c>
      <c r="AF4" s="7" t="s">
        <v>391</v>
      </c>
      <c r="AG4" s="7" t="s">
        <v>391</v>
      </c>
      <c r="AH4" s="7" t="s">
        <v>391</v>
      </c>
      <c r="AI4" s="7" t="s">
        <v>391</v>
      </c>
      <c r="AJ4" s="7" t="s">
        <v>391</v>
      </c>
      <c r="AK4" s="7" t="s">
        <v>391</v>
      </c>
    </row>
    <row r="5" spans="1:37" x14ac:dyDescent="0.25">
      <c r="A5" s="13" t="str">
        <f ca="1"/>
        <v>0x5004</v>
      </c>
      <c r="B5" s="14" t="str">
        <f ca="1"/>
        <v>CompressionSetting</v>
      </c>
      <c r="D5" s="8" t="str">
        <f ca="1"/>
        <v>CompressionSetting</v>
      </c>
      <c r="E5" s="8" t="str">
        <f ca="1"/>
        <v>CompressionSetting</v>
      </c>
      <c r="F5" s="8" t="str">
        <f ca="1"/>
        <v>CompressionSetting</v>
      </c>
      <c r="G5" s="8" t="str">
        <f ca="1"/>
        <v>CompressionSetting</v>
      </c>
      <c r="H5" s="7" t="str">
        <f ca="1"/>
        <v>CompressionSetting</v>
      </c>
      <c r="I5" s="7" t="str">
        <f ca="1"/>
        <v>CompressionSetting</v>
      </c>
      <c r="J5" s="7" t="str">
        <f ca="1"/>
        <v>CompressionSetting</v>
      </c>
      <c r="K5" s="7" t="str">
        <f ca="1"/>
        <v>CompressionSetting</v>
      </c>
      <c r="L5" s="7" t="str">
        <f ca="1"/>
        <v>CompressionSetting</v>
      </c>
      <c r="M5" s="7" t="str">
        <f ca="1"/>
        <v>CompressionSetting</v>
      </c>
      <c r="N5" s="7" t="str">
        <f ca="1"/>
        <v>CompressionSetting</v>
      </c>
      <c r="O5" s="7" t="str">
        <f ca="1"/>
        <v>CompressionSetting</v>
      </c>
      <c r="P5" s="7" t="str">
        <f ca="1"/>
        <v>CompressionSetting</v>
      </c>
      <c r="Q5" s="7" t="str">
        <f ca="1"/>
        <v>CompressionSetting</v>
      </c>
      <c r="T5" s="7" t="str">
        <f ca="1"/>
        <v>Z8</v>
      </c>
      <c r="U5" s="7" t="str">
        <f ca="1"/>
        <v>0x5004</v>
      </c>
      <c r="V5" s="7" t="str">
        <f ca="1"/>
        <v>CompressionSetting</v>
      </c>
      <c r="X5" s="8" t="s">
        <v>392</v>
      </c>
      <c r="Y5" s="8" t="s">
        <v>392</v>
      </c>
      <c r="Z5" s="8" t="s">
        <v>392</v>
      </c>
      <c r="AA5" s="8" t="s">
        <v>392</v>
      </c>
      <c r="AB5" s="7" t="s">
        <v>392</v>
      </c>
      <c r="AC5" s="7" t="s">
        <v>392</v>
      </c>
      <c r="AD5" s="7" t="s">
        <v>392</v>
      </c>
      <c r="AE5" s="7" t="s">
        <v>392</v>
      </c>
      <c r="AF5" s="7" t="s">
        <v>392</v>
      </c>
      <c r="AG5" s="7" t="s">
        <v>392</v>
      </c>
      <c r="AH5" s="7" t="s">
        <v>392</v>
      </c>
      <c r="AI5" s="7" t="s">
        <v>392</v>
      </c>
      <c r="AJ5" s="7" t="s">
        <v>392</v>
      </c>
      <c r="AK5" s="7" t="s">
        <v>392</v>
      </c>
    </row>
    <row r="6" spans="1:37" x14ac:dyDescent="0.25">
      <c r="A6" s="13" t="str">
        <f ca="1"/>
        <v>0x5005</v>
      </c>
      <c r="B6" s="14" t="str">
        <f ca="1"/>
        <v>WhiteBalance</v>
      </c>
      <c r="D6" s="8" t="str">
        <f ca="1"/>
        <v>WhiteBalance</v>
      </c>
      <c r="E6" s="8" t="str">
        <f ca="1"/>
        <v>WhiteBalance</v>
      </c>
      <c r="F6" s="8" t="str">
        <f ca="1"/>
        <v>WhiteBalance</v>
      </c>
      <c r="G6" s="8" t="str">
        <f ca="1"/>
        <v>WhiteBalance</v>
      </c>
      <c r="H6" s="7" t="str">
        <f ca="1"/>
        <v>WhiteBalance</v>
      </c>
      <c r="I6" s="7" t="str">
        <f ca="1"/>
        <v>WhiteBalance</v>
      </c>
      <c r="J6" s="7" t="str">
        <f ca="1"/>
        <v>WhiteBalance</v>
      </c>
      <c r="K6" s="7" t="str">
        <f ca="1"/>
        <v>WhiteBalance</v>
      </c>
      <c r="L6" s="7" t="str">
        <f ca="1"/>
        <v>WhiteBalance</v>
      </c>
      <c r="M6" s="7" t="str">
        <f ca="1"/>
        <v>WhiteBalance</v>
      </c>
      <c r="N6" s="7" t="str">
        <f ca="1"/>
        <v>WhiteBalance</v>
      </c>
      <c r="O6" s="7" t="str">
        <f ca="1"/>
        <v>WhiteBalance</v>
      </c>
      <c r="P6" s="7" t="str">
        <f ca="1"/>
        <v>WhiteBalance</v>
      </c>
      <c r="Q6" s="7" t="str">
        <f ca="1"/>
        <v>WhiteBalance</v>
      </c>
      <c r="T6" s="7" t="str">
        <f ca="1"/>
        <v>Z8</v>
      </c>
      <c r="U6" s="7" t="str">
        <f ca="1"/>
        <v>0x5005</v>
      </c>
      <c r="V6" s="7" t="str">
        <f ca="1"/>
        <v>WhiteBalance</v>
      </c>
      <c r="X6" s="8" t="s">
        <v>393</v>
      </c>
      <c r="Y6" s="8" t="s">
        <v>393</v>
      </c>
      <c r="Z6" s="8" t="s">
        <v>393</v>
      </c>
      <c r="AA6" s="8" t="s">
        <v>393</v>
      </c>
      <c r="AB6" s="7" t="s">
        <v>393</v>
      </c>
      <c r="AC6" s="7" t="s">
        <v>393</v>
      </c>
      <c r="AD6" s="7" t="s">
        <v>393</v>
      </c>
      <c r="AE6" s="7" t="s">
        <v>393</v>
      </c>
      <c r="AF6" s="7" t="s">
        <v>393</v>
      </c>
      <c r="AG6" s="7" t="s">
        <v>393</v>
      </c>
      <c r="AH6" s="7" t="s">
        <v>393</v>
      </c>
      <c r="AI6" s="7" t="s">
        <v>393</v>
      </c>
      <c r="AJ6" s="7" t="s">
        <v>393</v>
      </c>
      <c r="AK6" s="7" t="s">
        <v>393</v>
      </c>
    </row>
    <row r="7" spans="1:37" x14ac:dyDescent="0.25">
      <c r="A7" s="13" t="str">
        <f ca="1"/>
        <v>0x5007</v>
      </c>
      <c r="B7" s="14" t="str">
        <f ca="1"/>
        <v>Fnumber</v>
      </c>
      <c r="D7" s="8" t="str">
        <f ca="1"/>
        <v>Fnumber</v>
      </c>
      <c r="E7" s="8" t="str">
        <f ca="1"/>
        <v>Fnumber</v>
      </c>
      <c r="F7" s="8" t="str">
        <f ca="1"/>
        <v>Fnumber</v>
      </c>
      <c r="G7" s="8" t="str">
        <f ca="1"/>
        <v>Fnumber</v>
      </c>
      <c r="H7" s="7" t="str">
        <f ca="1"/>
        <v>Fnumber</v>
      </c>
      <c r="I7" s="7" t="str">
        <f ca="1"/>
        <v>Fnumber</v>
      </c>
      <c r="J7" s="7" t="str">
        <f ca="1"/>
        <v>Fnumber</v>
      </c>
      <c r="K7" s="7" t="str">
        <f ca="1"/>
        <v>Fnumber</v>
      </c>
      <c r="L7" s="7" t="str">
        <f ca="1"/>
        <v>Fnumber</v>
      </c>
      <c r="M7" s="7" t="str">
        <f ca="1"/>
        <v>Fnumber</v>
      </c>
      <c r="N7" s="7" t="str">
        <f ca="1"/>
        <v>Fnumber</v>
      </c>
      <c r="O7" s="7" t="str">
        <f ca="1"/>
        <v>Fnumber</v>
      </c>
      <c r="P7" s="7" t="str">
        <f ca="1"/>
        <v>Fnumber</v>
      </c>
      <c r="Q7" s="7" t="str">
        <f ca="1"/>
        <v>Fnumber</v>
      </c>
      <c r="T7" s="7" t="str">
        <f ca="1"/>
        <v>Z8</v>
      </c>
      <c r="U7" s="7" t="str">
        <f ca="1"/>
        <v>0x5007</v>
      </c>
      <c r="V7" s="7" t="str">
        <f ca="1"/>
        <v>Fnumber</v>
      </c>
      <c r="X7" s="8" t="s">
        <v>394</v>
      </c>
      <c r="Y7" s="8" t="s">
        <v>394</v>
      </c>
      <c r="Z7" s="8" t="s">
        <v>394</v>
      </c>
      <c r="AA7" s="8" t="s">
        <v>394</v>
      </c>
      <c r="AB7" s="7" t="s">
        <v>394</v>
      </c>
      <c r="AC7" s="7" t="s">
        <v>394</v>
      </c>
      <c r="AD7" s="7" t="s">
        <v>394</v>
      </c>
      <c r="AE7" s="7" t="s">
        <v>394</v>
      </c>
      <c r="AF7" s="7" t="s">
        <v>394</v>
      </c>
      <c r="AG7" s="7" t="s">
        <v>394</v>
      </c>
      <c r="AH7" s="7" t="s">
        <v>394</v>
      </c>
      <c r="AI7" s="7" t="s">
        <v>394</v>
      </c>
      <c r="AJ7" s="7" t="s">
        <v>394</v>
      </c>
      <c r="AK7" s="7" t="s">
        <v>394</v>
      </c>
    </row>
    <row r="8" spans="1:37" x14ac:dyDescent="0.25">
      <c r="A8" s="13" t="str">
        <f ca="1"/>
        <v>0x5008</v>
      </c>
      <c r="B8" s="14" t="str">
        <f ca="1"/>
        <v>FocalLength</v>
      </c>
      <c r="D8" s="8" t="str">
        <f ca="1"/>
        <v>FocalLength</v>
      </c>
      <c r="E8" s="8" t="str">
        <f ca="1"/>
        <v>FocalLength</v>
      </c>
      <c r="F8" s="8" t="str">
        <f ca="1"/>
        <v>FocalLength</v>
      </c>
      <c r="G8" s="8" t="str">
        <f ca="1"/>
        <v>FocalLength</v>
      </c>
      <c r="H8" s="7" t="str">
        <f ca="1"/>
        <v>FocalLength</v>
      </c>
      <c r="I8" s="7" t="str">
        <f ca="1"/>
        <v>FocalLength</v>
      </c>
      <c r="J8" s="7" t="str">
        <f ca="1"/>
        <v>FocalLength</v>
      </c>
      <c r="K8" s="7" t="str">
        <f ca="1"/>
        <v>FocalLength</v>
      </c>
      <c r="L8" s="7" t="str">
        <f ca="1"/>
        <v>FocalLength</v>
      </c>
      <c r="M8" s="7" t="str">
        <f ca="1"/>
        <v>FocalLength</v>
      </c>
      <c r="N8" s="7" t="str">
        <f ca="1"/>
        <v>FocalLength</v>
      </c>
      <c r="O8" s="7" t="str">
        <f ca="1"/>
        <v>FocalLength</v>
      </c>
      <c r="P8" s="7" t="str">
        <f ca="1"/>
        <v>FocalLength</v>
      </c>
      <c r="Q8" s="7" t="str">
        <f ca="1"/>
        <v>FocalLength</v>
      </c>
      <c r="T8" s="7" t="str">
        <f ca="1"/>
        <v>Z8</v>
      </c>
      <c r="U8" s="7" t="str">
        <f ca="1"/>
        <v>0x5008</v>
      </c>
      <c r="V8" s="7" t="str">
        <f ca="1"/>
        <v>FocalLength</v>
      </c>
      <c r="X8" s="8" t="s">
        <v>395</v>
      </c>
      <c r="Y8" s="8" t="s">
        <v>395</v>
      </c>
      <c r="Z8" s="8" t="s">
        <v>395</v>
      </c>
      <c r="AA8" s="8" t="s">
        <v>395</v>
      </c>
      <c r="AB8" s="7" t="s">
        <v>395</v>
      </c>
      <c r="AC8" s="7" t="s">
        <v>395</v>
      </c>
      <c r="AD8" s="7" t="s">
        <v>395</v>
      </c>
      <c r="AE8" s="7" t="s">
        <v>395</v>
      </c>
      <c r="AF8" s="7" t="s">
        <v>395</v>
      </c>
      <c r="AG8" s="7" t="s">
        <v>395</v>
      </c>
      <c r="AH8" s="7" t="s">
        <v>395</v>
      </c>
      <c r="AI8" s="7" t="s">
        <v>395</v>
      </c>
      <c r="AJ8" s="7" t="s">
        <v>395</v>
      </c>
      <c r="AK8" s="7" t="s">
        <v>395</v>
      </c>
    </row>
    <row r="9" spans="1:37" x14ac:dyDescent="0.25">
      <c r="A9" s="13" t="str">
        <f ca="1"/>
        <v>0x500A</v>
      </c>
      <c r="B9" s="14" t="str">
        <f ca="1"/>
        <v>FocusMode</v>
      </c>
      <c r="D9" s="8" t="str">
        <f ca="1"/>
        <v>FocusMode</v>
      </c>
      <c r="E9" s="8" t="str">
        <f ca="1"/>
        <v>FocusMode</v>
      </c>
      <c r="F9" s="8" t="str">
        <f ca="1"/>
        <v>FocusMode</v>
      </c>
      <c r="G9" s="8" t="str">
        <f ca="1"/>
        <v>FocusMode</v>
      </c>
      <c r="H9" s="7" t="str">
        <f ca="1"/>
        <v>FocusMode</v>
      </c>
      <c r="I9" s="7" t="str">
        <f ca="1"/>
        <v>FocusMode</v>
      </c>
      <c r="J9" s="7" t="str">
        <f ca="1"/>
        <v>FocusMode</v>
      </c>
      <c r="K9" s="7" t="str">
        <f ca="1"/>
        <v>FocusMode</v>
      </c>
      <c r="L9" s="7" t="str">
        <f ca="1"/>
        <v>FocusMode</v>
      </c>
      <c r="M9" s="7" t="str">
        <f ca="1"/>
        <v>FocusMode</v>
      </c>
      <c r="N9" s="7" t="str">
        <f ca="1"/>
        <v>FocusMode</v>
      </c>
      <c r="O9" s="7" t="str">
        <f ca="1"/>
        <v>FocusMode</v>
      </c>
      <c r="P9" s="7" t="str">
        <f ca="1"/>
        <v>FocusMode</v>
      </c>
      <c r="Q9" s="7" t="str">
        <f ca="1"/>
        <v>FocusMode</v>
      </c>
      <c r="T9" s="7" t="str">
        <f ca="1"/>
        <v>Z8</v>
      </c>
      <c r="U9" s="7" t="str">
        <f ca="1"/>
        <v>0x500A</v>
      </c>
      <c r="V9" s="7" t="str">
        <f ca="1"/>
        <v>FocusMode</v>
      </c>
      <c r="X9" s="8" t="s">
        <v>396</v>
      </c>
      <c r="Y9" s="8" t="s">
        <v>396</v>
      </c>
      <c r="Z9" s="8" t="s">
        <v>396</v>
      </c>
      <c r="AA9" s="8" t="s">
        <v>396</v>
      </c>
      <c r="AB9" s="7" t="s">
        <v>396</v>
      </c>
      <c r="AC9" s="7" t="s">
        <v>396</v>
      </c>
      <c r="AD9" s="7" t="s">
        <v>396</v>
      </c>
      <c r="AE9" s="7" t="s">
        <v>396</v>
      </c>
      <c r="AF9" s="7" t="s">
        <v>396</v>
      </c>
      <c r="AG9" s="7" t="s">
        <v>396</v>
      </c>
      <c r="AH9" s="7" t="s">
        <v>396</v>
      </c>
      <c r="AI9" s="7" t="s">
        <v>396</v>
      </c>
      <c r="AJ9" s="7" t="s">
        <v>396</v>
      </c>
      <c r="AK9" s="7" t="s">
        <v>396</v>
      </c>
    </row>
    <row r="10" spans="1:37" x14ac:dyDescent="0.25">
      <c r="A10" s="13" t="str">
        <f ca="1"/>
        <v>0x500B</v>
      </c>
      <c r="B10" s="14" t="str">
        <f ca="1"/>
        <v>ExposureMeteringMode</v>
      </c>
      <c r="D10" s="8" t="str">
        <f ca="1"/>
        <v>ExposureMeteringMode</v>
      </c>
      <c r="E10" s="8" t="str">
        <f ca="1"/>
        <v>ExposureMeteringMode</v>
      </c>
      <c r="F10" s="8" t="str">
        <f ca="1"/>
        <v>ExposureMeteringMode</v>
      </c>
      <c r="G10" s="8" t="str">
        <f ca="1"/>
        <v>ExposureMeteringMode</v>
      </c>
      <c r="H10" s="7" t="str">
        <f ca="1"/>
        <v>ExposureMeteringMode</v>
      </c>
      <c r="I10" s="7" t="str">
        <f ca="1"/>
        <v>ExposureMeteringMode</v>
      </c>
      <c r="J10" s="7" t="str">
        <f ca="1"/>
        <v>ExposureMeteringMode</v>
      </c>
      <c r="K10" s="7" t="str">
        <f ca="1"/>
        <v>ExposureMeteringMode</v>
      </c>
      <c r="L10" s="7" t="str">
        <f ca="1"/>
        <v>ExposureMeteringMode</v>
      </c>
      <c r="M10" s="7" t="str">
        <f ca="1"/>
        <v>ExposureMeteringMode</v>
      </c>
      <c r="N10" s="7" t="str">
        <f ca="1"/>
        <v>ExposureMeteringMode</v>
      </c>
      <c r="O10" s="7" t="str">
        <f ca="1"/>
        <v>ExposureMeteringMode</v>
      </c>
      <c r="P10" s="7" t="str">
        <f ca="1"/>
        <v>ExposureMeteringMode</v>
      </c>
      <c r="Q10" s="7" t="str">
        <f ca="1"/>
        <v>ExposureMeteringMode</v>
      </c>
      <c r="T10" s="7" t="str">
        <f ca="1"/>
        <v>Z8</v>
      </c>
      <c r="U10" s="7" t="str">
        <f ca="1"/>
        <v>0x500B</v>
      </c>
      <c r="V10" s="7" t="str">
        <f ca="1"/>
        <v>ExposureMeteringMode</v>
      </c>
      <c r="X10" s="8" t="s">
        <v>397</v>
      </c>
      <c r="Y10" s="8" t="s">
        <v>397</v>
      </c>
      <c r="Z10" s="8" t="s">
        <v>397</v>
      </c>
      <c r="AA10" s="8" t="s">
        <v>397</v>
      </c>
      <c r="AB10" s="7" t="s">
        <v>397</v>
      </c>
      <c r="AC10" s="7" t="s">
        <v>397</v>
      </c>
      <c r="AD10" s="7" t="s">
        <v>397</v>
      </c>
      <c r="AE10" s="7" t="s">
        <v>397</v>
      </c>
      <c r="AF10" s="7" t="s">
        <v>397</v>
      </c>
      <c r="AG10" s="7" t="s">
        <v>397</v>
      </c>
      <c r="AH10" s="7" t="s">
        <v>397</v>
      </c>
      <c r="AI10" s="7" t="s">
        <v>397</v>
      </c>
      <c r="AJ10" s="7" t="s">
        <v>397</v>
      </c>
      <c r="AK10" s="7" t="s">
        <v>397</v>
      </c>
    </row>
    <row r="11" spans="1:37" x14ac:dyDescent="0.25">
      <c r="A11" s="13" t="str">
        <f ca="1"/>
        <v>0x500C</v>
      </c>
      <c r="B11" s="14" t="str">
        <f ca="1"/>
        <v>FlashMode</v>
      </c>
      <c r="D11" s="8" t="str">
        <f ca="1"/>
        <v>FlashMode</v>
      </c>
      <c r="E11" s="8" t="str">
        <f ca="1"/>
        <v>FlashMode</v>
      </c>
      <c r="F11" s="8" t="str">
        <f ca="1"/>
        <v>FlashMode</v>
      </c>
      <c r="G11" s="8" t="str">
        <f ca="1"/>
        <v>FlashMode</v>
      </c>
      <c r="H11" s="7" t="str">
        <f ca="1"/>
        <v>FlashMode</v>
      </c>
      <c r="I11" s="7" t="str">
        <f ca="1"/>
        <v>FlashMode</v>
      </c>
      <c r="J11" s="7" t="str">
        <f ca="1"/>
        <v>FlashMode</v>
      </c>
      <c r="K11" s="7" t="str">
        <f ca="1"/>
        <v>FlashMode</v>
      </c>
      <c r="L11" s="7" t="str">
        <f ca="1"/>
        <v>FlashMode</v>
      </c>
      <c r="M11" s="7" t="str">
        <f ca="1"/>
        <v>FlashMode</v>
      </c>
      <c r="N11" s="7" t="str">
        <f ca="1"/>
        <v>FlashMode</v>
      </c>
      <c r="O11" s="7" t="str">
        <f ca="1"/>
        <v>FlashMode</v>
      </c>
      <c r="P11" s="7" t="str">
        <f ca="1"/>
        <v>FlashMode</v>
      </c>
      <c r="Q11" s="7" t="str">
        <f ca="1"/>
        <v>FlashMode</v>
      </c>
      <c r="T11" s="7" t="str">
        <f ca="1"/>
        <v>Z8</v>
      </c>
      <c r="U11" s="7" t="str">
        <f ca="1"/>
        <v>0x500C</v>
      </c>
      <c r="V11" s="7" t="str">
        <f ca="1"/>
        <v>FlashMode</v>
      </c>
      <c r="X11" s="8" t="s">
        <v>398</v>
      </c>
      <c r="Y11" s="8" t="s">
        <v>398</v>
      </c>
      <c r="Z11" s="8" t="s">
        <v>398</v>
      </c>
      <c r="AA11" s="8" t="s">
        <v>398</v>
      </c>
      <c r="AB11" s="7" t="s">
        <v>398</v>
      </c>
      <c r="AC11" s="7" t="s">
        <v>398</v>
      </c>
      <c r="AD11" s="7" t="s">
        <v>398</v>
      </c>
      <c r="AE11" s="7" t="s">
        <v>398</v>
      </c>
      <c r="AF11" s="7" t="s">
        <v>398</v>
      </c>
      <c r="AG11" s="7" t="s">
        <v>398</v>
      </c>
      <c r="AH11" s="7" t="s">
        <v>398</v>
      </c>
      <c r="AI11" s="7" t="s">
        <v>398</v>
      </c>
      <c r="AJ11" s="7" t="s">
        <v>398</v>
      </c>
      <c r="AK11" s="7" t="s">
        <v>398</v>
      </c>
    </row>
    <row r="12" spans="1:37" x14ac:dyDescent="0.25">
      <c r="A12" s="13" t="str">
        <f ca="1"/>
        <v>0x500D</v>
      </c>
      <c r="B12" s="14" t="str">
        <f ca="1"/>
        <v>ExposureTime</v>
      </c>
      <c r="D12" s="8" t="str">
        <f ca="1"/>
        <v>ExposureTime</v>
      </c>
      <c r="E12" s="8" t="str">
        <f ca="1"/>
        <v>ExposureTime</v>
      </c>
      <c r="F12" s="8" t="str">
        <f ca="1"/>
        <v>ExposureTime</v>
      </c>
      <c r="G12" s="8" t="str">
        <f ca="1"/>
        <v>ExposureTime</v>
      </c>
      <c r="H12" s="7" t="str">
        <f ca="1"/>
        <v>ExposureTime</v>
      </c>
      <c r="I12" s="7" t="str">
        <f ca="1"/>
        <v>ExposureTime</v>
      </c>
      <c r="J12" s="7" t="str">
        <f ca="1"/>
        <v>ExposureTime</v>
      </c>
      <c r="K12" s="7" t="str">
        <f ca="1"/>
        <v>ExposureTime</v>
      </c>
      <c r="L12" s="7" t="str">
        <f ca="1"/>
        <v>ExposureTime</v>
      </c>
      <c r="M12" s="7" t="str">
        <f ca="1"/>
        <v>ExposureTime</v>
      </c>
      <c r="N12" s="7" t="str">
        <f ca="1"/>
        <v>ExposureTime</v>
      </c>
      <c r="O12" s="7" t="str">
        <f ca="1"/>
        <v>ExposureTime</v>
      </c>
      <c r="P12" s="7" t="str">
        <f ca="1"/>
        <v>ExposureTime</v>
      </c>
      <c r="Q12" s="7" t="str">
        <f ca="1"/>
        <v>ExposureTime</v>
      </c>
      <c r="T12" s="7" t="str">
        <f ca="1"/>
        <v>Z8</v>
      </c>
      <c r="U12" s="7" t="str">
        <f ca="1"/>
        <v>0x500D</v>
      </c>
      <c r="V12" s="7" t="str">
        <f ca="1"/>
        <v>ExposureTime</v>
      </c>
      <c r="X12" s="8" t="s">
        <v>399</v>
      </c>
      <c r="Y12" s="8" t="s">
        <v>399</v>
      </c>
      <c r="Z12" s="8" t="s">
        <v>399</v>
      </c>
      <c r="AA12" s="8" t="s">
        <v>399</v>
      </c>
      <c r="AB12" s="7" t="s">
        <v>399</v>
      </c>
      <c r="AC12" s="7" t="s">
        <v>399</v>
      </c>
      <c r="AD12" s="7" t="s">
        <v>399</v>
      </c>
      <c r="AE12" s="7" t="s">
        <v>399</v>
      </c>
      <c r="AF12" s="7" t="s">
        <v>399</v>
      </c>
      <c r="AG12" s="7" t="s">
        <v>399</v>
      </c>
      <c r="AH12" s="7" t="s">
        <v>399</v>
      </c>
      <c r="AI12" s="7" t="s">
        <v>399</v>
      </c>
      <c r="AJ12" s="7" t="s">
        <v>399</v>
      </c>
      <c r="AK12" s="7" t="s">
        <v>399</v>
      </c>
    </row>
    <row r="13" spans="1:37" x14ac:dyDescent="0.25">
      <c r="A13" s="13" t="str">
        <f ca="1"/>
        <v>0x500E</v>
      </c>
      <c r="B13" s="14" t="str">
        <f ca="1"/>
        <v>ExposureProgramMode</v>
      </c>
      <c r="D13" s="8" t="str">
        <f ca="1"/>
        <v>ExposureProgramMode</v>
      </c>
      <c r="E13" s="8" t="str">
        <f ca="1"/>
        <v>ExposureProgramMode</v>
      </c>
      <c r="F13" s="8" t="str">
        <f ca="1"/>
        <v>ExposureProgramMode</v>
      </c>
      <c r="G13" s="8" t="str">
        <f ca="1"/>
        <v>ExposureProgramMode</v>
      </c>
      <c r="H13" s="7" t="str">
        <f ca="1"/>
        <v>ExposureProgramMode</v>
      </c>
      <c r="I13" s="7" t="str">
        <f ca="1"/>
        <v>ExposureProgramMode</v>
      </c>
      <c r="J13" s="7" t="str">
        <f ca="1"/>
        <v>ExposureProgramMode</v>
      </c>
      <c r="K13" s="7" t="str">
        <f ca="1"/>
        <v>ExposureProgramMode</v>
      </c>
      <c r="L13" s="7" t="str">
        <f ca="1"/>
        <v>ExposureProgramMode</v>
      </c>
      <c r="M13" s="7" t="str">
        <f ca="1"/>
        <v>ExposureProgramMode</v>
      </c>
      <c r="N13" s="7" t="str">
        <f ca="1"/>
        <v>ExposureProgramMode</v>
      </c>
      <c r="O13" s="7" t="str">
        <f ca="1"/>
        <v>ExposureProgramMode</v>
      </c>
      <c r="P13" s="7" t="str">
        <f ca="1"/>
        <v>ExposureProgramMode</v>
      </c>
      <c r="Q13" s="7" t="str">
        <f ca="1"/>
        <v>ExposureProgramMode</v>
      </c>
      <c r="T13" s="7" t="str">
        <f ca="1"/>
        <v>Z8</v>
      </c>
      <c r="U13" s="7" t="str">
        <f ca="1"/>
        <v>0x500E</v>
      </c>
      <c r="V13" s="7" t="str">
        <f ca="1"/>
        <v>ExposureProgramMode</v>
      </c>
      <c r="X13" s="8" t="s">
        <v>400</v>
      </c>
      <c r="Y13" s="8" t="s">
        <v>400</v>
      </c>
      <c r="Z13" s="8" t="s">
        <v>400</v>
      </c>
      <c r="AA13" s="8" t="s">
        <v>400</v>
      </c>
      <c r="AB13" s="7" t="s">
        <v>400</v>
      </c>
      <c r="AC13" s="7" t="s">
        <v>400</v>
      </c>
      <c r="AD13" s="7" t="s">
        <v>400</v>
      </c>
      <c r="AE13" s="7" t="s">
        <v>400</v>
      </c>
      <c r="AF13" s="7" t="s">
        <v>400</v>
      </c>
      <c r="AG13" s="7" t="s">
        <v>400</v>
      </c>
      <c r="AH13" s="7" t="s">
        <v>400</v>
      </c>
      <c r="AI13" s="7" t="s">
        <v>400</v>
      </c>
      <c r="AJ13" s="7" t="s">
        <v>400</v>
      </c>
      <c r="AK13" s="7" t="s">
        <v>400</v>
      </c>
    </row>
    <row r="14" spans="1:37" x14ac:dyDescent="0.25">
      <c r="A14" s="13" t="str">
        <f ca="1"/>
        <v>0x500F</v>
      </c>
      <c r="B14" s="14" t="str">
        <f ca="1"/>
        <v>ExposureIndex</v>
      </c>
      <c r="D14" s="8" t="str">
        <f ca="1"/>
        <v>ExposureIndex</v>
      </c>
      <c r="E14" s="8" t="str">
        <f ca="1"/>
        <v>ExposureIndex</v>
      </c>
      <c r="F14" s="8" t="str">
        <f ca="1"/>
        <v>ExposureIndex</v>
      </c>
      <c r="G14" s="8" t="str">
        <f ca="1"/>
        <v>ExposureIndex</v>
      </c>
      <c r="H14" s="7" t="str">
        <f ca="1"/>
        <v>ExposureIndex</v>
      </c>
      <c r="I14" s="7" t="str">
        <f ca="1"/>
        <v>ExposureIndex</v>
      </c>
      <c r="J14" s="7" t="str">
        <f ca="1"/>
        <v>ExposureIndex</v>
      </c>
      <c r="K14" s="7" t="str">
        <f ca="1"/>
        <v>ExposureIndex</v>
      </c>
      <c r="L14" s="7" t="str">
        <f ca="1"/>
        <v>ExposureIndex</v>
      </c>
      <c r="M14" s="7" t="str">
        <f ca="1"/>
        <v>ExposureIndex</v>
      </c>
      <c r="N14" s="7" t="str">
        <f ca="1"/>
        <v>ExposureIndex</v>
      </c>
      <c r="O14" s="7" t="str">
        <f ca="1"/>
        <v>ExposureIndex</v>
      </c>
      <c r="P14" s="7" t="str">
        <f ca="1"/>
        <v>ExposureIndex</v>
      </c>
      <c r="Q14" s="7" t="str">
        <f ca="1"/>
        <v>ExposureIndex</v>
      </c>
      <c r="T14" s="7" t="str">
        <f ca="1"/>
        <v>Z8</v>
      </c>
      <c r="U14" s="7" t="str">
        <f ca="1"/>
        <v>0x500F</v>
      </c>
      <c r="V14" s="7" t="str">
        <f ca="1"/>
        <v>ExposureIndex</v>
      </c>
      <c r="X14" s="8" t="s">
        <v>401</v>
      </c>
      <c r="Y14" s="8" t="s">
        <v>401</v>
      </c>
      <c r="Z14" s="8" t="s">
        <v>401</v>
      </c>
      <c r="AA14" s="8" t="s">
        <v>401</v>
      </c>
      <c r="AB14" s="7" t="s">
        <v>401</v>
      </c>
      <c r="AC14" s="7" t="s">
        <v>401</v>
      </c>
      <c r="AD14" s="7" t="s">
        <v>401</v>
      </c>
      <c r="AE14" s="7" t="s">
        <v>401</v>
      </c>
      <c r="AF14" s="7" t="s">
        <v>401</v>
      </c>
      <c r="AG14" s="7" t="s">
        <v>401</v>
      </c>
      <c r="AH14" s="7" t="s">
        <v>401</v>
      </c>
      <c r="AI14" s="7" t="s">
        <v>401</v>
      </c>
      <c r="AJ14" s="7" t="s">
        <v>401</v>
      </c>
      <c r="AK14" s="7" t="s">
        <v>401</v>
      </c>
    </row>
    <row r="15" spans="1:37" x14ac:dyDescent="0.25">
      <c r="A15" s="13" t="str">
        <f ca="1"/>
        <v>0x5010</v>
      </c>
      <c r="B15" s="14" t="str">
        <f ca="1"/>
        <v>ExposureBiasCompensation</v>
      </c>
      <c r="D15" s="8" t="str">
        <f ca="1"/>
        <v>ExposureBiasCompensation</v>
      </c>
      <c r="E15" s="8" t="str">
        <f ca="1"/>
        <v>ExposureBiasCompensation</v>
      </c>
      <c r="F15" s="8" t="str">
        <f ca="1"/>
        <v>ExposureBiasCompensation</v>
      </c>
      <c r="G15" s="8" t="str">
        <f ca="1"/>
        <v>ExposureBiasCompensation</v>
      </c>
      <c r="H15" s="7" t="str">
        <f ca="1"/>
        <v>ExposureBiasCompensation</v>
      </c>
      <c r="I15" s="7" t="str">
        <f ca="1"/>
        <v>ExposureBiasCompensation</v>
      </c>
      <c r="J15" s="7" t="str">
        <f ca="1"/>
        <v>ExposureBiasCompensation</v>
      </c>
      <c r="K15" s="7" t="str">
        <f ca="1"/>
        <v>ExposureBiasCompensation</v>
      </c>
      <c r="L15" s="7" t="str">
        <f ca="1"/>
        <v>ExposureBiasCompensation</v>
      </c>
      <c r="M15" s="7" t="str">
        <f ca="1"/>
        <v>ExposureBiasCompensation</v>
      </c>
      <c r="N15" s="7" t="str">
        <f ca="1"/>
        <v>ExposureBiasCompensation</v>
      </c>
      <c r="O15" s="7" t="str">
        <f ca="1"/>
        <v>ExposureBiasCompensation</v>
      </c>
      <c r="P15" s="7" t="str">
        <f ca="1"/>
        <v>ExposureBiasCompensation</v>
      </c>
      <c r="Q15" s="7" t="str">
        <f ca="1"/>
        <v>ExposureBiasCompensation</v>
      </c>
      <c r="T15" s="7" t="str">
        <f ca="1"/>
        <v>Z8</v>
      </c>
      <c r="U15" s="7" t="str">
        <f ca="1"/>
        <v>0x5010</v>
      </c>
      <c r="V15" s="7" t="str">
        <f ca="1"/>
        <v>ExposureBiasCompensation</v>
      </c>
      <c r="X15" s="8" t="s">
        <v>402</v>
      </c>
      <c r="Y15" s="8" t="s">
        <v>402</v>
      </c>
      <c r="Z15" s="8" t="s">
        <v>402</v>
      </c>
      <c r="AA15" s="8" t="s">
        <v>402</v>
      </c>
      <c r="AB15" s="7" t="s">
        <v>402</v>
      </c>
      <c r="AC15" s="7" t="s">
        <v>402</v>
      </c>
      <c r="AD15" s="7" t="s">
        <v>402</v>
      </c>
      <c r="AE15" s="7" t="s">
        <v>402</v>
      </c>
      <c r="AF15" s="7" t="s">
        <v>402</v>
      </c>
      <c r="AG15" s="7" t="s">
        <v>402</v>
      </c>
      <c r="AH15" s="7" t="s">
        <v>402</v>
      </c>
      <c r="AI15" s="7" t="s">
        <v>402</v>
      </c>
      <c r="AJ15" s="7" t="s">
        <v>402</v>
      </c>
      <c r="AK15" s="7" t="s">
        <v>402</v>
      </c>
    </row>
    <row r="16" spans="1:37" x14ac:dyDescent="0.25">
      <c r="A16" s="13" t="str">
        <f ca="1"/>
        <v>0x5011</v>
      </c>
      <c r="B16" s="14" t="str">
        <f ca="1"/>
        <v>DateTime</v>
      </c>
      <c r="D16" s="8" t="str">
        <f ca="1"/>
        <v>DateTime</v>
      </c>
      <c r="E16" s="8" t="str">
        <f ca="1"/>
        <v>DateTime</v>
      </c>
      <c r="F16" s="8" t="str">
        <f ca="1"/>
        <v>DateTime</v>
      </c>
      <c r="G16" s="8" t="str">
        <f ca="1"/>
        <v>DateTime</v>
      </c>
      <c r="H16" s="7" t="str">
        <f ca="1"/>
        <v>DateTime</v>
      </c>
      <c r="I16" s="7" t="str">
        <f ca="1"/>
        <v>DateTime</v>
      </c>
      <c r="J16" s="7" t="str">
        <f ca="1"/>
        <v>DateTime</v>
      </c>
      <c r="K16" s="7" t="str">
        <f ca="1"/>
        <v>DateTime</v>
      </c>
      <c r="L16" s="7" t="str">
        <f ca="1"/>
        <v>DateTime</v>
      </c>
      <c r="M16" s="7" t="str">
        <f ca="1"/>
        <v>DateTime</v>
      </c>
      <c r="N16" s="7" t="str">
        <f ca="1"/>
        <v>DateTime</v>
      </c>
      <c r="O16" s="7" t="str">
        <f ca="1"/>
        <v>DateTime</v>
      </c>
      <c r="P16" s="7" t="str">
        <f ca="1"/>
        <v>DateTime</v>
      </c>
      <c r="Q16" s="7" t="str">
        <f ca="1"/>
        <v>DateTime</v>
      </c>
      <c r="T16" s="7" t="str">
        <f ca="1"/>
        <v>Z8</v>
      </c>
      <c r="U16" s="7" t="str">
        <f ca="1"/>
        <v>0x5011</v>
      </c>
      <c r="V16" s="7" t="str">
        <f ca="1"/>
        <v>DateTime</v>
      </c>
      <c r="X16" s="8" t="s">
        <v>403</v>
      </c>
      <c r="Y16" s="8" t="s">
        <v>403</v>
      </c>
      <c r="Z16" s="8" t="s">
        <v>403</v>
      </c>
      <c r="AA16" s="8" t="s">
        <v>403</v>
      </c>
      <c r="AB16" s="7" t="s">
        <v>403</v>
      </c>
      <c r="AC16" s="7" t="s">
        <v>403</v>
      </c>
      <c r="AD16" s="7" t="s">
        <v>403</v>
      </c>
      <c r="AE16" s="7" t="s">
        <v>403</v>
      </c>
      <c r="AF16" s="7" t="s">
        <v>403</v>
      </c>
      <c r="AG16" s="7" t="s">
        <v>403</v>
      </c>
      <c r="AH16" s="7" t="s">
        <v>403</v>
      </c>
      <c r="AI16" s="7" t="s">
        <v>403</v>
      </c>
      <c r="AJ16" s="7" t="s">
        <v>403</v>
      </c>
      <c r="AK16" s="7" t="s">
        <v>403</v>
      </c>
    </row>
    <row r="17" spans="1:37" x14ac:dyDescent="0.25">
      <c r="A17" s="13" t="str">
        <f ca="1"/>
        <v>0x5013</v>
      </c>
      <c r="B17" s="14" t="str">
        <f ca="1"/>
        <v>StillCaptureMode</v>
      </c>
      <c r="D17" s="8" t="str">
        <f ca="1"/>
        <v>StillCaptureMode</v>
      </c>
      <c r="E17" s="8" t="str">
        <f ca="1"/>
        <v>StillCaptureMode</v>
      </c>
      <c r="F17" s="8" t="str">
        <f ca="1"/>
        <v>StillCaptureMode</v>
      </c>
      <c r="G17" s="8" t="str">
        <f ca="1"/>
        <v>StillCaptureMode</v>
      </c>
      <c r="H17" s="7" t="str">
        <f ca="1"/>
        <v>StillCaptureMode</v>
      </c>
      <c r="I17" s="7" t="str">
        <f ca="1"/>
        <v>StillCaptureMode</v>
      </c>
      <c r="J17" s="7" t="str">
        <f ca="1"/>
        <v>StillCaptureMode</v>
      </c>
      <c r="K17" s="7" t="str">
        <f ca="1"/>
        <v>StillCaptureMode</v>
      </c>
      <c r="L17" s="7" t="str">
        <f ca="1"/>
        <v>StillCaptureMode</v>
      </c>
      <c r="M17" s="7" t="str">
        <f ca="1"/>
        <v>StillCaptureMode</v>
      </c>
      <c r="N17" s="7" t="str">
        <f ca="1"/>
        <v>StillCaptureMode</v>
      </c>
      <c r="O17" s="7" t="str">
        <f ca="1"/>
        <v>StillCaptureMode</v>
      </c>
      <c r="P17" s="7" t="str">
        <f ca="1"/>
        <v>StillCaptureMode</v>
      </c>
      <c r="Q17" s="7" t="str">
        <f ca="1"/>
        <v>StillCaptureMode</v>
      </c>
      <c r="T17" s="7" t="str">
        <f ca="1"/>
        <v>Z8</v>
      </c>
      <c r="U17" s="7" t="str">
        <f ca="1"/>
        <v>0x5013</v>
      </c>
      <c r="V17" s="7" t="str">
        <f ca="1"/>
        <v>StillCaptureMode</v>
      </c>
      <c r="X17" s="8" t="s">
        <v>404</v>
      </c>
      <c r="Y17" s="8" t="s">
        <v>404</v>
      </c>
      <c r="Z17" s="8" t="s">
        <v>404</v>
      </c>
      <c r="AA17" s="8" t="s">
        <v>404</v>
      </c>
      <c r="AB17" s="7" t="s">
        <v>404</v>
      </c>
      <c r="AC17" s="7" t="s">
        <v>404</v>
      </c>
      <c r="AD17" s="7" t="s">
        <v>404</v>
      </c>
      <c r="AE17" s="7" t="s">
        <v>404</v>
      </c>
      <c r="AF17" s="7" t="s">
        <v>404</v>
      </c>
      <c r="AG17" s="7" t="s">
        <v>404</v>
      </c>
      <c r="AH17" s="7" t="s">
        <v>404</v>
      </c>
      <c r="AI17" s="7" t="s">
        <v>404</v>
      </c>
      <c r="AJ17" s="7" t="s">
        <v>404</v>
      </c>
      <c r="AK17" s="7" t="s">
        <v>404</v>
      </c>
    </row>
    <row r="18" spans="1:37" x14ac:dyDescent="0.25">
      <c r="A18" s="13" t="str">
        <f ca="1"/>
        <v>0x5018</v>
      </c>
      <c r="B18" s="14" t="str">
        <f ca="1"/>
        <v>BurstNumber</v>
      </c>
      <c r="D18" s="8" t="str">
        <f ca="1"/>
        <v>BurstNumber</v>
      </c>
      <c r="E18" s="8" t="str">
        <f ca="1"/>
        <v>BurstNumber</v>
      </c>
      <c r="F18" s="8" t="str">
        <f ca="1"/>
        <v>BurstNumber</v>
      </c>
      <c r="G18" s="8" t="str">
        <f ca="1"/>
        <v>BurstNumber</v>
      </c>
      <c r="H18" s="7" t="str">
        <f ca="1"/>
        <v>BurstNumber</v>
      </c>
      <c r="I18" s="7" t="str">
        <f ca="1"/>
        <v>BurstNumber</v>
      </c>
      <c r="J18" s="7" t="str">
        <f ca="1"/>
        <v>BurstNumber</v>
      </c>
      <c r="K18" s="7" t="str">
        <f ca="1"/>
        <v>BurstNumber</v>
      </c>
      <c r="L18" s="7" t="str">
        <f ca="1"/>
        <v>BurstNumber</v>
      </c>
      <c r="M18" s="7" t="str">
        <f ca="1"/>
        <v>BurstNumber</v>
      </c>
      <c r="N18" s="7" t="str">
        <f ca="1"/>
        <v>BurstNumber</v>
      </c>
      <c r="O18" s="7" t="str">
        <f ca="1"/>
        <v>BurstNumber</v>
      </c>
      <c r="P18" s="7" t="str">
        <f ca="1"/>
        <v>BurstNumber</v>
      </c>
      <c r="Q18" s="7" t="str">
        <f ca="1"/>
        <v>BurstNumber</v>
      </c>
      <c r="T18" s="7" t="str">
        <f ca="1"/>
        <v>Z8</v>
      </c>
      <c r="U18" s="7" t="str">
        <f ca="1"/>
        <v>0x5018</v>
      </c>
      <c r="V18" s="7" t="str">
        <f ca="1"/>
        <v>BurstNumber</v>
      </c>
      <c r="X18" s="8" t="s">
        <v>405</v>
      </c>
      <c r="Y18" s="8" t="s">
        <v>405</v>
      </c>
      <c r="Z18" s="8" t="s">
        <v>405</v>
      </c>
      <c r="AA18" s="8" t="s">
        <v>405</v>
      </c>
      <c r="AB18" s="7" t="s">
        <v>405</v>
      </c>
      <c r="AC18" s="7" t="s">
        <v>405</v>
      </c>
      <c r="AD18" s="7" t="s">
        <v>405</v>
      </c>
      <c r="AE18" s="7" t="s">
        <v>405</v>
      </c>
      <c r="AF18" s="7" t="s">
        <v>405</v>
      </c>
      <c r="AG18" s="7" t="s">
        <v>405</v>
      </c>
      <c r="AH18" s="7" t="s">
        <v>405</v>
      </c>
      <c r="AI18" s="7" t="s">
        <v>405</v>
      </c>
      <c r="AJ18" s="7" t="s">
        <v>405</v>
      </c>
      <c r="AK18" s="7" t="s">
        <v>405</v>
      </c>
    </row>
    <row r="19" spans="1:37" x14ac:dyDescent="0.25">
      <c r="A19" s="13" t="str">
        <f ca="1"/>
        <v>0x501C</v>
      </c>
      <c r="B19" s="14" t="str">
        <f ca="1"/>
        <v>FocusMeteringMode</v>
      </c>
      <c r="D19" s="8" t="str">
        <f ca="1"/>
        <v/>
      </c>
      <c r="E19" s="8" t="str">
        <f ca="1"/>
        <v/>
      </c>
      <c r="F19" s="8" t="str">
        <f ca="1"/>
        <v/>
      </c>
      <c r="G19" s="8" t="str">
        <f ca="1"/>
        <v/>
      </c>
      <c r="H19" s="7" t="str">
        <f ca="1"/>
        <v>FocusMeteringMode</v>
      </c>
      <c r="I19" s="7" t="str">
        <f ca="1"/>
        <v>FocusMeteringMode</v>
      </c>
      <c r="J19" s="7" t="str">
        <f ca="1"/>
        <v>FocusMeteringMode</v>
      </c>
      <c r="K19" s="7" t="str">
        <f ca="1"/>
        <v>FocusMeteringMode</v>
      </c>
      <c r="L19" s="7" t="str">
        <f ca="1"/>
        <v>FocusMeteringMode</v>
      </c>
      <c r="M19" s="7" t="str">
        <f ca="1"/>
        <v>FocusMeteringMode</v>
      </c>
      <c r="N19" s="7" t="str">
        <f ca="1"/>
        <v>FocusMeteringMode</v>
      </c>
      <c r="O19" s="7" t="str">
        <f ca="1"/>
        <v>FocusMeteringMode</v>
      </c>
      <c r="P19" s="7" t="str">
        <f ca="1"/>
        <v>FocusMeteringMode</v>
      </c>
      <c r="Q19" s="7" t="str">
        <f ca="1"/>
        <v>FocusMeteringMode</v>
      </c>
      <c r="T19" s="7" t="str">
        <f ca="1"/>
        <v>Z8</v>
      </c>
      <c r="U19" s="7" t="str">
        <f ca="1"/>
        <v>0x501E</v>
      </c>
      <c r="V19" s="7" t="str">
        <f ca="1"/>
        <v>Artist</v>
      </c>
      <c r="X19" s="8" t="s">
        <v>406</v>
      </c>
      <c r="Y19" s="8" t="s">
        <v>406</v>
      </c>
      <c r="Z19" s="8" t="s">
        <v>406</v>
      </c>
      <c r="AA19" s="8" t="s">
        <v>406</v>
      </c>
      <c r="AB19" s="7" t="s">
        <v>406</v>
      </c>
      <c r="AC19" s="7" t="s">
        <v>406</v>
      </c>
      <c r="AD19" s="7" t="s">
        <v>406</v>
      </c>
      <c r="AE19" s="7" t="s">
        <v>406</v>
      </c>
      <c r="AF19" s="7" t="s">
        <v>406</v>
      </c>
      <c r="AG19" s="7" t="s">
        <v>406</v>
      </c>
      <c r="AH19" s="7" t="s">
        <v>406</v>
      </c>
      <c r="AI19" s="7" t="s">
        <v>406</v>
      </c>
      <c r="AJ19" s="7" t="s">
        <v>406</v>
      </c>
      <c r="AK19" s="7" t="s">
        <v>406</v>
      </c>
    </row>
    <row r="20" spans="1:37" x14ac:dyDescent="0.25">
      <c r="A20" s="13" t="str">
        <f ca="1"/>
        <v>0x501E</v>
      </c>
      <c r="B20" s="14" t="str">
        <f ca="1"/>
        <v>Artist</v>
      </c>
      <c r="D20" s="8" t="str">
        <f ca="1"/>
        <v>Artist</v>
      </c>
      <c r="E20" s="8" t="str">
        <f ca="1"/>
        <v>Artist</v>
      </c>
      <c r="F20" s="8" t="str">
        <f ca="1"/>
        <v>Artist</v>
      </c>
      <c r="G20" s="8" t="str">
        <f ca="1"/>
        <v>Artist</v>
      </c>
      <c r="H20" s="7" t="str">
        <f ca="1"/>
        <v>Artist</v>
      </c>
      <c r="I20" s="7" t="str">
        <f ca="1"/>
        <v>Artist</v>
      </c>
      <c r="J20" s="7" t="str">
        <f ca="1"/>
        <v>Artist</v>
      </c>
      <c r="K20" s="7" t="str">
        <f ca="1"/>
        <v>Artist</v>
      </c>
      <c r="L20" s="7" t="str">
        <f ca="1"/>
        <v>Artist</v>
      </c>
      <c r="M20" s="7" t="str">
        <f ca="1"/>
        <v>Artist</v>
      </c>
      <c r="N20" s="7" t="str">
        <f ca="1"/>
        <v>Artist</v>
      </c>
      <c r="O20" s="7" t="str">
        <f ca="1"/>
        <v>Artist</v>
      </c>
      <c r="P20" s="7" t="str">
        <f ca="1"/>
        <v>Artist</v>
      </c>
      <c r="Q20" s="7" t="str">
        <f ca="1"/>
        <v/>
      </c>
      <c r="T20" s="7" t="str">
        <f ca="1"/>
        <v>Z8</v>
      </c>
      <c r="U20" s="7" t="str">
        <f ca="1"/>
        <v>0x501F</v>
      </c>
      <c r="V20" s="7" t="str">
        <f ca="1"/>
        <v>Copyright</v>
      </c>
      <c r="X20" s="8" t="s">
        <v>407</v>
      </c>
      <c r="Y20" s="8" t="s">
        <v>407</v>
      </c>
      <c r="Z20" s="8" t="s">
        <v>407</v>
      </c>
      <c r="AA20" s="8" t="s">
        <v>407</v>
      </c>
      <c r="AB20" s="7" t="s">
        <v>407</v>
      </c>
      <c r="AC20" s="7" t="s">
        <v>407</v>
      </c>
      <c r="AD20" s="7" t="s">
        <v>407</v>
      </c>
      <c r="AE20" s="7" t="s">
        <v>407</v>
      </c>
      <c r="AF20" s="7" t="s">
        <v>407</v>
      </c>
      <c r="AG20" s="7" t="s">
        <v>407</v>
      </c>
      <c r="AH20" s="7" t="s">
        <v>407</v>
      </c>
      <c r="AI20" s="7" t="s">
        <v>407</v>
      </c>
      <c r="AJ20" s="7" t="s">
        <v>407</v>
      </c>
      <c r="AK20" s="7" t="s">
        <v>407</v>
      </c>
    </row>
    <row r="21" spans="1:37" x14ac:dyDescent="0.25">
      <c r="A21" s="13" t="str">
        <f ca="1"/>
        <v>0x501F</v>
      </c>
      <c r="B21" s="14" t="str">
        <f ca="1"/>
        <v>Copyright</v>
      </c>
      <c r="D21" s="8" t="str">
        <f ca="1"/>
        <v>Copyright</v>
      </c>
      <c r="E21" s="8" t="str">
        <f ca="1"/>
        <v>Copyright</v>
      </c>
      <c r="F21" s="8" t="str">
        <f ca="1"/>
        <v>Copyright</v>
      </c>
      <c r="G21" s="8" t="str">
        <f ca="1"/>
        <v>Copyright</v>
      </c>
      <c r="H21" s="7" t="str">
        <f ca="1"/>
        <v>Copyright</v>
      </c>
      <c r="I21" s="7" t="str">
        <f ca="1"/>
        <v>Copyright</v>
      </c>
      <c r="J21" s="7" t="str">
        <f ca="1"/>
        <v>Copyright</v>
      </c>
      <c r="K21" s="7" t="str">
        <f ca="1"/>
        <v>Copyright</v>
      </c>
      <c r="L21" s="7" t="str">
        <f ca="1"/>
        <v>Copyright</v>
      </c>
      <c r="M21" s="7" t="str">
        <f ca="1"/>
        <v>Copyright</v>
      </c>
      <c r="N21" s="7" t="str">
        <f ca="1"/>
        <v>Copyright</v>
      </c>
      <c r="O21" s="7" t="str">
        <f ca="1"/>
        <v>Copyright</v>
      </c>
      <c r="P21" s="7" t="str">
        <f ca="1"/>
        <v>Copyright</v>
      </c>
      <c r="Q21" s="7" t="str">
        <f ca="1"/>
        <v/>
      </c>
      <c r="T21" s="7" t="str">
        <f ca="1"/>
        <v>Z8</v>
      </c>
      <c r="U21" s="7" t="str">
        <f ca="1"/>
        <v>0xD010</v>
      </c>
      <c r="V21" s="7" t="str">
        <f ca="1"/>
        <v>ShootingMenuBank</v>
      </c>
      <c r="X21" s="8" t="s">
        <v>408</v>
      </c>
      <c r="Y21" s="8" t="s">
        <v>408</v>
      </c>
      <c r="Z21" s="8" t="s">
        <v>408</v>
      </c>
      <c r="AA21" s="8" t="s">
        <v>408</v>
      </c>
      <c r="AB21" s="7" t="s">
        <v>408</v>
      </c>
      <c r="AC21" s="7" t="s">
        <v>408</v>
      </c>
      <c r="AD21" s="7" t="s">
        <v>408</v>
      </c>
      <c r="AE21" s="7" t="s">
        <v>408</v>
      </c>
      <c r="AF21" s="7" t="s">
        <v>408</v>
      </c>
      <c r="AG21" s="7" t="s">
        <v>408</v>
      </c>
      <c r="AH21" s="7" t="s">
        <v>408</v>
      </c>
      <c r="AI21" s="7" t="s">
        <v>408</v>
      </c>
      <c r="AJ21" s="7" t="s">
        <v>408</v>
      </c>
      <c r="AK21" s="7" t="s">
        <v>408</v>
      </c>
    </row>
    <row r="22" spans="1:37" x14ac:dyDescent="0.25">
      <c r="A22" s="13" t="str">
        <f ca="1"/>
        <v>0xD010</v>
      </c>
      <c r="B22" s="14" t="str">
        <f ca="1"/>
        <v>ShootingMenuBank</v>
      </c>
      <c r="D22" s="8" t="str">
        <f ca="1"/>
        <v>ShootingMenuBank</v>
      </c>
      <c r="E22" s="8" t="str">
        <f ca="1"/>
        <v>ShootingMenuBank</v>
      </c>
      <c r="F22" s="8" t="str">
        <f ca="1"/>
        <v/>
      </c>
      <c r="G22" s="8" t="str">
        <f ca="1"/>
        <v/>
      </c>
      <c r="H22" s="7" t="str">
        <f ca="1"/>
        <v/>
      </c>
      <c r="I22" s="7" t="str">
        <f ca="1"/>
        <v/>
      </c>
      <c r="J22" s="7" t="str">
        <f ca="1"/>
        <v/>
      </c>
      <c r="K22" s="7" t="str">
        <f ca="1"/>
        <v/>
      </c>
      <c r="L22" s="7" t="str">
        <f ca="1"/>
        <v>ShootingMenuBank</v>
      </c>
      <c r="M22" s="7" t="str">
        <f ca="1"/>
        <v>ShootingMenuBank</v>
      </c>
      <c r="N22" s="7" t="str">
        <f ca="1"/>
        <v>ShootingMenuBank</v>
      </c>
      <c r="O22" s="7" t="str">
        <f ca="1"/>
        <v>ShootingMenuBank</v>
      </c>
      <c r="P22" s="7" t="str">
        <f ca="1"/>
        <v>ShootingMenuBank</v>
      </c>
      <c r="Q22" s="7" t="str">
        <f ca="1"/>
        <v>ShootingMenuBank</v>
      </c>
      <c r="T22" s="7" t="str">
        <f ca="1"/>
        <v>Z8</v>
      </c>
      <c r="U22" s="7" t="str">
        <f ca="1"/>
        <v>0xD011</v>
      </c>
      <c r="V22" s="7" t="str">
        <f ca="1"/>
        <v>ShootingBankNameA</v>
      </c>
      <c r="X22" s="8" t="s">
        <v>409</v>
      </c>
      <c r="Y22" s="8" t="s">
        <v>409</v>
      </c>
      <c r="Z22" s="8" t="s">
        <v>409</v>
      </c>
      <c r="AA22" s="8" t="s">
        <v>409</v>
      </c>
      <c r="AB22" s="7" t="s">
        <v>409</v>
      </c>
      <c r="AC22" s="7" t="s">
        <v>409</v>
      </c>
      <c r="AD22" s="7" t="s">
        <v>409</v>
      </c>
      <c r="AE22" s="7" t="s">
        <v>409</v>
      </c>
      <c r="AF22" s="7" t="s">
        <v>409</v>
      </c>
      <c r="AG22" s="7" t="s">
        <v>409</v>
      </c>
      <c r="AH22" s="7" t="s">
        <v>409</v>
      </c>
      <c r="AI22" s="7" t="s">
        <v>409</v>
      </c>
      <c r="AJ22" s="7" t="s">
        <v>409</v>
      </c>
      <c r="AK22" s="7" t="s">
        <v>409</v>
      </c>
    </row>
    <row r="23" spans="1:37" x14ac:dyDescent="0.25">
      <c r="A23" s="13" t="str">
        <f ca="1"/>
        <v>0xD011</v>
      </c>
      <c r="B23" s="14" t="str">
        <f ca="1"/>
        <v>ShootingBankNameA</v>
      </c>
      <c r="D23" s="8" t="str">
        <f ca="1"/>
        <v>ShootingBankNameA</v>
      </c>
      <c r="E23" s="8" t="str">
        <f ca="1"/>
        <v>ShootingBankNameA</v>
      </c>
      <c r="F23" s="8" t="str">
        <f ca="1"/>
        <v/>
      </c>
      <c r="G23" s="8" t="str">
        <f ca="1"/>
        <v/>
      </c>
      <c r="H23" s="7" t="str">
        <f ca="1"/>
        <v/>
      </c>
      <c r="I23" s="7" t="str">
        <f ca="1"/>
        <v/>
      </c>
      <c r="J23" s="7" t="str">
        <f ca="1"/>
        <v/>
      </c>
      <c r="K23" s="7" t="str">
        <f ca="1"/>
        <v/>
      </c>
      <c r="L23" s="7" t="str">
        <f ca="1"/>
        <v>ShootingBankNameA</v>
      </c>
      <c r="M23" s="7" t="str">
        <f ca="1"/>
        <v>ShootingBankNameA</v>
      </c>
      <c r="N23" s="7" t="str">
        <f ca="1"/>
        <v>ShootingBankNameA</v>
      </c>
      <c r="O23" s="7" t="str">
        <f ca="1"/>
        <v>ShootingBankNameA</v>
      </c>
      <c r="P23" s="7" t="str">
        <f ca="1"/>
        <v>ShootingBankNameA</v>
      </c>
      <c r="Q23" s="7" t="str">
        <f ca="1"/>
        <v>ShootingBankNameA</v>
      </c>
      <c r="T23" s="7" t="str">
        <f ca="1"/>
        <v>Z8</v>
      </c>
      <c r="U23" s="7" t="str">
        <f ca="1"/>
        <v>0xD012</v>
      </c>
      <c r="V23" s="7" t="str">
        <f ca="1"/>
        <v>ShootingBankNameB</v>
      </c>
      <c r="X23" s="8" t="s">
        <v>410</v>
      </c>
      <c r="Y23" s="8" t="s">
        <v>410</v>
      </c>
      <c r="Z23" s="8" t="s">
        <v>410</v>
      </c>
      <c r="AA23" s="8" t="s">
        <v>410</v>
      </c>
      <c r="AB23" s="7" t="s">
        <v>410</v>
      </c>
      <c r="AC23" s="7" t="s">
        <v>410</v>
      </c>
      <c r="AD23" s="7" t="s">
        <v>410</v>
      </c>
      <c r="AE23" s="7" t="s">
        <v>410</v>
      </c>
      <c r="AF23" s="7" t="s">
        <v>410</v>
      </c>
      <c r="AG23" s="7" t="s">
        <v>410</v>
      </c>
      <c r="AH23" s="7" t="s">
        <v>410</v>
      </c>
      <c r="AI23" s="7" t="s">
        <v>410</v>
      </c>
      <c r="AJ23" s="7" t="s">
        <v>410</v>
      </c>
      <c r="AK23" s="7" t="s">
        <v>410</v>
      </c>
    </row>
    <row r="24" spans="1:37" x14ac:dyDescent="0.25">
      <c r="A24" s="13" t="str">
        <f ca="1"/>
        <v>0xD012</v>
      </c>
      <c r="B24" s="14" t="str">
        <f ca="1"/>
        <v>ShootingBankNameB</v>
      </c>
      <c r="D24" s="8" t="str">
        <f ca="1"/>
        <v>ShootingBankNameB</v>
      </c>
      <c r="E24" s="8" t="str">
        <f ca="1"/>
        <v>ShootingBankNameB</v>
      </c>
      <c r="F24" s="8" t="str">
        <f ca="1"/>
        <v/>
      </c>
      <c r="G24" s="8" t="str">
        <f ca="1"/>
        <v/>
      </c>
      <c r="H24" s="7" t="str">
        <f ca="1"/>
        <v/>
      </c>
      <c r="I24" s="7" t="str">
        <f ca="1"/>
        <v/>
      </c>
      <c r="J24" s="7" t="str">
        <f ca="1"/>
        <v/>
      </c>
      <c r="K24" s="7" t="str">
        <f ca="1"/>
        <v/>
      </c>
      <c r="L24" s="7" t="str">
        <f ca="1"/>
        <v>ShootingBankNameB</v>
      </c>
      <c r="M24" s="7" t="str">
        <f ca="1"/>
        <v>ShootingBankNameB</v>
      </c>
      <c r="N24" s="7" t="str">
        <f ca="1"/>
        <v>ShootingBankNameB</v>
      </c>
      <c r="O24" s="7" t="str">
        <f ca="1"/>
        <v>ShootingBankNameB</v>
      </c>
      <c r="P24" s="7" t="str">
        <f ca="1"/>
        <v>ShootingBankNameB</v>
      </c>
      <c r="Q24" s="7" t="str">
        <f ca="1"/>
        <v>ShootingBankNameB</v>
      </c>
      <c r="T24" s="7" t="str">
        <f ca="1"/>
        <v>Z8</v>
      </c>
      <c r="U24" s="7" t="str">
        <f ca="1"/>
        <v>0xD013</v>
      </c>
      <c r="V24" s="7" t="str">
        <f ca="1"/>
        <v>ShootingBankNameC</v>
      </c>
      <c r="X24" s="8" t="s">
        <v>411</v>
      </c>
      <c r="Y24" s="8" t="s">
        <v>411</v>
      </c>
      <c r="Z24" s="8" t="s">
        <v>411</v>
      </c>
      <c r="AA24" s="8" t="s">
        <v>411</v>
      </c>
      <c r="AB24" s="7" t="s">
        <v>411</v>
      </c>
      <c r="AC24" s="7" t="s">
        <v>411</v>
      </c>
      <c r="AD24" s="7" t="s">
        <v>411</v>
      </c>
      <c r="AE24" s="7" t="s">
        <v>411</v>
      </c>
      <c r="AF24" s="7" t="s">
        <v>411</v>
      </c>
      <c r="AG24" s="7" t="s">
        <v>411</v>
      </c>
      <c r="AH24" s="7" t="s">
        <v>411</v>
      </c>
      <c r="AI24" s="7" t="s">
        <v>411</v>
      </c>
      <c r="AJ24" s="7" t="s">
        <v>411</v>
      </c>
      <c r="AK24" s="7" t="s">
        <v>411</v>
      </c>
    </row>
    <row r="25" spans="1:37" x14ac:dyDescent="0.25">
      <c r="A25" s="13" t="str">
        <f ca="1"/>
        <v>0xD013</v>
      </c>
      <c r="B25" s="14" t="str">
        <f ca="1"/>
        <v>ShootingBankNameC</v>
      </c>
      <c r="D25" s="8" t="str">
        <f ca="1"/>
        <v>ShootingBankNameC</v>
      </c>
      <c r="E25" s="8" t="str">
        <f ca="1"/>
        <v>ShootingBankNameC</v>
      </c>
      <c r="F25" s="8" t="str">
        <f ca="1"/>
        <v/>
      </c>
      <c r="G25" s="8" t="str">
        <f ca="1"/>
        <v/>
      </c>
      <c r="H25" s="7" t="str">
        <f ca="1"/>
        <v/>
      </c>
      <c r="I25" s="7" t="str">
        <f ca="1"/>
        <v/>
      </c>
      <c r="J25" s="7" t="str">
        <f ca="1"/>
        <v/>
      </c>
      <c r="K25" s="7" t="str">
        <f ca="1"/>
        <v/>
      </c>
      <c r="L25" s="7" t="str">
        <f ca="1"/>
        <v>ShootingBankNameC</v>
      </c>
      <c r="M25" s="7" t="str">
        <f ca="1"/>
        <v>ShootingBankNameC</v>
      </c>
      <c r="N25" s="7" t="str">
        <f ca="1"/>
        <v>ShootingBankNameC</v>
      </c>
      <c r="O25" s="7" t="str">
        <f ca="1"/>
        <v>ShootingBankNameC</v>
      </c>
      <c r="P25" s="7" t="str">
        <f ca="1"/>
        <v>ShootingBankNameC</v>
      </c>
      <c r="Q25" s="7" t="str">
        <f ca="1"/>
        <v>ShootingBankNameC</v>
      </c>
      <c r="T25" s="7" t="str">
        <f ca="1"/>
        <v>Z8</v>
      </c>
      <c r="U25" s="7" t="str">
        <f ca="1"/>
        <v>0xD014</v>
      </c>
      <c r="V25" s="7" t="str">
        <f ca="1"/>
        <v>ShootingBankNameD</v>
      </c>
      <c r="X25" s="8" t="s">
        <v>412</v>
      </c>
      <c r="Y25" s="8" t="s">
        <v>412</v>
      </c>
      <c r="Z25" s="8" t="s">
        <v>412</v>
      </c>
      <c r="AA25" s="8" t="s">
        <v>412</v>
      </c>
      <c r="AB25" s="7" t="s">
        <v>412</v>
      </c>
      <c r="AC25" s="7" t="s">
        <v>412</v>
      </c>
      <c r="AD25" s="7" t="s">
        <v>412</v>
      </c>
      <c r="AE25" s="7" t="s">
        <v>412</v>
      </c>
      <c r="AF25" s="7" t="s">
        <v>412</v>
      </c>
      <c r="AG25" s="7" t="s">
        <v>412</v>
      </c>
      <c r="AH25" s="7" t="s">
        <v>412</v>
      </c>
      <c r="AI25" s="7" t="s">
        <v>412</v>
      </c>
      <c r="AJ25" s="7" t="s">
        <v>412</v>
      </c>
      <c r="AK25" s="7" t="s">
        <v>412</v>
      </c>
    </row>
    <row r="26" spans="1:37" x14ac:dyDescent="0.25">
      <c r="A26" s="13" t="str">
        <f ca="1"/>
        <v>0xD014</v>
      </c>
      <c r="B26" s="14" t="str">
        <f ca="1"/>
        <v>ShootingBankNameD</v>
      </c>
      <c r="D26" s="8" t="str">
        <f ca="1"/>
        <v>ShootingBankNameD</v>
      </c>
      <c r="E26" s="8" t="str">
        <f ca="1"/>
        <v>ShootingBankNameD</v>
      </c>
      <c r="F26" s="8" t="str">
        <f ca="1"/>
        <v/>
      </c>
      <c r="G26" s="8" t="str">
        <f ca="1"/>
        <v/>
      </c>
      <c r="H26" s="7" t="str">
        <f ca="1"/>
        <v/>
      </c>
      <c r="I26" s="7" t="str">
        <f ca="1"/>
        <v/>
      </c>
      <c r="J26" s="7" t="str">
        <f ca="1"/>
        <v/>
      </c>
      <c r="K26" s="7" t="str">
        <f ca="1"/>
        <v/>
      </c>
      <c r="L26" s="7" t="str">
        <f ca="1"/>
        <v>ShootingBankNameD</v>
      </c>
      <c r="M26" s="7" t="str">
        <f ca="1"/>
        <v>ShootingBankNameD</v>
      </c>
      <c r="N26" s="7" t="str">
        <f ca="1"/>
        <v>ShootingBankNameD</v>
      </c>
      <c r="O26" s="7" t="str">
        <f ca="1"/>
        <v>ShootingBankNameD</v>
      </c>
      <c r="P26" s="7" t="str">
        <f ca="1"/>
        <v>ShootingBankNameD</v>
      </c>
      <c r="Q26" s="7" t="str">
        <f ca="1"/>
        <v>ShootingBankNameD</v>
      </c>
      <c r="T26" s="7" t="str">
        <f ca="1"/>
        <v>Z8</v>
      </c>
      <c r="U26" s="7" t="str">
        <f ca="1"/>
        <v>0xD016</v>
      </c>
      <c r="V26" s="7" t="str">
        <f ca="1"/>
        <v>RawCompressionType</v>
      </c>
      <c r="X26" s="8" t="s">
        <v>413</v>
      </c>
      <c r="Y26" s="8" t="s">
        <v>413</v>
      </c>
      <c r="Z26" s="8" t="s">
        <v>413</v>
      </c>
      <c r="AA26" s="8" t="s">
        <v>413</v>
      </c>
      <c r="AB26" s="7" t="s">
        <v>413</v>
      </c>
      <c r="AC26" s="7" t="s">
        <v>413</v>
      </c>
      <c r="AD26" s="7" t="s">
        <v>413</v>
      </c>
      <c r="AE26" s="7" t="s">
        <v>413</v>
      </c>
      <c r="AF26" s="7" t="s">
        <v>413</v>
      </c>
      <c r="AG26" s="7" t="s">
        <v>413</v>
      </c>
      <c r="AH26" s="7" t="s">
        <v>413</v>
      </c>
      <c r="AI26" s="7" t="s">
        <v>413</v>
      </c>
      <c r="AJ26" s="7" t="s">
        <v>413</v>
      </c>
      <c r="AK26" s="7" t="s">
        <v>413</v>
      </c>
    </row>
    <row r="27" spans="1:37" x14ac:dyDescent="0.25">
      <c r="A27" s="13" t="str">
        <f ca="1"/>
        <v>0xD015</v>
      </c>
      <c r="B27" s="14" t="str">
        <f ca="1"/>
        <v>ResetShootingMenu</v>
      </c>
      <c r="D27" s="8" t="str">
        <f ca="1"/>
        <v/>
      </c>
      <c r="E27" s="8" t="str">
        <f ca="1"/>
        <v/>
      </c>
      <c r="F27" s="8" t="str">
        <f ca="1"/>
        <v/>
      </c>
      <c r="G27" s="8" t="str">
        <f ca="1"/>
        <v/>
      </c>
      <c r="H27" s="7" t="str">
        <f ca="1"/>
        <v>ResetShootingMenu</v>
      </c>
      <c r="I27" s="7" t="str">
        <f ca="1"/>
        <v>ResetShootingMenu</v>
      </c>
      <c r="J27" s="7" t="str">
        <f ca="1"/>
        <v>ResetShootingMenu</v>
      </c>
      <c r="K27" s="7" t="str">
        <f ca="1"/>
        <v>ResetShootingMenu</v>
      </c>
      <c r="L27" s="7" t="str">
        <f ca="1"/>
        <v/>
      </c>
      <c r="M27" s="7" t="str">
        <f ca="1"/>
        <v>ResetShootingMenu</v>
      </c>
      <c r="N27" s="7" t="str">
        <f ca="1"/>
        <v>ResetShootingMenu</v>
      </c>
      <c r="O27" s="7" t="str">
        <f ca="1"/>
        <v>ResetShootingMenu</v>
      </c>
      <c r="P27" s="7" t="str">
        <f ca="1"/>
        <v>ResetShootingMenu</v>
      </c>
      <c r="Q27" s="7" t="str">
        <f ca="1"/>
        <v>ResetShootingMenu</v>
      </c>
      <c r="T27" s="7" t="str">
        <f ca="1"/>
        <v>Z8</v>
      </c>
      <c r="U27" s="7" t="str">
        <f ca="1"/>
        <v>0xD017</v>
      </c>
      <c r="V27" s="7" t="str">
        <f ca="1"/>
        <v>WbTuneAuto</v>
      </c>
      <c r="X27" s="8" t="s">
        <v>414</v>
      </c>
      <c r="Y27" s="8" t="s">
        <v>414</v>
      </c>
      <c r="Z27" s="8" t="s">
        <v>414</v>
      </c>
      <c r="AA27" s="8" t="s">
        <v>414</v>
      </c>
      <c r="AB27" s="7" t="s">
        <v>414</v>
      </c>
      <c r="AC27" s="7" t="s">
        <v>414</v>
      </c>
      <c r="AD27" s="7" t="s">
        <v>414</v>
      </c>
      <c r="AE27" s="7" t="s">
        <v>414</v>
      </c>
      <c r="AF27" s="7" t="s">
        <v>414</v>
      </c>
      <c r="AG27" s="7" t="s">
        <v>414</v>
      </c>
      <c r="AH27" s="7" t="s">
        <v>414</v>
      </c>
      <c r="AI27" s="7" t="s">
        <v>414</v>
      </c>
      <c r="AJ27" s="7" t="s">
        <v>414</v>
      </c>
      <c r="AK27" s="7" t="s">
        <v>414</v>
      </c>
    </row>
    <row r="28" spans="1:37" x14ac:dyDescent="0.25">
      <c r="A28" s="13" t="str">
        <f ca="1"/>
        <v>0xD016</v>
      </c>
      <c r="B28" s="14" t="str">
        <f ca="1"/>
        <v>RawCompressionType</v>
      </c>
      <c r="D28" s="8" t="str">
        <f ca="1"/>
        <v>RawCompressionType</v>
      </c>
      <c r="E28" s="8" t="str">
        <f ca="1"/>
        <v>RawCompressionType</v>
      </c>
      <c r="F28" s="8" t="str">
        <f ca="1"/>
        <v>RawCompressionType</v>
      </c>
      <c r="G28" s="8" t="str">
        <f ca="1"/>
        <v>RawCompressionType</v>
      </c>
      <c r="H28" s="7" t="str">
        <f ca="1"/>
        <v/>
      </c>
      <c r="I28" s="7" t="str">
        <f ca="1"/>
        <v>RawCompressionType</v>
      </c>
      <c r="J28" s="7" t="str">
        <f ca="1"/>
        <v>RawCompressionType</v>
      </c>
      <c r="K28" s="7" t="str">
        <f ca="1"/>
        <v>RawCompressionType</v>
      </c>
      <c r="L28" s="7" t="str">
        <f ca="1"/>
        <v>RawCompressionType</v>
      </c>
      <c r="M28" s="7" t="str">
        <f ca="1"/>
        <v>RawCompressionType</v>
      </c>
      <c r="N28" s="7" t="str">
        <f ca="1"/>
        <v>RawCompressionType</v>
      </c>
      <c r="O28" s="7" t="str">
        <f ca="1"/>
        <v>RawCompressionType</v>
      </c>
      <c r="P28" s="7" t="str">
        <f ca="1"/>
        <v>RawCompressionType</v>
      </c>
      <c r="Q28" s="7" t="str">
        <f ca="1"/>
        <v>RawCompressionType</v>
      </c>
      <c r="T28" s="7" t="str">
        <f ca="1"/>
        <v>Z8</v>
      </c>
      <c r="U28" s="7" t="str">
        <f ca="1"/>
        <v>0xD018</v>
      </c>
      <c r="V28" s="7" t="str">
        <f ca="1"/>
        <v>WbTuneIncandescent</v>
      </c>
      <c r="X28" s="8" t="s">
        <v>415</v>
      </c>
      <c r="Y28" s="8" t="s">
        <v>415</v>
      </c>
      <c r="Z28" s="8" t="s">
        <v>415</v>
      </c>
      <c r="AA28" s="8" t="s">
        <v>415</v>
      </c>
      <c r="AB28" s="7" t="s">
        <v>415</v>
      </c>
      <c r="AC28" s="7" t="s">
        <v>415</v>
      </c>
      <c r="AD28" s="7" t="s">
        <v>415</v>
      </c>
      <c r="AE28" s="7" t="s">
        <v>415</v>
      </c>
      <c r="AF28" s="7" t="s">
        <v>415</v>
      </c>
      <c r="AG28" s="7" t="s">
        <v>415</v>
      </c>
      <c r="AH28" s="7" t="s">
        <v>415</v>
      </c>
      <c r="AI28" s="7" t="s">
        <v>415</v>
      </c>
      <c r="AJ28" s="7" t="s">
        <v>415</v>
      </c>
      <c r="AK28" s="7" t="s">
        <v>415</v>
      </c>
    </row>
    <row r="29" spans="1:37" x14ac:dyDescent="0.25">
      <c r="A29" s="13" t="str">
        <f ca="1"/>
        <v>0xD017</v>
      </c>
      <c r="B29" s="14" t="str">
        <f ca="1"/>
        <v>WbTuneAuto</v>
      </c>
      <c r="D29" s="8" t="str">
        <f ca="1"/>
        <v>WbTuneAuto</v>
      </c>
      <c r="E29" s="8" t="str">
        <f ca="1"/>
        <v>WbTuneAuto</v>
      </c>
      <c r="F29" s="8" t="str">
        <f ca="1"/>
        <v>WbTuneAuto</v>
      </c>
      <c r="G29" s="8" t="str">
        <f ca="1"/>
        <v>WbTuneAuto</v>
      </c>
      <c r="H29" s="7" t="str">
        <f ca="1"/>
        <v>WbTuneAuto</v>
      </c>
      <c r="I29" s="7" t="str">
        <f ca="1"/>
        <v>WbTuneAuto</v>
      </c>
      <c r="J29" s="7" t="str">
        <f ca="1"/>
        <v>WbTuneAuto</v>
      </c>
      <c r="K29" s="7" t="str">
        <f ca="1"/>
        <v>WbTuneAuto</v>
      </c>
      <c r="L29" s="7" t="str">
        <f ca="1"/>
        <v>WbTuneAuto</v>
      </c>
      <c r="M29" s="7" t="str">
        <f ca="1"/>
        <v>WbTuneAuto</v>
      </c>
      <c r="N29" s="7" t="str">
        <f ca="1"/>
        <v>WbTuneAuto</v>
      </c>
      <c r="O29" s="7" t="str">
        <f ca="1"/>
        <v>WbTuneAuto</v>
      </c>
      <c r="P29" s="7" t="str">
        <f ca="1"/>
        <v>WbTuneAuto</v>
      </c>
      <c r="Q29" s="7" t="str">
        <f ca="1"/>
        <v>WbTuneAuto</v>
      </c>
      <c r="T29" s="7" t="str">
        <f ca="1"/>
        <v>Z8</v>
      </c>
      <c r="U29" s="7" t="str">
        <f ca="1"/>
        <v>0xD019</v>
      </c>
      <c r="V29" s="7" t="str">
        <f ca="1"/>
        <v>WbTuneFluorescent</v>
      </c>
      <c r="X29" s="8" t="s">
        <v>416</v>
      </c>
      <c r="Y29" s="8" t="s">
        <v>416</v>
      </c>
      <c r="Z29" s="8" t="s">
        <v>416</v>
      </c>
      <c r="AA29" s="8" t="s">
        <v>416</v>
      </c>
      <c r="AB29" s="7" t="s">
        <v>416</v>
      </c>
      <c r="AC29" s="7" t="s">
        <v>416</v>
      </c>
      <c r="AD29" s="7" t="s">
        <v>416</v>
      </c>
      <c r="AE29" s="7" t="s">
        <v>416</v>
      </c>
      <c r="AF29" s="7" t="s">
        <v>416</v>
      </c>
      <c r="AG29" s="7" t="s">
        <v>416</v>
      </c>
      <c r="AH29" s="7" t="s">
        <v>416</v>
      </c>
      <c r="AI29" s="7" t="s">
        <v>416</v>
      </c>
      <c r="AJ29" s="7" t="s">
        <v>416</v>
      </c>
      <c r="AK29" s="7" t="s">
        <v>416</v>
      </c>
    </row>
    <row r="30" spans="1:37" x14ac:dyDescent="0.25">
      <c r="A30" s="13" t="str">
        <f ca="1"/>
        <v>0xD018</v>
      </c>
      <c r="B30" s="14" t="str">
        <f ca="1"/>
        <v>WbTuneIncandescent</v>
      </c>
      <c r="D30" s="8" t="str">
        <f ca="1"/>
        <v>WbTuneIncandescent</v>
      </c>
      <c r="E30" s="8" t="str">
        <f ca="1"/>
        <v>WbTuneIncandescent</v>
      </c>
      <c r="F30" s="8" t="str">
        <f ca="1"/>
        <v>WbTuneIncandescent</v>
      </c>
      <c r="G30" s="8" t="str">
        <f ca="1"/>
        <v>WbTuneIncandescent</v>
      </c>
      <c r="H30" s="7" t="str">
        <f ca="1"/>
        <v>WbTuneIncandescent</v>
      </c>
      <c r="I30" s="7" t="str">
        <f ca="1"/>
        <v>WbTuneIncandescent</v>
      </c>
      <c r="J30" s="7" t="str">
        <f ca="1"/>
        <v>WbTuneIncandescent</v>
      </c>
      <c r="K30" s="7" t="str">
        <f ca="1"/>
        <v>WbTuneIncandescent</v>
      </c>
      <c r="L30" s="7" t="str">
        <f ca="1"/>
        <v>WbTuneIncandescent</v>
      </c>
      <c r="M30" s="7" t="str">
        <f ca="1"/>
        <v>WbTuneIncandescent</v>
      </c>
      <c r="N30" s="7" t="str">
        <f ca="1"/>
        <v>WbTuneIncandescent</v>
      </c>
      <c r="O30" s="7" t="str">
        <f ca="1"/>
        <v>WbTuneIncandescent</v>
      </c>
      <c r="P30" s="7" t="str">
        <f ca="1"/>
        <v>WbTuneIncandescent</v>
      </c>
      <c r="Q30" s="7" t="str">
        <f ca="1"/>
        <v>WbTuneIncandescent</v>
      </c>
      <c r="T30" s="7" t="str">
        <f ca="1"/>
        <v>Z8</v>
      </c>
      <c r="U30" s="7" t="str">
        <f ca="1"/>
        <v>0xD01A</v>
      </c>
      <c r="V30" s="7" t="str">
        <f ca="1"/>
        <v>WbTuneSunny</v>
      </c>
      <c r="X30" s="8" t="s">
        <v>417</v>
      </c>
      <c r="Y30" s="8" t="s">
        <v>417</v>
      </c>
      <c r="Z30" s="8" t="s">
        <v>417</v>
      </c>
      <c r="AA30" s="8" t="s">
        <v>417</v>
      </c>
      <c r="AB30" s="7" t="s">
        <v>417</v>
      </c>
      <c r="AC30" s="7" t="s">
        <v>417</v>
      </c>
      <c r="AD30" s="7" t="s">
        <v>417</v>
      </c>
      <c r="AE30" s="7" t="s">
        <v>417</v>
      </c>
      <c r="AF30" s="7" t="s">
        <v>417</v>
      </c>
      <c r="AG30" s="7" t="s">
        <v>417</v>
      </c>
      <c r="AH30" s="7" t="s">
        <v>417</v>
      </c>
      <c r="AI30" s="7" t="s">
        <v>417</v>
      </c>
      <c r="AJ30" s="7" t="s">
        <v>417</v>
      </c>
      <c r="AK30" s="7" t="s">
        <v>417</v>
      </c>
    </row>
    <row r="31" spans="1:37" x14ac:dyDescent="0.25">
      <c r="A31" s="13" t="str">
        <f ca="1"/>
        <v>0xD019</v>
      </c>
      <c r="B31" s="14" t="str">
        <f ca="1"/>
        <v>WbTuneFluorescent</v>
      </c>
      <c r="D31" s="8" t="str">
        <f ca="1"/>
        <v>WbTuneFluorescent</v>
      </c>
      <c r="E31" s="8" t="str">
        <f ca="1"/>
        <v>WbTuneFluorescent</v>
      </c>
      <c r="F31" s="8" t="str">
        <f ca="1"/>
        <v>WbTuneFluorescent</v>
      </c>
      <c r="G31" s="8" t="str">
        <f ca="1"/>
        <v>WbTuneFluorescent</v>
      </c>
      <c r="H31" s="7" t="str">
        <f ca="1"/>
        <v>WbTuneFluorescent</v>
      </c>
      <c r="I31" s="7" t="str">
        <f ca="1"/>
        <v>WbTuneFluorescent</v>
      </c>
      <c r="J31" s="7" t="str">
        <f ca="1"/>
        <v>WbTuneFluorescent</v>
      </c>
      <c r="K31" s="7" t="str">
        <f ca="1"/>
        <v>WbTuneFluorescent</v>
      </c>
      <c r="L31" s="7" t="str">
        <f ca="1"/>
        <v>WbTuneFluorescent</v>
      </c>
      <c r="M31" s="7" t="str">
        <f ca="1"/>
        <v>WbTuneFluorescent</v>
      </c>
      <c r="N31" s="7" t="str">
        <f ca="1"/>
        <v>WbTuneFluorescent</v>
      </c>
      <c r="O31" s="7" t="str">
        <f ca="1"/>
        <v>WbTuneFluorescent</v>
      </c>
      <c r="P31" s="7" t="str">
        <f ca="1"/>
        <v>WbTuneFluorescent</v>
      </c>
      <c r="Q31" s="7" t="str">
        <f ca="1"/>
        <v>WbTuneFluorescent</v>
      </c>
      <c r="T31" s="7" t="str">
        <f ca="1"/>
        <v>Z8</v>
      </c>
      <c r="U31" s="7" t="str">
        <f ca="1"/>
        <v>0xD01B</v>
      </c>
      <c r="V31" s="7" t="str">
        <f ca="1"/>
        <v>WbTuneFlash</v>
      </c>
      <c r="X31" s="8" t="s">
        <v>418</v>
      </c>
      <c r="Y31" s="8" t="s">
        <v>418</v>
      </c>
      <c r="Z31" s="8" t="s">
        <v>418</v>
      </c>
      <c r="AA31" s="8" t="s">
        <v>418</v>
      </c>
      <c r="AB31" s="7" t="s">
        <v>418</v>
      </c>
      <c r="AC31" s="7" t="s">
        <v>418</v>
      </c>
      <c r="AD31" s="7" t="s">
        <v>418</v>
      </c>
      <c r="AE31" s="7" t="s">
        <v>418</v>
      </c>
      <c r="AF31" s="7" t="s">
        <v>418</v>
      </c>
      <c r="AG31" s="7" t="s">
        <v>418</v>
      </c>
      <c r="AH31" s="7" t="s">
        <v>418</v>
      </c>
      <c r="AI31" s="7" t="s">
        <v>418</v>
      </c>
      <c r="AJ31" s="7" t="s">
        <v>418</v>
      </c>
      <c r="AK31" s="7" t="s">
        <v>418</v>
      </c>
    </row>
    <row r="32" spans="1:37" x14ac:dyDescent="0.25">
      <c r="A32" s="13" t="str">
        <f ca="1"/>
        <v>0xD01A</v>
      </c>
      <c r="B32" s="14" t="str">
        <f ca="1"/>
        <v>WbTuneSunny</v>
      </c>
      <c r="D32" s="8" t="str">
        <f ca="1"/>
        <v>WbTuneSunny</v>
      </c>
      <c r="E32" s="8" t="str">
        <f ca="1"/>
        <v>WbTuneSunny</v>
      </c>
      <c r="F32" s="8" t="str">
        <f ca="1"/>
        <v>WbTuneSunny</v>
      </c>
      <c r="G32" s="8" t="str">
        <f ca="1"/>
        <v>WbTuneSunny</v>
      </c>
      <c r="H32" s="7" t="str">
        <f ca="1"/>
        <v>WbTuneSunny</v>
      </c>
      <c r="I32" s="7" t="str">
        <f ca="1"/>
        <v>WbTuneSunny</v>
      </c>
      <c r="J32" s="7" t="str">
        <f ca="1"/>
        <v>WbTuneSunny</v>
      </c>
      <c r="K32" s="7" t="str">
        <f ca="1"/>
        <v>WbTuneSunny</v>
      </c>
      <c r="L32" s="7" t="str">
        <f ca="1"/>
        <v>WbTuneSunny</v>
      </c>
      <c r="M32" s="7" t="str">
        <f ca="1"/>
        <v>WbTuneSunny</v>
      </c>
      <c r="N32" s="7" t="str">
        <f ca="1"/>
        <v>WbTuneSunny</v>
      </c>
      <c r="O32" s="7" t="str">
        <f ca="1"/>
        <v>WbTuneSunny</v>
      </c>
      <c r="P32" s="7" t="str">
        <f ca="1"/>
        <v>WbTuneSunny</v>
      </c>
      <c r="Q32" s="7" t="str">
        <f ca="1"/>
        <v>WbTuneSunny</v>
      </c>
      <c r="T32" s="7" t="str">
        <f ca="1"/>
        <v>Z8</v>
      </c>
      <c r="U32" s="7" t="str">
        <f ca="1"/>
        <v>0xD01C</v>
      </c>
      <c r="V32" s="7" t="str">
        <f ca="1"/>
        <v>WbTuneCloudy</v>
      </c>
      <c r="X32" s="8" t="s">
        <v>419</v>
      </c>
      <c r="Y32" s="8" t="s">
        <v>419</v>
      </c>
      <c r="Z32" s="8" t="s">
        <v>419</v>
      </c>
      <c r="AA32" s="8" t="s">
        <v>419</v>
      </c>
      <c r="AB32" s="7" t="s">
        <v>419</v>
      </c>
      <c r="AC32" s="7" t="s">
        <v>419</v>
      </c>
      <c r="AD32" s="7" t="s">
        <v>419</v>
      </c>
      <c r="AE32" s="7" t="s">
        <v>419</v>
      </c>
      <c r="AF32" s="7" t="s">
        <v>419</v>
      </c>
      <c r="AG32" s="7" t="s">
        <v>419</v>
      </c>
      <c r="AH32" s="7" t="s">
        <v>419</v>
      </c>
      <c r="AI32" s="7" t="s">
        <v>419</v>
      </c>
      <c r="AJ32" s="7" t="s">
        <v>419</v>
      </c>
      <c r="AK32" s="7" t="s">
        <v>419</v>
      </c>
    </row>
    <row r="33" spans="1:37" x14ac:dyDescent="0.25">
      <c r="A33" s="13" t="str">
        <f ca="1"/>
        <v>0xD01B</v>
      </c>
      <c r="B33" s="14" t="str">
        <f ca="1"/>
        <v>WbTuneFlash</v>
      </c>
      <c r="D33" s="8" t="str">
        <f ca="1"/>
        <v>WbTuneFlash</v>
      </c>
      <c r="E33" s="8" t="str">
        <f ca="1"/>
        <v>WbTuneFlash</v>
      </c>
      <c r="F33" s="8" t="str">
        <f ca="1"/>
        <v>WbTuneFlash</v>
      </c>
      <c r="G33" s="8" t="str">
        <f ca="1"/>
        <v>WbTuneFlash</v>
      </c>
      <c r="H33" s="7" t="str">
        <f ca="1"/>
        <v>WbTuneFlash</v>
      </c>
      <c r="I33" s="7" t="str">
        <f ca="1"/>
        <v>WbTuneFlash</v>
      </c>
      <c r="J33" s="7" t="str">
        <f ca="1"/>
        <v>WbTuneFlash</v>
      </c>
      <c r="K33" s="7" t="str">
        <f ca="1"/>
        <v>WbTuneFlash</v>
      </c>
      <c r="L33" s="7" t="str">
        <f ca="1"/>
        <v>WbTuneFlash</v>
      </c>
      <c r="M33" s="7" t="str">
        <f ca="1"/>
        <v>WbTuneFlash</v>
      </c>
      <c r="N33" s="7" t="str">
        <f ca="1"/>
        <v>WbTuneFlash</v>
      </c>
      <c r="O33" s="7" t="str">
        <f ca="1"/>
        <v>WbTuneFlash</v>
      </c>
      <c r="P33" s="7" t="str">
        <f ca="1"/>
        <v>WbTuneFlash</v>
      </c>
      <c r="Q33" s="7" t="str">
        <f ca="1"/>
        <v>WbTuneFlash</v>
      </c>
      <c r="T33" s="7" t="str">
        <f ca="1"/>
        <v>Z8</v>
      </c>
      <c r="U33" s="7" t="str">
        <f ca="1"/>
        <v>0xD01D</v>
      </c>
      <c r="V33" s="7" t="str">
        <f ca="1"/>
        <v>WbTuneShade</v>
      </c>
      <c r="X33" s="8" t="s">
        <v>420</v>
      </c>
      <c r="Y33" s="8" t="s">
        <v>420</v>
      </c>
      <c r="Z33" s="8" t="s">
        <v>420</v>
      </c>
      <c r="AA33" s="8" t="s">
        <v>420</v>
      </c>
      <c r="AB33" s="7" t="s">
        <v>420</v>
      </c>
      <c r="AC33" s="7" t="s">
        <v>420</v>
      </c>
      <c r="AD33" s="7" t="s">
        <v>420</v>
      </c>
      <c r="AE33" s="7" t="s">
        <v>420</v>
      </c>
      <c r="AF33" s="7" t="s">
        <v>420</v>
      </c>
      <c r="AG33" s="7" t="s">
        <v>420</v>
      </c>
      <c r="AH33" s="7" t="s">
        <v>420</v>
      </c>
      <c r="AI33" s="7" t="s">
        <v>420</v>
      </c>
      <c r="AJ33" s="7" t="s">
        <v>420</v>
      </c>
      <c r="AK33" s="7" t="s">
        <v>420</v>
      </c>
    </row>
    <row r="34" spans="1:37" x14ac:dyDescent="0.25">
      <c r="A34" s="13" t="str">
        <f ca="1"/>
        <v>0xD01C</v>
      </c>
      <c r="B34" s="14" t="str">
        <f ca="1"/>
        <v>WbTuneCloudy</v>
      </c>
      <c r="D34" s="8" t="str">
        <f ca="1"/>
        <v>WbTuneCloudy</v>
      </c>
      <c r="E34" s="8" t="str">
        <f ca="1"/>
        <v>WbTuneCloudy</v>
      </c>
      <c r="F34" s="8" t="str">
        <f ca="1"/>
        <v>WbTuneCloudy</v>
      </c>
      <c r="G34" s="8" t="str">
        <f ca="1"/>
        <v>WbTuneCloudy</v>
      </c>
      <c r="H34" s="7" t="str">
        <f ca="1"/>
        <v>WbTuneCloudy</v>
      </c>
      <c r="I34" s="7" t="str">
        <f ca="1"/>
        <v>WbTuneCloudy</v>
      </c>
      <c r="J34" s="7" t="str">
        <f ca="1"/>
        <v>WbTuneCloudy</v>
      </c>
      <c r="K34" s="7" t="str">
        <f ca="1"/>
        <v>WbTuneCloudy</v>
      </c>
      <c r="L34" s="7" t="str">
        <f ca="1"/>
        <v>WbTuneCloudy</v>
      </c>
      <c r="M34" s="7" t="str">
        <f ca="1"/>
        <v>WbTuneCloudy</v>
      </c>
      <c r="N34" s="7" t="str">
        <f ca="1"/>
        <v>WbTuneCloudy</v>
      </c>
      <c r="O34" s="7" t="str">
        <f ca="1"/>
        <v>WbTuneCloudy</v>
      </c>
      <c r="P34" s="7" t="str">
        <f ca="1"/>
        <v>WbTuneCloudy</v>
      </c>
      <c r="Q34" s="7" t="str">
        <f ca="1"/>
        <v>WbTuneCloudy</v>
      </c>
      <c r="T34" s="7" t="str">
        <f ca="1"/>
        <v>Z8</v>
      </c>
      <c r="U34" s="7" t="str">
        <f ca="1"/>
        <v>0xD01E</v>
      </c>
      <c r="V34" s="7" t="str">
        <f ca="1"/>
        <v>WbColorTemp</v>
      </c>
      <c r="X34" s="8" t="s">
        <v>421</v>
      </c>
      <c r="Y34" s="8" t="s">
        <v>421</v>
      </c>
      <c r="Z34" s="8" t="s">
        <v>421</v>
      </c>
      <c r="AA34" s="8" t="s">
        <v>421</v>
      </c>
      <c r="AB34" s="7" t="s">
        <v>421</v>
      </c>
      <c r="AC34" s="7" t="s">
        <v>421</v>
      </c>
      <c r="AD34" s="7" t="s">
        <v>421</v>
      </c>
      <c r="AE34" s="7" t="s">
        <v>421</v>
      </c>
      <c r="AF34" s="7" t="s">
        <v>421</v>
      </c>
      <c r="AG34" s="7" t="s">
        <v>421</v>
      </c>
      <c r="AH34" s="7" t="s">
        <v>421</v>
      </c>
      <c r="AI34" s="7" t="s">
        <v>421</v>
      </c>
      <c r="AJ34" s="7" t="s">
        <v>421</v>
      </c>
      <c r="AK34" s="7" t="s">
        <v>421</v>
      </c>
    </row>
    <row r="35" spans="1:37" x14ac:dyDescent="0.25">
      <c r="A35" s="13" t="str">
        <f ca="1"/>
        <v>0xD01D</v>
      </c>
      <c r="B35" s="14" t="str">
        <f ca="1"/>
        <v>WbTuneShade</v>
      </c>
      <c r="D35" s="8" t="str">
        <f ca="1"/>
        <v>WbTuneShade</v>
      </c>
      <c r="E35" s="8" t="str">
        <f ca="1"/>
        <v>WbTuneShade</v>
      </c>
      <c r="F35" s="8" t="str">
        <f ca="1"/>
        <v>WbTuneShade</v>
      </c>
      <c r="G35" s="8" t="str">
        <f ca="1"/>
        <v>WbTuneShade</v>
      </c>
      <c r="H35" s="7" t="str">
        <f ca="1"/>
        <v>WbTuneShade</v>
      </c>
      <c r="I35" s="7" t="str">
        <f ca="1"/>
        <v>WbTuneShade</v>
      </c>
      <c r="J35" s="7" t="str">
        <f ca="1"/>
        <v>WbTuneShade</v>
      </c>
      <c r="K35" s="7" t="str">
        <f ca="1"/>
        <v>WbTuneShade</v>
      </c>
      <c r="L35" s="7" t="str">
        <f ca="1"/>
        <v>WbTuneShade</v>
      </c>
      <c r="M35" s="7" t="str">
        <f ca="1"/>
        <v>WbTuneShade</v>
      </c>
      <c r="N35" s="7" t="str">
        <f ca="1"/>
        <v>WbTuneShade</v>
      </c>
      <c r="O35" s="7" t="str">
        <f ca="1"/>
        <v>WbTuneShade</v>
      </c>
      <c r="P35" s="7" t="str">
        <f ca="1"/>
        <v>WbTuneShade</v>
      </c>
      <c r="Q35" s="7" t="str">
        <f ca="1"/>
        <v>WbTuneShade</v>
      </c>
      <c r="T35" s="7" t="str">
        <f ca="1"/>
        <v>Z8</v>
      </c>
      <c r="U35" s="7" t="str">
        <f ca="1"/>
        <v>0xD01F</v>
      </c>
      <c r="V35" s="7" t="str">
        <f ca="1"/>
        <v>WbPresetDataNo</v>
      </c>
      <c r="X35" s="8" t="s">
        <v>422</v>
      </c>
      <c r="Y35" s="8" t="s">
        <v>422</v>
      </c>
      <c r="Z35" s="8" t="s">
        <v>422</v>
      </c>
      <c r="AA35" s="8" t="s">
        <v>422</v>
      </c>
      <c r="AB35" s="7" t="s">
        <v>1512</v>
      </c>
      <c r="AC35" s="7" t="s">
        <v>1512</v>
      </c>
      <c r="AD35" s="7" t="s">
        <v>1512</v>
      </c>
      <c r="AE35" s="7" t="s">
        <v>1512</v>
      </c>
      <c r="AF35" s="7" t="s">
        <v>1512</v>
      </c>
      <c r="AG35" s="7" t="s">
        <v>1512</v>
      </c>
      <c r="AH35" s="7" t="s">
        <v>1512</v>
      </c>
      <c r="AI35" s="7" t="s">
        <v>1512</v>
      </c>
      <c r="AJ35" s="7" t="s">
        <v>1512</v>
      </c>
      <c r="AK35" s="7" t="s">
        <v>1512</v>
      </c>
    </row>
    <row r="36" spans="1:37" x14ac:dyDescent="0.25">
      <c r="A36" s="13" t="str">
        <f ca="1"/>
        <v>0xD01E</v>
      </c>
      <c r="B36" s="14" t="str">
        <f ca="1"/>
        <v>WbColorTemp</v>
      </c>
      <c r="D36" s="8" t="str">
        <f ca="1"/>
        <v>WbColorTemp</v>
      </c>
      <c r="E36" s="8" t="str">
        <f ca="1"/>
        <v>WbColorTemp</v>
      </c>
      <c r="F36" s="8" t="str">
        <f ca="1"/>
        <v>WbColorTemp</v>
      </c>
      <c r="G36" s="8" t="str">
        <f ca="1"/>
        <v>WbColorTemp</v>
      </c>
      <c r="H36" s="7" t="str">
        <f ca="1"/>
        <v>WbColorTemp</v>
      </c>
      <c r="I36" s="7" t="str">
        <f ca="1"/>
        <v>WbColorTemp</v>
      </c>
      <c r="J36" s="7" t="str">
        <f ca="1"/>
        <v>WbColorTemp</v>
      </c>
      <c r="K36" s="7" t="str">
        <f ca="1"/>
        <v>WbColorTemp</v>
      </c>
      <c r="L36" s="7" t="str">
        <f ca="1"/>
        <v>WbColorTemp</v>
      </c>
      <c r="M36" s="7" t="str">
        <f ca="1"/>
        <v>WbColorTemp</v>
      </c>
      <c r="N36" s="7" t="str">
        <f ca="1"/>
        <v>WbColorTemp</v>
      </c>
      <c r="O36" s="7" t="str">
        <f ca="1"/>
        <v>WbColorTemp</v>
      </c>
      <c r="P36" s="7" t="str">
        <f ca="1"/>
        <v>WbColorTemp</v>
      </c>
      <c r="Q36" s="7" t="str">
        <f ca="1"/>
        <v>WbColorTemp</v>
      </c>
      <c r="T36" s="7" t="str">
        <f ca="1"/>
        <v>Z8</v>
      </c>
      <c r="U36" s="7" t="str">
        <f ca="1"/>
        <v>0xD021</v>
      </c>
      <c r="V36" s="7" t="str">
        <f ca="1"/>
        <v>WbPresetDataComment1</v>
      </c>
      <c r="X36" s="8" t="s">
        <v>423</v>
      </c>
      <c r="Y36" s="8" t="s">
        <v>423</v>
      </c>
      <c r="Z36" s="8" t="s">
        <v>423</v>
      </c>
      <c r="AA36" s="8" t="s">
        <v>423</v>
      </c>
      <c r="AB36" s="7" t="s">
        <v>1513</v>
      </c>
      <c r="AC36" s="7" t="s">
        <v>1513</v>
      </c>
      <c r="AD36" s="7" t="s">
        <v>1513</v>
      </c>
      <c r="AE36" s="7" t="s">
        <v>1513</v>
      </c>
      <c r="AF36" s="7" t="s">
        <v>1513</v>
      </c>
      <c r="AG36" s="7" t="s">
        <v>1513</v>
      </c>
      <c r="AH36" s="7" t="s">
        <v>1513</v>
      </c>
      <c r="AI36" s="7" t="s">
        <v>1513</v>
      </c>
      <c r="AJ36" s="7" t="s">
        <v>1513</v>
      </c>
      <c r="AK36" s="7" t="s">
        <v>1513</v>
      </c>
    </row>
    <row r="37" spans="1:37" x14ac:dyDescent="0.25">
      <c r="A37" s="13" t="str">
        <f ca="1"/>
        <v>0xD01F</v>
      </c>
      <c r="B37" s="14" t="str">
        <f ca="1"/>
        <v>WbPresetDataNo</v>
      </c>
      <c r="D37" s="8" t="str">
        <f ca="1"/>
        <v>WbPresetDataNo</v>
      </c>
      <c r="E37" s="8" t="str">
        <f ca="1"/>
        <v>WbPresetDataNo</v>
      </c>
      <c r="F37" s="8" t="str">
        <f ca="1"/>
        <v>WbPresetDataNo</v>
      </c>
      <c r="G37" s="8" t="str">
        <f ca="1"/>
        <v>WbPresetDataNo</v>
      </c>
      <c r="H37" s="7" t="str">
        <f ca="1"/>
        <v>WbPresetDataNo</v>
      </c>
      <c r="I37" s="7" t="str">
        <f ca="1"/>
        <v>WbPresetDataNo</v>
      </c>
      <c r="J37" s="7" t="str">
        <f ca="1"/>
        <v>WbPresetDataNo</v>
      </c>
      <c r="K37" s="7" t="str">
        <f ca="1"/>
        <v>WbPresetDataNo</v>
      </c>
      <c r="L37" s="7" t="str">
        <f ca="1"/>
        <v>WbPresetDataNo</v>
      </c>
      <c r="M37" s="7" t="str">
        <f ca="1"/>
        <v>WbPresetDataNo</v>
      </c>
      <c r="N37" s="7" t="str">
        <f ca="1"/>
        <v>WbPresetDataNo</v>
      </c>
      <c r="O37" s="7" t="str">
        <f ca="1"/>
        <v>WbPresetDataNo</v>
      </c>
      <c r="P37" s="7" t="str">
        <f ca="1"/>
        <v>WbPresetDataNo</v>
      </c>
      <c r="Q37" s="7" t="str">
        <f ca="1"/>
        <v>WbPresetDataNo</v>
      </c>
      <c r="T37" s="7" t="str">
        <f ca="1"/>
        <v>Z8</v>
      </c>
      <c r="U37" s="7" t="str">
        <f ca="1"/>
        <v>0xD022</v>
      </c>
      <c r="V37" s="7" t="str">
        <f ca="1"/>
        <v>WbPresetDataComment2</v>
      </c>
      <c r="X37" s="8" t="s">
        <v>424</v>
      </c>
      <c r="Y37" s="8" t="s">
        <v>424</v>
      </c>
      <c r="Z37" s="8" t="s">
        <v>424</v>
      </c>
      <c r="AA37" s="8" t="s">
        <v>424</v>
      </c>
      <c r="AB37" s="7" t="s">
        <v>422</v>
      </c>
      <c r="AC37" s="7" t="s">
        <v>422</v>
      </c>
      <c r="AD37" s="7" t="s">
        <v>422</v>
      </c>
      <c r="AE37" s="7" t="s">
        <v>422</v>
      </c>
      <c r="AF37" s="7" t="s">
        <v>422</v>
      </c>
      <c r="AG37" s="7" t="s">
        <v>422</v>
      </c>
      <c r="AH37" s="7" t="s">
        <v>422</v>
      </c>
      <c r="AI37" s="7" t="s">
        <v>422</v>
      </c>
      <c r="AJ37" s="7" t="s">
        <v>422</v>
      </c>
      <c r="AK37" s="7" t="s">
        <v>426</v>
      </c>
    </row>
    <row r="38" spans="1:37" x14ac:dyDescent="0.25">
      <c r="A38" s="13" t="str">
        <f ca="1"/>
        <v>0xD020</v>
      </c>
      <c r="B38" s="14" t="str">
        <f ca="1"/>
        <v>WbPresetDataComment0</v>
      </c>
      <c r="D38" s="8" t="str">
        <f ca="1"/>
        <v/>
      </c>
      <c r="E38" s="8" t="str">
        <f ca="1"/>
        <v/>
      </c>
      <c r="F38" s="8" t="str">
        <f ca="1"/>
        <v/>
      </c>
      <c r="G38" s="8" t="str">
        <f ca="1"/>
        <v/>
      </c>
      <c r="H38" s="7" t="str">
        <f ca="1"/>
        <v/>
      </c>
      <c r="I38" s="7" t="str">
        <f ca="1"/>
        <v/>
      </c>
      <c r="J38" s="7" t="str">
        <f ca="1"/>
        <v/>
      </c>
      <c r="K38" s="7" t="str">
        <f ca="1"/>
        <v/>
      </c>
      <c r="L38" s="7" t="str">
        <f ca="1"/>
        <v/>
      </c>
      <c r="M38" s="7" t="str">
        <f ca="1"/>
        <v/>
      </c>
      <c r="N38" s="7" t="str">
        <f ca="1"/>
        <v/>
      </c>
      <c r="O38" s="7" t="str">
        <f ca="1"/>
        <v/>
      </c>
      <c r="P38" s="7" t="str">
        <f ca="1"/>
        <v>WbPresetDataComment0</v>
      </c>
      <c r="Q38" s="7" t="str">
        <f ca="1"/>
        <v>WbPresetDataComment0</v>
      </c>
      <c r="T38" s="7" t="str">
        <f ca="1"/>
        <v>Z8</v>
      </c>
      <c r="U38" s="7" t="str">
        <f ca="1"/>
        <v>0xD023</v>
      </c>
      <c r="V38" s="7" t="str">
        <f ca="1"/>
        <v>WbPresetDataComment3</v>
      </c>
      <c r="X38" s="8" t="s">
        <v>425</v>
      </c>
      <c r="Y38" s="8" t="s">
        <v>425</v>
      </c>
      <c r="Z38" s="8" t="s">
        <v>425</v>
      </c>
      <c r="AA38" s="8" t="s">
        <v>425</v>
      </c>
      <c r="AB38" s="7" t="s">
        <v>423</v>
      </c>
      <c r="AC38" s="7" t="s">
        <v>423</v>
      </c>
      <c r="AD38" s="7" t="s">
        <v>423</v>
      </c>
      <c r="AE38" s="7" t="s">
        <v>423</v>
      </c>
      <c r="AF38" s="7" t="s">
        <v>423</v>
      </c>
      <c r="AG38" s="7" t="s">
        <v>423</v>
      </c>
      <c r="AH38" s="7" t="s">
        <v>423</v>
      </c>
      <c r="AI38" s="7" t="s">
        <v>423</v>
      </c>
      <c r="AJ38" s="7" t="s">
        <v>423</v>
      </c>
      <c r="AK38" s="7" t="s">
        <v>427</v>
      </c>
    </row>
    <row r="39" spans="1:37" x14ac:dyDescent="0.25">
      <c r="A39" s="13" t="str">
        <f ca="1"/>
        <v>0xD021</v>
      </c>
      <c r="B39" s="14" t="str">
        <f ca="1"/>
        <v>WbPresetDataComment1</v>
      </c>
      <c r="D39" s="8" t="str">
        <f ca="1"/>
        <v>WbPresetDataComment1</v>
      </c>
      <c r="E39" s="8" t="str">
        <f ca="1"/>
        <v>WbPresetDataComment1</v>
      </c>
      <c r="F39" s="8" t="str">
        <f ca="1"/>
        <v>WbPresetDataComment1</v>
      </c>
      <c r="G39" s="8" t="str">
        <f ca="1"/>
        <v>WbPresetDataComment1</v>
      </c>
      <c r="H39" s="7" t="str">
        <f ca="1"/>
        <v>WbPresetDataComment1</v>
      </c>
      <c r="I39" s="7" t="str">
        <f ca="1"/>
        <v>WbPresetDataComment1</v>
      </c>
      <c r="J39" s="7" t="str">
        <f ca="1"/>
        <v>WbPresetDataComment1</v>
      </c>
      <c r="K39" s="7" t="str">
        <f ca="1"/>
        <v>WbPresetDataComment1</v>
      </c>
      <c r="L39" s="7" t="str">
        <f ca="1"/>
        <v>WbPresetDataComment1</v>
      </c>
      <c r="M39" s="7" t="str">
        <f ca="1"/>
        <v>WbPresetDataComment1</v>
      </c>
      <c r="N39" s="7" t="str">
        <f ca="1"/>
        <v>WbPresetDataComment1</v>
      </c>
      <c r="O39" s="7" t="str">
        <f ca="1"/>
        <v>WbPresetDataComment1</v>
      </c>
      <c r="P39" s="7" t="str">
        <f ca="1"/>
        <v>WbPresetDataComment1</v>
      </c>
      <c r="Q39" s="7" t="str">
        <f ca="1"/>
        <v>WbPresetDataComment1</v>
      </c>
      <c r="T39" s="7" t="str">
        <f ca="1"/>
        <v>Z8</v>
      </c>
      <c r="U39" s="7" t="str">
        <f ca="1"/>
        <v>0xD024</v>
      </c>
      <c r="V39" s="7" t="str">
        <f ca="1"/>
        <v>WbPresetDataComment4</v>
      </c>
      <c r="X39" s="8" t="s">
        <v>426</v>
      </c>
      <c r="Y39" s="8" t="s">
        <v>426</v>
      </c>
      <c r="Z39" s="8" t="s">
        <v>436</v>
      </c>
      <c r="AA39" s="8" t="s">
        <v>436</v>
      </c>
      <c r="AB39" s="7" t="s">
        <v>424</v>
      </c>
      <c r="AC39" s="7" t="s">
        <v>424</v>
      </c>
      <c r="AD39" s="7" t="s">
        <v>424</v>
      </c>
      <c r="AE39" s="7" t="s">
        <v>424</v>
      </c>
      <c r="AF39" s="7" t="s">
        <v>424</v>
      </c>
      <c r="AG39" s="7" t="s">
        <v>424</v>
      </c>
      <c r="AH39" s="7" t="s">
        <v>424</v>
      </c>
      <c r="AI39" s="7" t="s">
        <v>424</v>
      </c>
      <c r="AJ39" s="7" t="s">
        <v>424</v>
      </c>
      <c r="AK39" s="7" t="s">
        <v>428</v>
      </c>
    </row>
    <row r="40" spans="1:37" x14ac:dyDescent="0.25">
      <c r="A40" s="13" t="str">
        <f ca="1"/>
        <v>0xD022</v>
      </c>
      <c r="B40" s="14" t="str">
        <f ca="1"/>
        <v>WbPresetDataComment2</v>
      </c>
      <c r="D40" s="8" t="str">
        <f ca="1"/>
        <v>WbPresetDataComment2</v>
      </c>
      <c r="E40" s="8" t="str">
        <f ca="1"/>
        <v>WbPresetDataComment2</v>
      </c>
      <c r="F40" s="8" t="str">
        <f ca="1"/>
        <v>WbPresetDataComment2</v>
      </c>
      <c r="G40" s="8" t="str">
        <f ca="1"/>
        <v>WbPresetDataComment2</v>
      </c>
      <c r="H40" s="7" t="str">
        <f ca="1"/>
        <v>WbPresetDataComment2</v>
      </c>
      <c r="I40" s="7" t="str">
        <f ca="1"/>
        <v>WbPresetDataComment2</v>
      </c>
      <c r="J40" s="7" t="str">
        <f ca="1"/>
        <v>WbPresetDataComment2</v>
      </c>
      <c r="K40" s="7" t="str">
        <f ca="1"/>
        <v>WbPresetDataComment2</v>
      </c>
      <c r="L40" s="7" t="str">
        <f ca="1"/>
        <v>WbPresetDataComment2</v>
      </c>
      <c r="M40" s="7" t="str">
        <f ca="1"/>
        <v>WbPresetDataComment2</v>
      </c>
      <c r="N40" s="7" t="str">
        <f ca="1"/>
        <v>WbPresetDataComment2</v>
      </c>
      <c r="O40" s="7" t="str">
        <f ca="1"/>
        <v>WbPresetDataComment2</v>
      </c>
      <c r="P40" s="7" t="str">
        <f ca="1"/>
        <v>WbPresetDataComment2</v>
      </c>
      <c r="Q40" s="7" t="str">
        <f ca="1"/>
        <v>WbPresetDataComment2</v>
      </c>
      <c r="T40" s="7" t="str">
        <f ca="1"/>
        <v>Z8</v>
      </c>
      <c r="U40" s="7" t="str">
        <f ca="1"/>
        <v>0xD026</v>
      </c>
      <c r="V40" s="7" t="str">
        <f ca="1"/>
        <v>WbPresetDataValue1</v>
      </c>
      <c r="X40" s="8" t="s">
        <v>427</v>
      </c>
      <c r="Y40" s="8" t="s">
        <v>427</v>
      </c>
      <c r="Z40" s="8" t="s">
        <v>437</v>
      </c>
      <c r="AA40" s="8" t="s">
        <v>437</v>
      </c>
      <c r="AB40" s="7" t="s">
        <v>425</v>
      </c>
      <c r="AC40" s="7" t="s">
        <v>425</v>
      </c>
      <c r="AD40" s="7" t="s">
        <v>425</v>
      </c>
      <c r="AE40" s="7" t="s">
        <v>425</v>
      </c>
      <c r="AF40" s="7" t="s">
        <v>425</v>
      </c>
      <c r="AG40" s="7" t="s">
        <v>425</v>
      </c>
      <c r="AH40" s="7" t="s">
        <v>425</v>
      </c>
      <c r="AI40" s="7" t="s">
        <v>425</v>
      </c>
      <c r="AJ40" s="7" t="s">
        <v>425</v>
      </c>
      <c r="AK40" s="7" t="s">
        <v>429</v>
      </c>
    </row>
    <row r="41" spans="1:37" x14ac:dyDescent="0.25">
      <c r="A41" s="13" t="str">
        <f ca="1"/>
        <v>0xD023</v>
      </c>
      <c r="B41" s="14" t="str">
        <f ca="1"/>
        <v>WbPresetDataComment3</v>
      </c>
      <c r="D41" s="8" t="str">
        <f ca="1"/>
        <v>WbPresetDataComment3</v>
      </c>
      <c r="E41" s="8" t="str">
        <f ca="1"/>
        <v>WbPresetDataComment3</v>
      </c>
      <c r="F41" s="8" t="str">
        <f ca="1"/>
        <v>WbPresetDataComment3</v>
      </c>
      <c r="G41" s="8" t="str">
        <f ca="1"/>
        <v>WbPresetDataComment3</v>
      </c>
      <c r="H41" s="7" t="str">
        <f ca="1"/>
        <v>WbPresetDataComment3</v>
      </c>
      <c r="I41" s="7" t="str">
        <f ca="1"/>
        <v>WbPresetDataComment3</v>
      </c>
      <c r="J41" s="7" t="str">
        <f ca="1"/>
        <v>WbPresetDataComment3</v>
      </c>
      <c r="K41" s="7" t="str">
        <f ca="1"/>
        <v>WbPresetDataComment3</v>
      </c>
      <c r="L41" s="7" t="str">
        <f ca="1"/>
        <v>WbPresetDataComment3</v>
      </c>
      <c r="M41" s="7" t="str">
        <f ca="1"/>
        <v>WbPresetDataComment3</v>
      </c>
      <c r="N41" s="7" t="str">
        <f ca="1"/>
        <v>WbPresetDataComment3</v>
      </c>
      <c r="O41" s="7" t="str">
        <f ca="1"/>
        <v>WbPresetDataComment3</v>
      </c>
      <c r="P41" s="7" t="str">
        <f ca="1"/>
        <v>WbPresetDataComment3</v>
      </c>
      <c r="Q41" s="7" t="str">
        <f ca="1"/>
        <v>WbPresetDataComment3</v>
      </c>
      <c r="T41" s="7" t="str">
        <f ca="1"/>
        <v>Z8</v>
      </c>
      <c r="U41" s="7" t="str">
        <f ca="1"/>
        <v>0xD027</v>
      </c>
      <c r="V41" s="7" t="str">
        <f ca="1"/>
        <v>WbPresetDataValue2</v>
      </c>
      <c r="X41" s="8" t="s">
        <v>428</v>
      </c>
      <c r="Y41" s="8" t="s">
        <v>428</v>
      </c>
      <c r="Z41" s="8" t="s">
        <v>438</v>
      </c>
      <c r="AA41" s="8" t="s">
        <v>438</v>
      </c>
      <c r="AB41" s="7" t="s">
        <v>1514</v>
      </c>
      <c r="AC41" s="7" t="s">
        <v>1514</v>
      </c>
      <c r="AD41" s="7" t="s">
        <v>1514</v>
      </c>
      <c r="AE41" s="7" t="s">
        <v>1514</v>
      </c>
      <c r="AF41" s="7" t="s">
        <v>426</v>
      </c>
      <c r="AG41" s="7" t="s">
        <v>426</v>
      </c>
      <c r="AH41" s="7" t="s">
        <v>426</v>
      </c>
      <c r="AI41" s="7" t="s">
        <v>426</v>
      </c>
      <c r="AJ41" s="7" t="s">
        <v>426</v>
      </c>
      <c r="AK41" s="7" t="s">
        <v>430</v>
      </c>
    </row>
    <row r="42" spans="1:37" x14ac:dyDescent="0.25">
      <c r="A42" s="13" t="str">
        <f ca="1"/>
        <v>0xD024</v>
      </c>
      <c r="B42" s="14" t="str">
        <f ca="1"/>
        <v>WbPresetDataComment4</v>
      </c>
      <c r="D42" s="8" t="str">
        <f ca="1"/>
        <v>WbPresetDataComment4</v>
      </c>
      <c r="E42" s="8" t="str">
        <f ca="1"/>
        <v>WbPresetDataComment4</v>
      </c>
      <c r="F42" s="8" t="str">
        <f ca="1"/>
        <v>WbPresetDataComment4</v>
      </c>
      <c r="G42" s="8" t="str">
        <f ca="1"/>
        <v>WbPresetDataComment4</v>
      </c>
      <c r="H42" s="7" t="str">
        <f ca="1"/>
        <v>WbPresetDataComment4</v>
      </c>
      <c r="I42" s="7" t="str">
        <f ca="1"/>
        <v>WbPresetDataComment4</v>
      </c>
      <c r="J42" s="7" t="str">
        <f ca="1"/>
        <v>WbPresetDataComment4</v>
      </c>
      <c r="K42" s="7" t="str">
        <f ca="1"/>
        <v>WbPresetDataComment4</v>
      </c>
      <c r="L42" s="7" t="str">
        <f ca="1"/>
        <v>WbPresetDataComment4</v>
      </c>
      <c r="M42" s="7" t="str">
        <f ca="1"/>
        <v>WbPresetDataComment4</v>
      </c>
      <c r="N42" s="7" t="str">
        <f ca="1"/>
        <v>WbPresetDataComment4</v>
      </c>
      <c r="O42" s="7" t="str">
        <f ca="1"/>
        <v>WbPresetDataComment4</v>
      </c>
      <c r="P42" s="7" t="str">
        <f ca="1"/>
        <v>WbPresetDataComment4</v>
      </c>
      <c r="Q42" s="7" t="str">
        <f ca="1"/>
        <v>WbPresetDataComment4</v>
      </c>
      <c r="T42" s="7" t="str">
        <f ca="1"/>
        <v>Z8</v>
      </c>
      <c r="U42" s="7" t="str">
        <f ca="1"/>
        <v>0xD028</v>
      </c>
      <c r="V42" s="7" t="str">
        <f ca="1"/>
        <v>WbPresetDataValue3</v>
      </c>
      <c r="X42" s="8" t="s">
        <v>429</v>
      </c>
      <c r="Y42" s="8" t="s">
        <v>429</v>
      </c>
      <c r="Z42" s="8" t="s">
        <v>439</v>
      </c>
      <c r="AA42" s="8" t="s">
        <v>439</v>
      </c>
      <c r="AB42" s="7" t="s">
        <v>1515</v>
      </c>
      <c r="AC42" s="7" t="s">
        <v>1515</v>
      </c>
      <c r="AD42" s="7" t="s">
        <v>1515</v>
      </c>
      <c r="AE42" s="7" t="s">
        <v>1515</v>
      </c>
      <c r="AF42" s="7" t="s">
        <v>427</v>
      </c>
      <c r="AG42" s="7" t="s">
        <v>427</v>
      </c>
      <c r="AH42" s="7" t="s">
        <v>427</v>
      </c>
      <c r="AI42" s="7" t="s">
        <v>427</v>
      </c>
      <c r="AJ42" s="7" t="s">
        <v>427</v>
      </c>
      <c r="AK42" s="7" t="s">
        <v>431</v>
      </c>
    </row>
    <row r="43" spans="1:37" x14ac:dyDescent="0.25">
      <c r="A43" s="13" t="str">
        <f ca="1"/>
        <v>0xD025</v>
      </c>
      <c r="B43" s="14" t="str">
        <f ca="1"/>
        <v>WbPresetDataValue0</v>
      </c>
      <c r="D43" s="8" t="str">
        <f ca="1"/>
        <v/>
      </c>
      <c r="E43" s="8" t="str">
        <f ca="1"/>
        <v/>
      </c>
      <c r="F43" s="8" t="str">
        <f ca="1"/>
        <v/>
      </c>
      <c r="G43" s="8" t="str">
        <f ca="1"/>
        <v/>
      </c>
      <c r="H43" s="7" t="str">
        <f ca="1"/>
        <v/>
      </c>
      <c r="I43" s="7" t="str">
        <f ca="1"/>
        <v/>
      </c>
      <c r="J43" s="7" t="str">
        <f ca="1"/>
        <v/>
      </c>
      <c r="K43" s="7" t="str">
        <f ca="1"/>
        <v/>
      </c>
      <c r="L43" s="7" t="str">
        <f ca="1"/>
        <v/>
      </c>
      <c r="M43" s="7" t="str">
        <f ca="1"/>
        <v/>
      </c>
      <c r="N43" s="7" t="str">
        <f ca="1"/>
        <v/>
      </c>
      <c r="O43" s="7" t="str">
        <f ca="1"/>
        <v/>
      </c>
      <c r="P43" s="7" t="str">
        <f ca="1"/>
        <v>WbPresetDataValue0</v>
      </c>
      <c r="Q43" s="7" t="str">
        <f ca="1"/>
        <v>WbPresetDataValue0</v>
      </c>
      <c r="T43" s="7" t="str">
        <f ca="1"/>
        <v>Z8</v>
      </c>
      <c r="U43" s="7" t="str">
        <f ca="1"/>
        <v>0xD029</v>
      </c>
      <c r="V43" s="7" t="str">
        <f ca="1"/>
        <v>WbPresetDataValue4</v>
      </c>
      <c r="X43" s="8" t="s">
        <v>430</v>
      </c>
      <c r="Y43" s="8" t="s">
        <v>430</v>
      </c>
      <c r="Z43" s="8" t="s">
        <v>440</v>
      </c>
      <c r="AA43" s="8" t="s">
        <v>440</v>
      </c>
      <c r="AB43" s="7" t="s">
        <v>438</v>
      </c>
      <c r="AC43" s="7" t="s">
        <v>436</v>
      </c>
      <c r="AD43" s="7" t="s">
        <v>436</v>
      </c>
      <c r="AE43" s="7" t="s">
        <v>436</v>
      </c>
      <c r="AF43" s="7" t="s">
        <v>428</v>
      </c>
      <c r="AG43" s="7" t="s">
        <v>428</v>
      </c>
      <c r="AH43" s="7" t="s">
        <v>428</v>
      </c>
      <c r="AI43" s="7" t="s">
        <v>428</v>
      </c>
      <c r="AJ43" s="7" t="s">
        <v>428</v>
      </c>
      <c r="AK43" s="7" t="s">
        <v>432</v>
      </c>
    </row>
    <row r="44" spans="1:37" x14ac:dyDescent="0.25">
      <c r="A44" s="13" t="str">
        <f ca="1"/>
        <v>0xD026</v>
      </c>
      <c r="B44" s="14" t="str">
        <f ca="1"/>
        <v>WbPresetDataValue1</v>
      </c>
      <c r="D44" s="8" t="str">
        <f ca="1"/>
        <v>WbPresetDataValue1</v>
      </c>
      <c r="E44" s="8" t="str">
        <f ca="1"/>
        <v>WbPresetDataValue1</v>
      </c>
      <c r="F44" s="8" t="str">
        <f ca="1"/>
        <v>WbPresetDataValue1</v>
      </c>
      <c r="G44" s="8" t="str">
        <f ca="1"/>
        <v>WbPresetDataValue1</v>
      </c>
      <c r="H44" s="7" t="str">
        <f ca="1"/>
        <v>WbPresetDataValue1</v>
      </c>
      <c r="I44" s="7" t="str">
        <f ca="1"/>
        <v>WbPresetDataValue1</v>
      </c>
      <c r="J44" s="7" t="str">
        <f ca="1"/>
        <v>WbPresetDataValue1</v>
      </c>
      <c r="K44" s="7" t="str">
        <f ca="1"/>
        <v>WbPresetDataValue1</v>
      </c>
      <c r="L44" s="7" t="str">
        <f ca="1"/>
        <v>WbPresetDataValue1</v>
      </c>
      <c r="M44" s="7" t="str">
        <f ca="1"/>
        <v>WbPresetDataValue1</v>
      </c>
      <c r="N44" s="7" t="str">
        <f ca="1"/>
        <v>WbPresetDataValue1</v>
      </c>
      <c r="O44" s="7" t="str">
        <f ca="1"/>
        <v>WbPresetDataValue1</v>
      </c>
      <c r="P44" s="7" t="str">
        <f ca="1"/>
        <v>WbPresetDataValue1</v>
      </c>
      <c r="Q44" s="7" t="str">
        <f ca="1"/>
        <v>WbPresetDataValue1</v>
      </c>
      <c r="T44" s="7" t="str">
        <f ca="1"/>
        <v>Z8</v>
      </c>
      <c r="U44" s="7" t="str">
        <f ca="1"/>
        <v>0xD030</v>
      </c>
      <c r="V44" s="7" t="str">
        <f ca="1"/>
        <v>CaptureAreaCrop</v>
      </c>
      <c r="X44" s="8" t="s">
        <v>431</v>
      </c>
      <c r="Y44" s="8" t="s">
        <v>431</v>
      </c>
      <c r="Z44" s="8" t="s">
        <v>441</v>
      </c>
      <c r="AA44" s="8" t="s">
        <v>441</v>
      </c>
      <c r="AB44" s="7" t="s">
        <v>439</v>
      </c>
      <c r="AC44" s="7" t="s">
        <v>437</v>
      </c>
      <c r="AD44" s="7" t="s">
        <v>437</v>
      </c>
      <c r="AE44" s="7" t="s">
        <v>437</v>
      </c>
      <c r="AF44" s="7" t="s">
        <v>429</v>
      </c>
      <c r="AG44" s="7" t="s">
        <v>429</v>
      </c>
      <c r="AH44" s="7" t="s">
        <v>429</v>
      </c>
      <c r="AI44" s="7" t="s">
        <v>429</v>
      </c>
      <c r="AJ44" s="7" t="s">
        <v>429</v>
      </c>
      <c r="AK44" s="7" t="s">
        <v>433</v>
      </c>
    </row>
    <row r="45" spans="1:37" x14ac:dyDescent="0.25">
      <c r="A45" s="13" t="str">
        <f ca="1"/>
        <v>0xD027</v>
      </c>
      <c r="B45" s="14" t="str">
        <f ca="1"/>
        <v>WbPresetDataValue2</v>
      </c>
      <c r="D45" s="8" t="str">
        <f ca="1"/>
        <v>WbPresetDataValue2</v>
      </c>
      <c r="E45" s="8" t="str">
        <f ca="1"/>
        <v>WbPresetDataValue2</v>
      </c>
      <c r="F45" s="8" t="str">
        <f ca="1"/>
        <v>WbPresetDataValue2</v>
      </c>
      <c r="G45" s="8" t="str">
        <f ca="1"/>
        <v>WbPresetDataValue2</v>
      </c>
      <c r="H45" s="7" t="str">
        <f ca="1"/>
        <v>WbPresetDataValue2</v>
      </c>
      <c r="I45" s="7" t="str">
        <f ca="1"/>
        <v>WbPresetDataValue2</v>
      </c>
      <c r="J45" s="7" t="str">
        <f ca="1"/>
        <v>WbPresetDataValue2</v>
      </c>
      <c r="K45" s="7" t="str">
        <f ca="1"/>
        <v>WbPresetDataValue2</v>
      </c>
      <c r="L45" s="7" t="str">
        <f ca="1"/>
        <v>WbPresetDataValue2</v>
      </c>
      <c r="M45" s="7" t="str">
        <f ca="1"/>
        <v>WbPresetDataValue2</v>
      </c>
      <c r="N45" s="7" t="str">
        <f ca="1"/>
        <v>WbPresetDataValue2</v>
      </c>
      <c r="O45" s="7" t="str">
        <f ca="1"/>
        <v>WbPresetDataValue2</v>
      </c>
      <c r="P45" s="7" t="str">
        <f ca="1"/>
        <v>WbPresetDataValue2</v>
      </c>
      <c r="Q45" s="7" t="str">
        <f ca="1"/>
        <v>WbPresetDataValue2</v>
      </c>
      <c r="T45" s="7" t="str">
        <f ca="1"/>
        <v>Z8</v>
      </c>
      <c r="U45" s="7" t="str">
        <f ca="1"/>
        <v>0xD032</v>
      </c>
      <c r="V45" s="7" t="str">
        <f ca="1"/>
        <v>ColorSpace</v>
      </c>
      <c r="X45" s="8" t="s">
        <v>432</v>
      </c>
      <c r="Y45" s="8" t="s">
        <v>432</v>
      </c>
      <c r="Z45" s="8" t="s">
        <v>442</v>
      </c>
      <c r="AA45" s="8" t="s">
        <v>442</v>
      </c>
      <c r="AB45" s="7" t="s">
        <v>440</v>
      </c>
      <c r="AC45" s="7" t="s">
        <v>438</v>
      </c>
      <c r="AD45" s="7" t="s">
        <v>438</v>
      </c>
      <c r="AE45" s="7" t="s">
        <v>438</v>
      </c>
      <c r="AF45" s="7" t="s">
        <v>430</v>
      </c>
      <c r="AG45" s="7" t="s">
        <v>430</v>
      </c>
      <c r="AH45" s="7" t="s">
        <v>430</v>
      </c>
      <c r="AI45" s="7" t="s">
        <v>430</v>
      </c>
      <c r="AJ45" s="7" t="s">
        <v>430</v>
      </c>
      <c r="AK45" s="7" t="s">
        <v>434</v>
      </c>
    </row>
    <row r="46" spans="1:37" x14ac:dyDescent="0.25">
      <c r="A46" s="13" t="str">
        <f ca="1"/>
        <v>0xD028</v>
      </c>
      <c r="B46" s="14" t="str">
        <f ca="1"/>
        <v>WbPresetDataValue3</v>
      </c>
      <c r="D46" s="8" t="str">
        <f ca="1"/>
        <v>WbPresetDataValue3</v>
      </c>
      <c r="E46" s="8" t="str">
        <f ca="1"/>
        <v>WbPresetDataValue3</v>
      </c>
      <c r="F46" s="8" t="str">
        <f ca="1"/>
        <v>WbPresetDataValue3</v>
      </c>
      <c r="G46" s="8" t="str">
        <f ca="1"/>
        <v>WbPresetDataValue3</v>
      </c>
      <c r="H46" s="7" t="str">
        <f ca="1"/>
        <v>WbPresetDataValue3</v>
      </c>
      <c r="I46" s="7" t="str">
        <f ca="1"/>
        <v>WbPresetDataValue3</v>
      </c>
      <c r="J46" s="7" t="str">
        <f ca="1"/>
        <v>WbPresetDataValue3</v>
      </c>
      <c r="K46" s="7" t="str">
        <f ca="1"/>
        <v>WbPresetDataValue3</v>
      </c>
      <c r="L46" s="7" t="str">
        <f ca="1"/>
        <v>WbPresetDataValue3</v>
      </c>
      <c r="M46" s="7" t="str">
        <f ca="1"/>
        <v>WbPresetDataValue3</v>
      </c>
      <c r="N46" s="7" t="str">
        <f ca="1"/>
        <v>WbPresetDataValue3</v>
      </c>
      <c r="O46" s="7" t="str">
        <f ca="1"/>
        <v>WbPresetDataValue3</v>
      </c>
      <c r="P46" s="7" t="str">
        <f ca="1"/>
        <v>WbPresetDataValue3</v>
      </c>
      <c r="Q46" s="7" t="str">
        <f ca="1"/>
        <v>WbPresetDataValue3</v>
      </c>
      <c r="T46" s="7" t="str">
        <f ca="1"/>
        <v>Z8</v>
      </c>
      <c r="U46" s="7" t="str">
        <f ca="1"/>
        <v>0xD034</v>
      </c>
      <c r="V46" s="7" t="str">
        <f ca="1"/>
        <v>DecreaseFlicker</v>
      </c>
      <c r="X46" s="8" t="s">
        <v>433</v>
      </c>
      <c r="Y46" s="8" t="s">
        <v>433</v>
      </c>
      <c r="Z46" s="8" t="s">
        <v>443</v>
      </c>
      <c r="AA46" s="8" t="s">
        <v>443</v>
      </c>
      <c r="AB46" s="7" t="s">
        <v>441</v>
      </c>
      <c r="AC46" s="7" t="s">
        <v>439</v>
      </c>
      <c r="AD46" s="7" t="s">
        <v>439</v>
      </c>
      <c r="AE46" s="7" t="s">
        <v>439</v>
      </c>
      <c r="AF46" s="7" t="s">
        <v>431</v>
      </c>
      <c r="AG46" s="7" t="s">
        <v>431</v>
      </c>
      <c r="AH46" s="7" t="s">
        <v>431</v>
      </c>
      <c r="AI46" s="7" t="s">
        <v>431</v>
      </c>
      <c r="AJ46" s="7" t="s">
        <v>431</v>
      </c>
      <c r="AK46" s="7" t="s">
        <v>435</v>
      </c>
    </row>
    <row r="47" spans="1:37" x14ac:dyDescent="0.25">
      <c r="A47" s="13" t="str">
        <f ca="1"/>
        <v>0xD029</v>
      </c>
      <c r="B47" s="14" t="str">
        <f ca="1"/>
        <v>WbPresetDataValue4</v>
      </c>
      <c r="D47" s="8" t="str">
        <f ca="1"/>
        <v>WbPresetDataValue4</v>
      </c>
      <c r="E47" s="8" t="str">
        <f ca="1"/>
        <v>WbPresetDataValue4</v>
      </c>
      <c r="F47" s="8" t="str">
        <f ca="1"/>
        <v>WbPresetDataValue4</v>
      </c>
      <c r="G47" s="8" t="str">
        <f ca="1"/>
        <v>WbPresetDataValue4</v>
      </c>
      <c r="H47" s="7" t="str">
        <f ca="1"/>
        <v>WbPresetDataValue4</v>
      </c>
      <c r="I47" s="7" t="str">
        <f ca="1"/>
        <v>WbPresetDataValue4</v>
      </c>
      <c r="J47" s="7" t="str">
        <f ca="1"/>
        <v>WbPresetDataValue4</v>
      </c>
      <c r="K47" s="7" t="str">
        <f ca="1"/>
        <v>WbPresetDataValue4</v>
      </c>
      <c r="L47" s="7" t="str">
        <f ca="1"/>
        <v>WbPresetDataValue4</v>
      </c>
      <c r="M47" s="7" t="str">
        <f ca="1"/>
        <v>WbPresetDataValue4</v>
      </c>
      <c r="N47" s="7" t="str">
        <f ca="1"/>
        <v>WbPresetDataValue4</v>
      </c>
      <c r="O47" s="7" t="str">
        <f ca="1"/>
        <v>WbPresetDataValue4</v>
      </c>
      <c r="P47" s="7" t="str">
        <f ca="1"/>
        <v>WbPresetDataValue4</v>
      </c>
      <c r="Q47" s="7" t="str">
        <f ca="1"/>
        <v>WbPresetDataValue4</v>
      </c>
      <c r="T47" s="7" t="str">
        <f ca="1"/>
        <v>Z8</v>
      </c>
      <c r="U47" s="7" t="str">
        <f ca="1"/>
        <v>0xD038</v>
      </c>
      <c r="V47" s="7" t="str">
        <f ca="1"/>
        <v>WbPresetDataComment5</v>
      </c>
      <c r="X47" s="8" t="s">
        <v>434</v>
      </c>
      <c r="Y47" s="8" t="s">
        <v>434</v>
      </c>
      <c r="Z47" s="8" t="s">
        <v>444</v>
      </c>
      <c r="AA47" s="8" t="s">
        <v>444</v>
      </c>
      <c r="AB47" s="7" t="s">
        <v>442</v>
      </c>
      <c r="AC47" s="7" t="s">
        <v>440</v>
      </c>
      <c r="AD47" s="7" t="s">
        <v>440</v>
      </c>
      <c r="AE47" s="7" t="s">
        <v>440</v>
      </c>
      <c r="AF47" s="7" t="s">
        <v>432</v>
      </c>
      <c r="AG47" s="7" t="s">
        <v>432</v>
      </c>
      <c r="AH47" s="7" t="s">
        <v>432</v>
      </c>
      <c r="AI47" s="7" t="s">
        <v>432</v>
      </c>
      <c r="AJ47" s="7" t="s">
        <v>432</v>
      </c>
      <c r="AK47" s="7" t="s">
        <v>1514</v>
      </c>
    </row>
    <row r="48" spans="1:37" x14ac:dyDescent="0.25">
      <c r="A48" s="13" t="str">
        <f ca="1"/>
        <v>0xD02E</v>
      </c>
      <c r="B48" s="14" t="str">
        <f ca="1"/>
        <v>FmmManualSetting</v>
      </c>
      <c r="D48" s="8" t="str">
        <f ca="1"/>
        <v/>
      </c>
      <c r="E48" s="8" t="str">
        <f ca="1"/>
        <v/>
      </c>
      <c r="F48" s="8" t="str">
        <f ca="1"/>
        <v>FmmManualSetting</v>
      </c>
      <c r="G48" s="8" t="str">
        <f ca="1"/>
        <v>FmmManualSetting</v>
      </c>
      <c r="H48" s="7" t="str">
        <f ca="1"/>
        <v/>
      </c>
      <c r="I48" s="7" t="str">
        <f ca="1"/>
        <v>FmmManualSetting</v>
      </c>
      <c r="J48" s="7" t="str">
        <f ca="1"/>
        <v>FmmManualSetting</v>
      </c>
      <c r="K48" s="7" t="str">
        <f ca="1"/>
        <v>FmmManualSetting</v>
      </c>
      <c r="L48" s="7" t="str">
        <f ca="1"/>
        <v>FmmManualSetting</v>
      </c>
      <c r="M48" s="7" t="str">
        <f ca="1"/>
        <v>FmmManualSetting</v>
      </c>
      <c r="N48" s="7" t="str">
        <f ca="1"/>
        <v>FmmManualSetting</v>
      </c>
      <c r="O48" s="7" t="str">
        <f ca="1"/>
        <v>FmmManualSetting</v>
      </c>
      <c r="P48" s="7" t="str">
        <f ca="1"/>
        <v>FmmManualSetting</v>
      </c>
      <c r="Q48" s="7" t="str">
        <f ca="1"/>
        <v>FmmManualSetting</v>
      </c>
      <c r="T48" s="7" t="str">
        <f ca="1"/>
        <v>Z8</v>
      </c>
      <c r="U48" s="7" t="str">
        <f ca="1"/>
        <v>0xD039</v>
      </c>
      <c r="V48" s="7" t="str">
        <f ca="1"/>
        <v>WbPresetDataComment6</v>
      </c>
      <c r="X48" s="8" t="s">
        <v>435</v>
      </c>
      <c r="Y48" s="8" t="s">
        <v>435</v>
      </c>
      <c r="Z48" s="8" t="s">
        <v>445</v>
      </c>
      <c r="AA48" s="8" t="s">
        <v>445</v>
      </c>
      <c r="AB48" s="7" t="s">
        <v>443</v>
      </c>
      <c r="AC48" s="7" t="s">
        <v>441</v>
      </c>
      <c r="AD48" s="7" t="s">
        <v>441</v>
      </c>
      <c r="AE48" s="7" t="s">
        <v>441</v>
      </c>
      <c r="AF48" s="7" t="s">
        <v>433</v>
      </c>
      <c r="AG48" s="7" t="s">
        <v>433</v>
      </c>
      <c r="AH48" s="7" t="s">
        <v>433</v>
      </c>
      <c r="AI48" s="7" t="s">
        <v>433</v>
      </c>
      <c r="AJ48" s="7" t="s">
        <v>433</v>
      </c>
      <c r="AK48" s="7" t="s">
        <v>1515</v>
      </c>
    </row>
    <row r="49" spans="1:37" x14ac:dyDescent="0.25">
      <c r="A49" s="13" t="str">
        <f ca="1"/>
        <v>0xD02F</v>
      </c>
      <c r="B49" s="14" t="str">
        <f ca="1"/>
        <v>F0ManualSetting</v>
      </c>
      <c r="D49" s="8" t="str">
        <f ca="1"/>
        <v/>
      </c>
      <c r="E49" s="8" t="str">
        <f ca="1"/>
        <v/>
      </c>
      <c r="F49" s="8" t="str">
        <f ca="1"/>
        <v>F0ManualSetting</v>
      </c>
      <c r="G49" s="8" t="str">
        <f ca="1"/>
        <v>F0ManualSetting</v>
      </c>
      <c r="H49" s="7" t="str">
        <f ca="1"/>
        <v/>
      </c>
      <c r="I49" s="7" t="str">
        <f ca="1"/>
        <v>F0ManualSetting</v>
      </c>
      <c r="J49" s="7" t="str">
        <f ca="1"/>
        <v>F0ManualSetting</v>
      </c>
      <c r="K49" s="7" t="str">
        <f ca="1"/>
        <v>F0ManualSetting</v>
      </c>
      <c r="L49" s="7" t="str">
        <f ca="1"/>
        <v>F0ManualSetting</v>
      </c>
      <c r="M49" s="7" t="str">
        <f ca="1"/>
        <v>F0ManualSetting</v>
      </c>
      <c r="N49" s="7" t="str">
        <f ca="1"/>
        <v>F0ManualSetting</v>
      </c>
      <c r="O49" s="7" t="str">
        <f ca="1"/>
        <v>F0ManualSetting</v>
      </c>
      <c r="P49" s="7" t="str">
        <f ca="1"/>
        <v>F0ManualSetting</v>
      </c>
      <c r="Q49" s="7" t="str">
        <f ca="1"/>
        <v>F0ManualSetting</v>
      </c>
      <c r="T49" s="7" t="str">
        <f ca="1"/>
        <v>Z8</v>
      </c>
      <c r="U49" s="7" t="str">
        <f ca="1"/>
        <v>0xD03A</v>
      </c>
      <c r="V49" s="7" t="str">
        <f ca="1"/>
        <v>WbTunePreset5</v>
      </c>
      <c r="X49" s="8" t="s">
        <v>436</v>
      </c>
      <c r="Y49" s="8" t="s">
        <v>436</v>
      </c>
      <c r="Z49" s="8" t="s">
        <v>446</v>
      </c>
      <c r="AA49" s="8" t="s">
        <v>446</v>
      </c>
      <c r="AB49" s="7" t="s">
        <v>444</v>
      </c>
      <c r="AC49" s="7" t="s">
        <v>442</v>
      </c>
      <c r="AD49" s="7" t="s">
        <v>442</v>
      </c>
      <c r="AE49" s="7" t="s">
        <v>442</v>
      </c>
      <c r="AF49" s="7" t="s">
        <v>434</v>
      </c>
      <c r="AG49" s="7" t="s">
        <v>434</v>
      </c>
      <c r="AH49" s="7" t="s">
        <v>434</v>
      </c>
      <c r="AI49" s="7" t="s">
        <v>434</v>
      </c>
      <c r="AJ49" s="7" t="s">
        <v>434</v>
      </c>
      <c r="AK49" s="7" t="s">
        <v>436</v>
      </c>
    </row>
    <row r="50" spans="1:37" x14ac:dyDescent="0.25">
      <c r="A50" s="13" t="str">
        <f ca="1"/>
        <v>0xD030</v>
      </c>
      <c r="B50" s="14" t="str">
        <f ca="1"/>
        <v>CaptureAreaCrop</v>
      </c>
      <c r="D50" s="8" t="str">
        <f ca="1"/>
        <v>CaptureAreaCrop</v>
      </c>
      <c r="E50" s="8" t="str">
        <f ca="1"/>
        <v>CaptureAreaCrop</v>
      </c>
      <c r="F50" s="8" t="str">
        <f ca="1"/>
        <v>CaptureAreaCrop</v>
      </c>
      <c r="G50" s="8" t="str">
        <f ca="1"/>
        <v>CaptureAreaCrop</v>
      </c>
      <c r="H50" s="7" t="str">
        <f ca="1"/>
        <v>CaptureAreaCrop</v>
      </c>
      <c r="I50" s="7" t="str">
        <f ca="1"/>
        <v>CaptureAreaCrop</v>
      </c>
      <c r="J50" s="7" t="str">
        <f ca="1"/>
        <v>CaptureAreaCrop</v>
      </c>
      <c r="K50" s="7" t="str">
        <f ca="1"/>
        <v>CaptureAreaCrop</v>
      </c>
      <c r="L50" s="7" t="str">
        <f ca="1"/>
        <v>CaptureAreaCrop</v>
      </c>
      <c r="M50" s="7" t="str">
        <f ca="1"/>
        <v>CaptureAreaCrop</v>
      </c>
      <c r="N50" s="7" t="str">
        <f ca="1"/>
        <v>CaptureAreaCrop</v>
      </c>
      <c r="O50" s="7" t="str">
        <f ca="1"/>
        <v>CaptureAreaCrop</v>
      </c>
      <c r="P50" s="7" t="str">
        <f ca="1"/>
        <v>CaptureAreaCrop</v>
      </c>
      <c r="Q50" s="7" t="str">
        <f ca="1"/>
        <v>ShootingMode</v>
      </c>
      <c r="T50" s="7" t="str">
        <f ca="1"/>
        <v>Z8</v>
      </c>
      <c r="U50" s="7" t="str">
        <f ca="1"/>
        <v>0xD03B</v>
      </c>
      <c r="V50" s="7" t="str">
        <f ca="1"/>
        <v>WbTunePreset6</v>
      </c>
      <c r="X50" s="8" t="s">
        <v>437</v>
      </c>
      <c r="Y50" s="8" t="s">
        <v>437</v>
      </c>
      <c r="Z50" s="8" t="s">
        <v>447</v>
      </c>
      <c r="AA50" s="8" t="s">
        <v>447</v>
      </c>
      <c r="AB50" s="7" t="s">
        <v>445</v>
      </c>
      <c r="AC50" s="7" t="s">
        <v>443</v>
      </c>
      <c r="AD50" s="7" t="s">
        <v>443</v>
      </c>
      <c r="AE50" s="7" t="s">
        <v>443</v>
      </c>
      <c r="AF50" s="7" t="s">
        <v>435</v>
      </c>
      <c r="AG50" s="7" t="s">
        <v>435</v>
      </c>
      <c r="AH50" s="7" t="s">
        <v>435</v>
      </c>
      <c r="AI50" s="7" t="s">
        <v>435</v>
      </c>
      <c r="AJ50" s="7" t="s">
        <v>435</v>
      </c>
      <c r="AK50" s="7" t="s">
        <v>437</v>
      </c>
    </row>
    <row r="51" spans="1:37" x14ac:dyDescent="0.25">
      <c r="A51" s="13" t="str">
        <f ca="1"/>
        <v>0xD031</v>
      </c>
      <c r="B51" s="14" t="str">
        <f ca="1"/>
        <v>JpegCompressionPolicy</v>
      </c>
      <c r="D51" s="8" t="str">
        <f ca="1"/>
        <v/>
      </c>
      <c r="E51" s="8" t="str">
        <f ca="1"/>
        <v/>
      </c>
      <c r="F51" s="8" t="str">
        <f ca="1"/>
        <v/>
      </c>
      <c r="G51" s="8" t="str">
        <f ca="1"/>
        <v/>
      </c>
      <c r="H51" s="7" t="str">
        <f ca="1"/>
        <v/>
      </c>
      <c r="I51" s="7" t="str">
        <f ca="1"/>
        <v/>
      </c>
      <c r="J51" s="7" t="str">
        <f ca="1"/>
        <v/>
      </c>
      <c r="K51" s="7" t="str">
        <f ca="1"/>
        <v/>
      </c>
      <c r="L51" s="7" t="str">
        <f ca="1"/>
        <v/>
      </c>
      <c r="M51" s="7" t="str">
        <f ca="1"/>
        <v/>
      </c>
      <c r="N51" s="7" t="str">
        <f ca="1"/>
        <v>JpegCompressionPolicy</v>
      </c>
      <c r="O51" s="7" t="str">
        <f ca="1"/>
        <v>JpegCompressionPolicy</v>
      </c>
      <c r="P51" s="7" t="str">
        <f ca="1"/>
        <v>JpegCompressionPolicy</v>
      </c>
      <c r="Q51" s="7" t="str">
        <f ca="1"/>
        <v>JpegCompressionPolicy</v>
      </c>
      <c r="T51" s="7" t="str">
        <f ca="1"/>
        <v>Z8</v>
      </c>
      <c r="U51" s="7" t="str">
        <f ca="1"/>
        <v>0xD03C</v>
      </c>
      <c r="V51" s="7" t="str">
        <f ca="1"/>
        <v>WbPresetProtect5</v>
      </c>
      <c r="X51" s="8" t="s">
        <v>438</v>
      </c>
      <c r="Y51" s="8" t="s">
        <v>438</v>
      </c>
      <c r="Z51" s="8" t="s">
        <v>448</v>
      </c>
      <c r="AA51" s="8" t="s">
        <v>448</v>
      </c>
      <c r="AB51" s="7" t="s">
        <v>446</v>
      </c>
      <c r="AC51" s="7" t="s">
        <v>444</v>
      </c>
      <c r="AD51" s="7" t="s">
        <v>444</v>
      </c>
      <c r="AE51" s="7" t="s">
        <v>444</v>
      </c>
      <c r="AF51" s="7" t="s">
        <v>436</v>
      </c>
      <c r="AG51" s="7" t="s">
        <v>1514</v>
      </c>
      <c r="AH51" s="7" t="s">
        <v>1514</v>
      </c>
      <c r="AI51" s="7" t="s">
        <v>1514</v>
      </c>
      <c r="AJ51" s="7" t="s">
        <v>1514</v>
      </c>
      <c r="AK51" s="7" t="s">
        <v>438</v>
      </c>
    </row>
    <row r="52" spans="1:37" x14ac:dyDescent="0.25">
      <c r="A52" s="13" t="str">
        <f ca="1"/>
        <v>0xD032</v>
      </c>
      <c r="B52" s="14" t="str">
        <f ca="1"/>
        <v>ColorSpace</v>
      </c>
      <c r="D52" s="8" t="str">
        <f ca="1"/>
        <v>ColorSpace</v>
      </c>
      <c r="E52" s="8" t="str">
        <f ca="1"/>
        <v>ColorSpace</v>
      </c>
      <c r="F52" s="8" t="str">
        <f ca="1"/>
        <v>ColorSpace</v>
      </c>
      <c r="G52" s="8" t="str">
        <f ca="1"/>
        <v>ColorSpace</v>
      </c>
      <c r="H52" s="7" t="str">
        <f ca="1"/>
        <v>ColorSpace</v>
      </c>
      <c r="I52" s="7" t="str">
        <f ca="1"/>
        <v>ColorSpace</v>
      </c>
      <c r="J52" s="7" t="str">
        <f ca="1"/>
        <v>ColorSpace</v>
      </c>
      <c r="K52" s="7" t="str">
        <f ca="1"/>
        <v>ColorSpace</v>
      </c>
      <c r="L52" s="7" t="str">
        <f ca="1"/>
        <v>ColorSpace</v>
      </c>
      <c r="M52" s="7" t="str">
        <f ca="1"/>
        <v>ColorSpace</v>
      </c>
      <c r="N52" s="7" t="str">
        <f ca="1"/>
        <v>ColorSpace</v>
      </c>
      <c r="O52" s="7" t="str">
        <f ca="1"/>
        <v>ColorSpace</v>
      </c>
      <c r="P52" s="7" t="str">
        <f ca="1"/>
        <v>ColorSpace</v>
      </c>
      <c r="Q52" s="7" t="str">
        <f ca="1"/>
        <v>ColorSpace</v>
      </c>
      <c r="T52" s="7" t="str">
        <f ca="1"/>
        <v>Z8</v>
      </c>
      <c r="U52" s="7" t="str">
        <f ca="1"/>
        <v>0xD03D</v>
      </c>
      <c r="V52" s="7" t="str">
        <f ca="1"/>
        <v>WbPresetProtect6</v>
      </c>
      <c r="X52" s="8" t="s">
        <v>439</v>
      </c>
      <c r="Y52" s="8" t="s">
        <v>439</v>
      </c>
      <c r="Z52" s="8" t="s">
        <v>449</v>
      </c>
      <c r="AA52" s="8" t="s">
        <v>449</v>
      </c>
      <c r="AB52" s="7" t="s">
        <v>447</v>
      </c>
      <c r="AC52" s="7" t="s">
        <v>445</v>
      </c>
      <c r="AD52" s="7" t="s">
        <v>445</v>
      </c>
      <c r="AE52" s="7" t="s">
        <v>445</v>
      </c>
      <c r="AF52" s="7" t="s">
        <v>437</v>
      </c>
      <c r="AG52" s="7" t="s">
        <v>1515</v>
      </c>
      <c r="AH52" s="7" t="s">
        <v>1515</v>
      </c>
      <c r="AI52" s="7" t="s">
        <v>1515</v>
      </c>
      <c r="AJ52" s="7" t="s">
        <v>1515</v>
      </c>
      <c r="AK52" s="7" t="s">
        <v>439</v>
      </c>
    </row>
    <row r="53" spans="1:37" x14ac:dyDescent="0.25">
      <c r="A53" s="13" t="str">
        <f ca="1"/>
        <v>0xD033</v>
      </c>
      <c r="B53" s="14" t="str">
        <f ca="1"/>
        <v>AutoDxCrop</v>
      </c>
      <c r="D53" s="8" t="str">
        <f ca="1"/>
        <v/>
      </c>
      <c r="E53" s="8" t="str">
        <f ca="1"/>
        <v/>
      </c>
      <c r="F53" s="8" t="str">
        <f ca="1"/>
        <v/>
      </c>
      <c r="G53" s="8" t="str">
        <f ca="1"/>
        <v/>
      </c>
      <c r="H53" s="7" t="str">
        <f ca="1"/>
        <v/>
      </c>
      <c r="I53" s="7" t="str">
        <f ca="1"/>
        <v/>
      </c>
      <c r="J53" s="7" t="str">
        <f ca="1"/>
        <v/>
      </c>
      <c r="K53" s="7" t="str">
        <f ca="1"/>
        <v/>
      </c>
      <c r="L53" s="7" t="str">
        <f ca="1"/>
        <v>AutoDxCrop</v>
      </c>
      <c r="M53" s="7" t="str">
        <f ca="1"/>
        <v>AutoDxCrop</v>
      </c>
      <c r="N53" s="7" t="str">
        <f ca="1"/>
        <v>AutoDxCrop</v>
      </c>
      <c r="O53" s="7" t="str">
        <f ca="1"/>
        <v>AutoDxCrop</v>
      </c>
      <c r="P53" s="7" t="str">
        <f ca="1"/>
        <v>AutoDxCrop</v>
      </c>
      <c r="Q53" s="7" t="str">
        <f ca="1"/>
        <v>AutoDxCrop</v>
      </c>
      <c r="T53" s="7" t="str">
        <f ca="1"/>
        <v>Z8</v>
      </c>
      <c r="U53" s="7" t="str">
        <f ca="1"/>
        <v>0xD03E</v>
      </c>
      <c r="V53" s="7" t="str">
        <f ca="1"/>
        <v>WbPresetDataValue5</v>
      </c>
      <c r="X53" s="8" t="s">
        <v>440</v>
      </c>
      <c r="Y53" s="8" t="s">
        <v>440</v>
      </c>
      <c r="Z53" s="8" t="s">
        <v>450</v>
      </c>
      <c r="AA53" s="8" t="s">
        <v>450</v>
      </c>
      <c r="AB53" s="7" t="s">
        <v>448</v>
      </c>
      <c r="AC53" s="7" t="s">
        <v>446</v>
      </c>
      <c r="AD53" s="7" t="s">
        <v>446</v>
      </c>
      <c r="AE53" s="7" t="s">
        <v>446</v>
      </c>
      <c r="AF53" s="7" t="s">
        <v>438</v>
      </c>
      <c r="AG53" s="7" t="s">
        <v>436</v>
      </c>
      <c r="AH53" s="7" t="s">
        <v>436</v>
      </c>
      <c r="AI53" s="7" t="s">
        <v>436</v>
      </c>
      <c r="AJ53" s="7" t="s">
        <v>436</v>
      </c>
      <c r="AK53" s="7" t="s">
        <v>440</v>
      </c>
    </row>
    <row r="54" spans="1:37" x14ac:dyDescent="0.25">
      <c r="A54" s="13" t="str">
        <f ca="1"/>
        <v>0xD034</v>
      </c>
      <c r="B54" s="14" t="str">
        <f ca="1"/>
        <v>DecreaseFlicker</v>
      </c>
      <c r="D54" s="8" t="str">
        <f ca="1"/>
        <v>DecreaseFlicker</v>
      </c>
      <c r="E54" s="8" t="str">
        <f ca="1"/>
        <v>DecreaseFlicker</v>
      </c>
      <c r="F54" s="8" t="str">
        <f ca="1"/>
        <v>DecreaseFlicker</v>
      </c>
      <c r="G54" s="8" t="str">
        <f ca="1"/>
        <v>DecreaseFlicker</v>
      </c>
      <c r="H54" s="7" t="str">
        <f ca="1"/>
        <v>DecreaseFlicker</v>
      </c>
      <c r="I54" s="7" t="str">
        <f ca="1"/>
        <v>DecreaseFlicker</v>
      </c>
      <c r="J54" s="7" t="str">
        <f ca="1"/>
        <v>DecreaseFlicker</v>
      </c>
      <c r="K54" s="7" t="str">
        <f ca="1"/>
        <v>DecreaseFlicker</v>
      </c>
      <c r="L54" s="7" t="str">
        <f ca="1"/>
        <v>DecreaseFlicker</v>
      </c>
      <c r="M54" s="7" t="str">
        <f ca="1"/>
        <v>DecreaseFlicker</v>
      </c>
      <c r="N54" s="7" t="str">
        <f ca="1"/>
        <v>DecreaseFlicker</v>
      </c>
      <c r="O54" s="7" t="str">
        <f ca="1"/>
        <v/>
      </c>
      <c r="P54" s="7" t="str">
        <f ca="1"/>
        <v/>
      </c>
      <c r="Q54" s="7" t="str">
        <f ca="1"/>
        <v/>
      </c>
      <c r="T54" s="7" t="str">
        <f ca="1"/>
        <v>Z8</v>
      </c>
      <c r="U54" s="7" t="str">
        <f ca="1"/>
        <v>0xD03F</v>
      </c>
      <c r="V54" s="7" t="str">
        <f ca="1"/>
        <v>WbPresetDataValue6</v>
      </c>
      <c r="X54" s="8" t="s">
        <v>441</v>
      </c>
      <c r="Y54" s="8" t="s">
        <v>441</v>
      </c>
      <c r="Z54" s="8" t="s">
        <v>451</v>
      </c>
      <c r="AA54" s="8" t="s">
        <v>451</v>
      </c>
      <c r="AB54" s="7" t="s">
        <v>449</v>
      </c>
      <c r="AC54" s="7" t="s">
        <v>447</v>
      </c>
      <c r="AD54" s="7" t="s">
        <v>447</v>
      </c>
      <c r="AE54" s="7" t="s">
        <v>447</v>
      </c>
      <c r="AF54" s="7" t="s">
        <v>439</v>
      </c>
      <c r="AG54" s="7" t="s">
        <v>437</v>
      </c>
      <c r="AH54" s="7" t="s">
        <v>437</v>
      </c>
      <c r="AI54" s="7" t="s">
        <v>437</v>
      </c>
      <c r="AJ54" s="7" t="s">
        <v>437</v>
      </c>
      <c r="AK54" s="7" t="s">
        <v>441</v>
      </c>
    </row>
    <row r="55" spans="1:37" x14ac:dyDescent="0.25">
      <c r="A55" s="13" t="str">
        <f ca="1"/>
        <v>0xD037</v>
      </c>
      <c r="B55" s="14" t="str">
        <f ca="1"/>
        <v>EffectMode</v>
      </c>
      <c r="D55" s="8" t="str">
        <f ca="1"/>
        <v/>
      </c>
      <c r="E55" s="8" t="str">
        <f ca="1"/>
        <v/>
      </c>
      <c r="F55" s="8" t="str">
        <f ca="1"/>
        <v/>
      </c>
      <c r="G55" s="8" t="str">
        <f ca="1"/>
        <v/>
      </c>
      <c r="H55" s="7" t="str">
        <f ca="1"/>
        <v>EffectMode</v>
      </c>
      <c r="I55" s="7" t="str">
        <f ca="1"/>
        <v/>
      </c>
      <c r="J55" s="7" t="str">
        <f ca="1"/>
        <v/>
      </c>
      <c r="K55" s="7" t="str">
        <f ca="1"/>
        <v/>
      </c>
      <c r="L55" s="7" t="str">
        <f ca="1"/>
        <v/>
      </c>
      <c r="M55" s="7" t="str">
        <f ca="1"/>
        <v/>
      </c>
      <c r="N55" s="7" t="str">
        <f ca="1"/>
        <v/>
      </c>
      <c r="O55" s="7" t="str">
        <f ca="1"/>
        <v/>
      </c>
      <c r="P55" s="7" t="str">
        <f ca="1"/>
        <v/>
      </c>
      <c r="Q55" s="7" t="str">
        <f ca="1"/>
        <v/>
      </c>
      <c r="T55" s="7" t="str">
        <f ca="1"/>
        <v>Z8</v>
      </c>
      <c r="U55" s="7" t="str">
        <f ca="1"/>
        <v>0xD040</v>
      </c>
      <c r="V55" s="7" t="str">
        <f ca="1"/>
        <v>CustomSettingBank</v>
      </c>
      <c r="X55" s="8" t="s">
        <v>442</v>
      </c>
      <c r="Y55" s="8" t="s">
        <v>442</v>
      </c>
      <c r="Z55" s="8" t="s">
        <v>452</v>
      </c>
      <c r="AA55" s="8" t="s">
        <v>452</v>
      </c>
      <c r="AB55" s="7" t="s">
        <v>450</v>
      </c>
      <c r="AC55" s="7" t="s">
        <v>448</v>
      </c>
      <c r="AD55" s="7" t="s">
        <v>448</v>
      </c>
      <c r="AE55" s="7" t="s">
        <v>448</v>
      </c>
      <c r="AF55" s="7" t="s">
        <v>440</v>
      </c>
      <c r="AG55" s="7" t="s">
        <v>438</v>
      </c>
      <c r="AH55" s="7" t="s">
        <v>438</v>
      </c>
      <c r="AI55" s="7" t="s">
        <v>438</v>
      </c>
      <c r="AJ55" s="7" t="s">
        <v>438</v>
      </c>
      <c r="AK55" s="7" t="s">
        <v>442</v>
      </c>
    </row>
    <row r="56" spans="1:37" x14ac:dyDescent="0.25">
      <c r="A56" s="13" t="str">
        <f ca="1"/>
        <v>0xD038</v>
      </c>
      <c r="B56" s="14" t="str">
        <f ca="1"/>
        <v>WbPresetDataComment5</v>
      </c>
      <c r="D56" s="8" t="str">
        <f ca="1"/>
        <v>WbPresetDataComment5</v>
      </c>
      <c r="E56" s="8" t="str">
        <f ca="1"/>
        <v>WbPresetDataComment5</v>
      </c>
      <c r="F56" s="8" t="str">
        <f ca="1"/>
        <v>WbPresetDataComment5</v>
      </c>
      <c r="G56" s="8" t="str">
        <f ca="1"/>
        <v>WbPresetDataComment5</v>
      </c>
      <c r="H56" s="7" t="str">
        <f ca="1"/>
        <v>WbPresetDataComment5</v>
      </c>
      <c r="I56" s="7" t="str">
        <f ca="1"/>
        <v>WbPresetDataComment5</v>
      </c>
      <c r="J56" s="7" t="str">
        <f ca="1"/>
        <v>WbPresetDataComment5</v>
      </c>
      <c r="K56" s="7" t="str">
        <f ca="1"/>
        <v>WbPresetDataComment5</v>
      </c>
      <c r="L56" s="7" t="str">
        <f ca="1"/>
        <v>WbPresetDataComment5</v>
      </c>
      <c r="M56" s="7" t="str">
        <f ca="1"/>
        <v>WbPresetDataComment5</v>
      </c>
      <c r="N56" s="7" t="str">
        <f ca="1"/>
        <v>WbPresetDataComment5</v>
      </c>
      <c r="O56" s="7" t="str">
        <f ca="1"/>
        <v/>
      </c>
      <c r="P56" s="7" t="str">
        <f ca="1"/>
        <v/>
      </c>
      <c r="Q56" s="7" t="str">
        <f ca="1"/>
        <v/>
      </c>
      <c r="T56" s="7" t="str">
        <f ca="1"/>
        <v>Z8</v>
      </c>
      <c r="U56" s="7" t="str">
        <f ca="1"/>
        <v>0xD041</v>
      </c>
      <c r="V56" s="7" t="str">
        <f ca="1"/>
        <v>CustomBankNameA</v>
      </c>
      <c r="X56" s="8" t="s">
        <v>443</v>
      </c>
      <c r="Y56" s="8" t="s">
        <v>443</v>
      </c>
      <c r="Z56" s="8" t="s">
        <v>453</v>
      </c>
      <c r="AA56" s="8" t="s">
        <v>453</v>
      </c>
      <c r="AB56" s="7" t="s">
        <v>451</v>
      </c>
      <c r="AC56" s="7" t="s">
        <v>449</v>
      </c>
      <c r="AD56" s="7" t="s">
        <v>449</v>
      </c>
      <c r="AE56" s="7" t="s">
        <v>449</v>
      </c>
      <c r="AF56" s="7" t="s">
        <v>441</v>
      </c>
      <c r="AG56" s="7" t="s">
        <v>439</v>
      </c>
      <c r="AH56" s="7" t="s">
        <v>439</v>
      </c>
      <c r="AI56" s="7" t="s">
        <v>439</v>
      </c>
      <c r="AJ56" s="7" t="s">
        <v>439</v>
      </c>
      <c r="AK56" s="7" t="s">
        <v>443</v>
      </c>
    </row>
    <row r="57" spans="1:37" x14ac:dyDescent="0.25">
      <c r="A57" s="13" t="str">
        <f ca="1"/>
        <v>0xD039</v>
      </c>
      <c r="B57" s="14" t="str">
        <f ca="1"/>
        <v>WbPresetDataComment6</v>
      </c>
      <c r="D57" s="8" t="str">
        <f ca="1"/>
        <v>WbPresetDataComment6</v>
      </c>
      <c r="E57" s="8" t="str">
        <f ca="1"/>
        <v>WbPresetDataComment6</v>
      </c>
      <c r="F57" s="8" t="str">
        <f ca="1"/>
        <v>WbPresetDataComment6</v>
      </c>
      <c r="G57" s="8" t="str">
        <f ca="1"/>
        <v>WbPresetDataComment6</v>
      </c>
      <c r="H57" s="7" t="str">
        <f ca="1"/>
        <v>WbPresetDataComment6</v>
      </c>
      <c r="I57" s="7" t="str">
        <f ca="1"/>
        <v>WbPresetDataComment6</v>
      </c>
      <c r="J57" s="7" t="str">
        <f ca="1"/>
        <v>WbPresetDataComment6</v>
      </c>
      <c r="K57" s="7" t="str">
        <f ca="1"/>
        <v>WbPresetDataComment6</v>
      </c>
      <c r="L57" s="7" t="str">
        <f ca="1"/>
        <v>WbPresetDataComment6</v>
      </c>
      <c r="M57" s="7" t="str">
        <f ca="1"/>
        <v>WbPresetDataComment6</v>
      </c>
      <c r="N57" s="7" t="str">
        <f ca="1"/>
        <v>WbPresetDataComment6</v>
      </c>
      <c r="O57" s="7" t="str">
        <f ca="1"/>
        <v/>
      </c>
      <c r="P57" s="7" t="str">
        <f ca="1"/>
        <v/>
      </c>
      <c r="Q57" s="7" t="str">
        <f ca="1"/>
        <v/>
      </c>
      <c r="T57" s="7" t="str">
        <f ca="1"/>
        <v>Z8</v>
      </c>
      <c r="U57" s="7" t="str">
        <f ca="1"/>
        <v>0xD042</v>
      </c>
      <c r="V57" s="7" t="str">
        <f ca="1"/>
        <v>CustomBankNameB</v>
      </c>
      <c r="X57" s="8" t="s">
        <v>444</v>
      </c>
      <c r="Y57" s="8" t="s">
        <v>444</v>
      </c>
      <c r="Z57" s="8" t="s">
        <v>454</v>
      </c>
      <c r="AA57" s="8" t="s">
        <v>454</v>
      </c>
      <c r="AB57" s="7" t="s">
        <v>452</v>
      </c>
      <c r="AC57" s="7" t="s">
        <v>450</v>
      </c>
      <c r="AD57" s="7" t="s">
        <v>450</v>
      </c>
      <c r="AE57" s="7" t="s">
        <v>450</v>
      </c>
      <c r="AF57" s="7" t="s">
        <v>442</v>
      </c>
      <c r="AG57" s="7" t="s">
        <v>440</v>
      </c>
      <c r="AH57" s="7" t="s">
        <v>440</v>
      </c>
      <c r="AI57" s="7" t="s">
        <v>440</v>
      </c>
      <c r="AJ57" s="7" t="s">
        <v>440</v>
      </c>
      <c r="AK57" s="7" t="s">
        <v>444</v>
      </c>
    </row>
    <row r="58" spans="1:37" x14ac:dyDescent="0.25">
      <c r="A58" s="13" t="str">
        <f ca="1"/>
        <v>0xD03A</v>
      </c>
      <c r="B58" s="14" t="str">
        <f ca="1"/>
        <v>WbTunePreset5</v>
      </c>
      <c r="D58" s="8" t="str">
        <f ca="1"/>
        <v>WbTunePreset5</v>
      </c>
      <c r="E58" s="8" t="str">
        <f ca="1"/>
        <v>WbTunePreset5</v>
      </c>
      <c r="F58" s="8" t="str">
        <f ca="1"/>
        <v>WbTunePreset5</v>
      </c>
      <c r="G58" s="8" t="str">
        <f ca="1"/>
        <v>WbTunePreset5</v>
      </c>
      <c r="H58" s="7" t="str">
        <f ca="1"/>
        <v>WbTunePreset5</v>
      </c>
      <c r="I58" s="7" t="str">
        <f ca="1"/>
        <v>WbTunePreset5</v>
      </c>
      <c r="J58" s="7" t="str">
        <f ca="1"/>
        <v>WbTunePreset5</v>
      </c>
      <c r="K58" s="7" t="str">
        <f ca="1"/>
        <v>WbTunePreset5</v>
      </c>
      <c r="L58" s="7" t="str">
        <f ca="1"/>
        <v>WbTunePreset5</v>
      </c>
      <c r="M58" s="7" t="str">
        <f ca="1"/>
        <v>WbTunePreset5</v>
      </c>
      <c r="N58" s="7" t="str">
        <f ca="1"/>
        <v>WbTunePreset5</v>
      </c>
      <c r="O58" s="7" t="str">
        <f ca="1"/>
        <v/>
      </c>
      <c r="P58" s="7" t="str">
        <f ca="1"/>
        <v/>
      </c>
      <c r="Q58" s="7" t="str">
        <f ca="1"/>
        <v/>
      </c>
      <c r="T58" s="7" t="str">
        <f ca="1"/>
        <v>Z8</v>
      </c>
      <c r="U58" s="7" t="str">
        <f ca="1"/>
        <v>0xD043</v>
      </c>
      <c r="V58" s="7" t="str">
        <f ca="1"/>
        <v>CustomBankNameC</v>
      </c>
      <c r="X58" s="8" t="s">
        <v>445</v>
      </c>
      <c r="Y58" s="8" t="s">
        <v>445</v>
      </c>
      <c r="Z58" s="8" t="s">
        <v>455</v>
      </c>
      <c r="AA58" s="8" t="s">
        <v>455</v>
      </c>
      <c r="AB58" s="7" t="s">
        <v>453</v>
      </c>
      <c r="AC58" s="7" t="s">
        <v>451</v>
      </c>
      <c r="AD58" s="7" t="s">
        <v>451</v>
      </c>
      <c r="AE58" s="7" t="s">
        <v>451</v>
      </c>
      <c r="AF58" s="7" t="s">
        <v>443</v>
      </c>
      <c r="AG58" s="7" t="s">
        <v>441</v>
      </c>
      <c r="AH58" s="7" t="s">
        <v>441</v>
      </c>
      <c r="AI58" s="7" t="s">
        <v>441</v>
      </c>
      <c r="AJ58" s="7" t="s">
        <v>441</v>
      </c>
      <c r="AK58" s="7" t="s">
        <v>445</v>
      </c>
    </row>
    <row r="59" spans="1:37" x14ac:dyDescent="0.25">
      <c r="A59" s="13" t="str">
        <f ca="1"/>
        <v>0xD03B</v>
      </c>
      <c r="B59" s="14" t="str">
        <f ca="1"/>
        <v>WbTunePreset6</v>
      </c>
      <c r="D59" s="8" t="str">
        <f ca="1"/>
        <v>WbTunePreset6</v>
      </c>
      <c r="E59" s="8" t="str">
        <f ca="1"/>
        <v>WbTunePreset6</v>
      </c>
      <c r="F59" s="8" t="str">
        <f ca="1"/>
        <v>WbTunePreset6</v>
      </c>
      <c r="G59" s="8" t="str">
        <f ca="1"/>
        <v>WbTunePreset6</v>
      </c>
      <c r="H59" s="7" t="str">
        <f ca="1"/>
        <v>WbTunePreset6</v>
      </c>
      <c r="I59" s="7" t="str">
        <f ca="1"/>
        <v>WbTunePreset6</v>
      </c>
      <c r="J59" s="7" t="str">
        <f ca="1"/>
        <v>WbTunePreset6</v>
      </c>
      <c r="K59" s="7" t="str">
        <f ca="1"/>
        <v>WbTunePreset6</v>
      </c>
      <c r="L59" s="7" t="str">
        <f ca="1"/>
        <v>WbTunePreset6</v>
      </c>
      <c r="M59" s="7" t="str">
        <f ca="1"/>
        <v>WbTunePreset6</v>
      </c>
      <c r="N59" s="7" t="str">
        <f ca="1"/>
        <v>WbTunePreset6</v>
      </c>
      <c r="O59" s="7" t="str">
        <f ca="1"/>
        <v/>
      </c>
      <c r="P59" s="7" t="str">
        <f ca="1"/>
        <v/>
      </c>
      <c r="Q59" s="7" t="str">
        <f ca="1"/>
        <v/>
      </c>
      <c r="T59" s="7" t="str">
        <f ca="1"/>
        <v>Z8</v>
      </c>
      <c r="U59" s="7" t="str">
        <f ca="1"/>
        <v>0xD044</v>
      </c>
      <c r="V59" s="7" t="str">
        <f ca="1"/>
        <v>CustomBankNameD</v>
      </c>
      <c r="X59" s="8" t="s">
        <v>446</v>
      </c>
      <c r="Y59" s="8" t="s">
        <v>446</v>
      </c>
      <c r="Z59" s="8" t="s">
        <v>456</v>
      </c>
      <c r="AA59" s="8" t="s">
        <v>456</v>
      </c>
      <c r="AB59" s="7" t="s">
        <v>454</v>
      </c>
      <c r="AC59" s="7" t="s">
        <v>452</v>
      </c>
      <c r="AD59" s="7" t="s">
        <v>452</v>
      </c>
      <c r="AE59" s="7" t="s">
        <v>452</v>
      </c>
      <c r="AF59" s="7" t="s">
        <v>444</v>
      </c>
      <c r="AG59" s="7" t="s">
        <v>442</v>
      </c>
      <c r="AH59" s="7" t="s">
        <v>442</v>
      </c>
      <c r="AI59" s="7" t="s">
        <v>442</v>
      </c>
      <c r="AJ59" s="7" t="s">
        <v>442</v>
      </c>
      <c r="AK59" s="7" t="s">
        <v>446</v>
      </c>
    </row>
    <row r="60" spans="1:37" x14ac:dyDescent="0.25">
      <c r="A60" s="13" t="str">
        <f ca="1"/>
        <v>0xD03C</v>
      </c>
      <c r="B60" s="14" t="str">
        <f ca="1"/>
        <v>WbPresetProtect5</v>
      </c>
      <c r="D60" s="8" t="str">
        <f ca="1"/>
        <v>WbPresetProtect5</v>
      </c>
      <c r="E60" s="8" t="str">
        <f ca="1"/>
        <v>WbPresetProtect5</v>
      </c>
      <c r="F60" s="8" t="str">
        <f ca="1"/>
        <v>WbPresetProtect5</v>
      </c>
      <c r="G60" s="8" t="str">
        <f ca="1"/>
        <v>WbPresetProtect5</v>
      </c>
      <c r="H60" s="7" t="str">
        <f ca="1"/>
        <v>WbPresetProtect5</v>
      </c>
      <c r="I60" s="7" t="str">
        <f ca="1"/>
        <v>WbPresetProtect5</v>
      </c>
      <c r="J60" s="7" t="str">
        <f ca="1"/>
        <v>WbPresetProtect5</v>
      </c>
      <c r="K60" s="7" t="str">
        <f ca="1"/>
        <v>WbPresetProtect5</v>
      </c>
      <c r="L60" s="7" t="str">
        <f ca="1"/>
        <v>WbPresetProtect5</v>
      </c>
      <c r="M60" s="7" t="str">
        <f ca="1"/>
        <v>WbPresetProtect5</v>
      </c>
      <c r="N60" s="7" t="str">
        <f ca="1"/>
        <v>WbPresetProtect5</v>
      </c>
      <c r="O60" s="7" t="str">
        <f ca="1"/>
        <v/>
      </c>
      <c r="P60" s="7" t="str">
        <f ca="1"/>
        <v/>
      </c>
      <c r="Q60" s="7" t="str">
        <f ca="1"/>
        <v/>
      </c>
      <c r="T60" s="7" t="str">
        <f ca="1"/>
        <v>Z8</v>
      </c>
      <c r="U60" s="7" t="str">
        <f ca="1"/>
        <v>0xD046</v>
      </c>
      <c r="V60" s="7" t="str">
        <f ca="1"/>
        <v>AFStillLockOnAcross</v>
      </c>
      <c r="X60" s="8" t="s">
        <v>447</v>
      </c>
      <c r="Y60" s="8" t="s">
        <v>447</v>
      </c>
      <c r="Z60" s="8" t="s">
        <v>457</v>
      </c>
      <c r="AA60" s="8" t="s">
        <v>457</v>
      </c>
      <c r="AB60" s="7" t="s">
        <v>455</v>
      </c>
      <c r="AC60" s="7" t="s">
        <v>453</v>
      </c>
      <c r="AD60" s="7" t="s">
        <v>453</v>
      </c>
      <c r="AE60" s="7" t="s">
        <v>453</v>
      </c>
      <c r="AF60" s="7" t="s">
        <v>445</v>
      </c>
      <c r="AG60" s="7" t="s">
        <v>443</v>
      </c>
      <c r="AH60" s="7" t="s">
        <v>443</v>
      </c>
      <c r="AI60" s="7" t="s">
        <v>443</v>
      </c>
      <c r="AJ60" s="7" t="s">
        <v>443</v>
      </c>
      <c r="AK60" s="7" t="s">
        <v>447</v>
      </c>
    </row>
    <row r="61" spans="1:37" x14ac:dyDescent="0.25">
      <c r="A61" s="13" t="str">
        <f ca="1"/>
        <v>0xD03D</v>
      </c>
      <c r="B61" s="14" t="str">
        <f ca="1"/>
        <v>WbPresetProtect6</v>
      </c>
      <c r="D61" s="8" t="str">
        <f ca="1"/>
        <v>WbPresetProtect6</v>
      </c>
      <c r="E61" s="8" t="str">
        <f ca="1"/>
        <v>WbPresetProtect6</v>
      </c>
      <c r="F61" s="8" t="str">
        <f ca="1"/>
        <v>WbPresetProtect6</v>
      </c>
      <c r="G61" s="8" t="str">
        <f ca="1"/>
        <v>WbPresetProtect6</v>
      </c>
      <c r="H61" s="7" t="str">
        <f ca="1"/>
        <v>WbPresetProtect6</v>
      </c>
      <c r="I61" s="7" t="str">
        <f ca="1"/>
        <v>WbPresetProtect6</v>
      </c>
      <c r="J61" s="7" t="str">
        <f ca="1"/>
        <v>WbPresetProtect6</v>
      </c>
      <c r="K61" s="7" t="str">
        <f ca="1"/>
        <v>WbPresetProtect6</v>
      </c>
      <c r="L61" s="7" t="str">
        <f ca="1"/>
        <v>WbPresetProtect6</v>
      </c>
      <c r="M61" s="7" t="str">
        <f ca="1"/>
        <v>WbPresetProtect6</v>
      </c>
      <c r="N61" s="7" t="str">
        <f ca="1"/>
        <v>WbPresetProtect6</v>
      </c>
      <c r="O61" s="7" t="str">
        <f ca="1"/>
        <v/>
      </c>
      <c r="P61" s="7" t="str">
        <f ca="1"/>
        <v/>
      </c>
      <c r="Q61" s="7" t="str">
        <f ca="1"/>
        <v/>
      </c>
      <c r="T61" s="7" t="str">
        <f ca="1"/>
        <v>Z8</v>
      </c>
      <c r="U61" s="7" t="str">
        <f ca="1"/>
        <v>0xD047</v>
      </c>
      <c r="V61" s="7" t="str">
        <f ca="1"/>
        <v>AFStillLockOnMove</v>
      </c>
      <c r="X61" s="8" t="s">
        <v>448</v>
      </c>
      <c r="Y61" s="8" t="s">
        <v>448</v>
      </c>
      <c r="Z61" s="8" t="s">
        <v>458</v>
      </c>
      <c r="AA61" s="8" t="s">
        <v>458</v>
      </c>
      <c r="AB61" s="7" t="s">
        <v>456</v>
      </c>
      <c r="AC61" s="7" t="s">
        <v>454</v>
      </c>
      <c r="AD61" s="7" t="s">
        <v>454</v>
      </c>
      <c r="AE61" s="7" t="s">
        <v>454</v>
      </c>
      <c r="AF61" s="7" t="s">
        <v>446</v>
      </c>
      <c r="AG61" s="7" t="s">
        <v>444</v>
      </c>
      <c r="AH61" s="7" t="s">
        <v>444</v>
      </c>
      <c r="AI61" s="7" t="s">
        <v>444</v>
      </c>
      <c r="AJ61" s="7" t="s">
        <v>444</v>
      </c>
      <c r="AK61" s="7" t="s">
        <v>448</v>
      </c>
    </row>
    <row r="62" spans="1:37" x14ac:dyDescent="0.25">
      <c r="A62" s="13" t="str">
        <f ca="1"/>
        <v>0xD03E</v>
      </c>
      <c r="B62" s="14" t="str">
        <f ca="1"/>
        <v>WbPresetDataValue5</v>
      </c>
      <c r="D62" s="8" t="str">
        <f ca="1"/>
        <v>WbPresetDataValue5</v>
      </c>
      <c r="E62" s="8" t="str">
        <f ca="1"/>
        <v>WbPresetDataValue5</v>
      </c>
      <c r="F62" s="8" t="str">
        <f ca="1"/>
        <v>WbPresetDataValue5</v>
      </c>
      <c r="G62" s="8" t="str">
        <f ca="1"/>
        <v>WbPresetDataValue5</v>
      </c>
      <c r="H62" s="7" t="str">
        <f ca="1"/>
        <v>WbPresetDataValue5</v>
      </c>
      <c r="I62" s="7" t="str">
        <f ca="1"/>
        <v>WbPresetDataValue5</v>
      </c>
      <c r="J62" s="7" t="str">
        <f ca="1"/>
        <v>WbPresetDataValue5</v>
      </c>
      <c r="K62" s="7" t="str">
        <f ca="1"/>
        <v>WbPresetDataValue5</v>
      </c>
      <c r="L62" s="7" t="str">
        <f ca="1"/>
        <v>WbPresetDataValue5</v>
      </c>
      <c r="M62" s="7" t="str">
        <f ca="1"/>
        <v>WbPresetDataValue5</v>
      </c>
      <c r="N62" s="7" t="str">
        <f ca="1"/>
        <v>WbPresetDataValue5</v>
      </c>
      <c r="O62" s="7" t="str">
        <f ca="1"/>
        <v/>
      </c>
      <c r="P62" s="7" t="str">
        <f ca="1"/>
        <v/>
      </c>
      <c r="Q62" s="7" t="str">
        <f ca="1"/>
        <v/>
      </c>
      <c r="T62" s="7" t="str">
        <f ca="1"/>
        <v>Z8</v>
      </c>
      <c r="U62" s="7" t="str">
        <f ca="1"/>
        <v>0xD048</v>
      </c>
      <c r="V62" s="7" t="str">
        <f ca="1"/>
        <v>DynamicAFonAFC</v>
      </c>
      <c r="X62" s="8" t="s">
        <v>449</v>
      </c>
      <c r="Y62" s="8" t="s">
        <v>449</v>
      </c>
      <c r="Z62" s="8" t="s">
        <v>459</v>
      </c>
      <c r="AA62" s="8" t="s">
        <v>459</v>
      </c>
      <c r="AB62" s="7" t="s">
        <v>457</v>
      </c>
      <c r="AC62" s="7" t="s">
        <v>455</v>
      </c>
      <c r="AD62" s="7" t="s">
        <v>455</v>
      </c>
      <c r="AE62" s="7" t="s">
        <v>455</v>
      </c>
      <c r="AF62" s="7" t="s">
        <v>447</v>
      </c>
      <c r="AG62" s="7" t="s">
        <v>445</v>
      </c>
      <c r="AH62" s="7" t="s">
        <v>445</v>
      </c>
      <c r="AI62" s="7" t="s">
        <v>445</v>
      </c>
      <c r="AJ62" s="7" t="s">
        <v>445</v>
      </c>
      <c r="AK62" s="7" t="s">
        <v>449</v>
      </c>
    </row>
    <row r="63" spans="1:37" x14ac:dyDescent="0.25">
      <c r="A63" s="13" t="str">
        <f ca="1"/>
        <v>0xD03F</v>
      </c>
      <c r="B63" s="14" t="str">
        <f ca="1"/>
        <v>WbPresetDataValue6</v>
      </c>
      <c r="D63" s="8" t="str">
        <f ca="1"/>
        <v>WbPresetDataValue6</v>
      </c>
      <c r="E63" s="8" t="str">
        <f ca="1"/>
        <v>WbPresetDataValue6</v>
      </c>
      <c r="F63" s="8" t="str">
        <f ca="1"/>
        <v>WbPresetDataValue6</v>
      </c>
      <c r="G63" s="8" t="str">
        <f ca="1"/>
        <v>WbPresetDataValue6</v>
      </c>
      <c r="H63" s="7" t="str">
        <f ca="1"/>
        <v>WbPresetDataValue6</v>
      </c>
      <c r="I63" s="7" t="str">
        <f ca="1"/>
        <v>WbPresetDataValue6</v>
      </c>
      <c r="J63" s="7" t="str">
        <f ca="1"/>
        <v>WbPresetDataValue6</v>
      </c>
      <c r="K63" s="7" t="str">
        <f ca="1"/>
        <v>WbPresetDataValue6</v>
      </c>
      <c r="L63" s="7" t="str">
        <f ca="1"/>
        <v>WbPresetDataValue6</v>
      </c>
      <c r="M63" s="7" t="str">
        <f ca="1"/>
        <v>WbPresetDataValue6</v>
      </c>
      <c r="N63" s="7" t="str">
        <f ca="1"/>
        <v>WbPresetDataValue6</v>
      </c>
      <c r="O63" s="7" t="str">
        <f ca="1"/>
        <v/>
      </c>
      <c r="P63" s="7" t="str">
        <f ca="1"/>
        <v/>
      </c>
      <c r="Q63" s="7" t="str">
        <f ca="1"/>
        <v/>
      </c>
      <c r="T63" s="7" t="str">
        <f ca="1"/>
        <v>Z8</v>
      </c>
      <c r="U63" s="7" t="str">
        <f ca="1"/>
        <v>0xD049</v>
      </c>
      <c r="V63" s="7" t="str">
        <f ca="1"/>
        <v>DynamicAFonAFS</v>
      </c>
      <c r="X63" s="8" t="s">
        <v>450</v>
      </c>
      <c r="Y63" s="8" t="s">
        <v>450</v>
      </c>
      <c r="Z63" s="8" t="s">
        <v>460</v>
      </c>
      <c r="AA63" s="8" t="s">
        <v>460</v>
      </c>
      <c r="AB63" s="7" t="s">
        <v>458</v>
      </c>
      <c r="AC63" s="7" t="s">
        <v>456</v>
      </c>
      <c r="AD63" s="7" t="s">
        <v>456</v>
      </c>
      <c r="AE63" s="7" t="s">
        <v>456</v>
      </c>
      <c r="AF63" s="7" t="s">
        <v>448</v>
      </c>
      <c r="AG63" s="7" t="s">
        <v>446</v>
      </c>
      <c r="AH63" s="7" t="s">
        <v>446</v>
      </c>
      <c r="AI63" s="7" t="s">
        <v>446</v>
      </c>
      <c r="AJ63" s="7" t="s">
        <v>446</v>
      </c>
      <c r="AK63" s="7" t="s">
        <v>450</v>
      </c>
    </row>
    <row r="64" spans="1:37" x14ac:dyDescent="0.25">
      <c r="A64" s="13" t="str">
        <f ca="1"/>
        <v>0xD040</v>
      </c>
      <c r="B64" s="14" t="str">
        <f ca="1"/>
        <v>CustomSettingBank</v>
      </c>
      <c r="D64" s="8" t="str">
        <f ca="1"/>
        <v>CustomSettingBank</v>
      </c>
      <c r="E64" s="8" t="str">
        <f ca="1"/>
        <v>CustomSettingBank</v>
      </c>
      <c r="F64" s="8" t="str">
        <f ca="1"/>
        <v/>
      </c>
      <c r="G64" s="8" t="str">
        <f ca="1"/>
        <v/>
      </c>
      <c r="H64" s="7" t="str">
        <f ca="1"/>
        <v/>
      </c>
      <c r="I64" s="7" t="str">
        <f ca="1"/>
        <v/>
      </c>
      <c r="J64" s="7" t="str">
        <f ca="1"/>
        <v/>
      </c>
      <c r="K64" s="7" t="str">
        <f ca="1"/>
        <v/>
      </c>
      <c r="L64" s="7" t="str">
        <f ca="1"/>
        <v>CustomSettingBank</v>
      </c>
      <c r="M64" s="7" t="str">
        <f ca="1"/>
        <v>CustomSettingBank</v>
      </c>
      <c r="N64" s="7" t="str">
        <f ca="1"/>
        <v>CustomSettingBank</v>
      </c>
      <c r="O64" s="7" t="str">
        <f ca="1"/>
        <v>CustomSettingBank</v>
      </c>
      <c r="P64" s="7" t="str">
        <f ca="1"/>
        <v>CustomSettingBank</v>
      </c>
      <c r="Q64" s="7" t="str">
        <f ca="1"/>
        <v>CustomSettingBank</v>
      </c>
      <c r="T64" s="7" t="str">
        <f ca="1"/>
        <v>Z8</v>
      </c>
      <c r="U64" s="7" t="str">
        <f ca="1"/>
        <v>0xD04F</v>
      </c>
      <c r="V64" s="7" t="str">
        <f ca="1"/>
        <v>FocusAreaSelect</v>
      </c>
      <c r="X64" s="8" t="s">
        <v>451</v>
      </c>
      <c r="Y64" s="8" t="s">
        <v>451</v>
      </c>
      <c r="Z64" s="8" t="s">
        <v>461</v>
      </c>
      <c r="AA64" s="8" t="s">
        <v>461</v>
      </c>
      <c r="AB64" s="7" t="s">
        <v>459</v>
      </c>
      <c r="AC64" s="7" t="s">
        <v>457</v>
      </c>
      <c r="AD64" s="7" t="s">
        <v>457</v>
      </c>
      <c r="AE64" s="7" t="s">
        <v>457</v>
      </c>
      <c r="AF64" s="7" t="s">
        <v>449</v>
      </c>
      <c r="AG64" s="7" t="s">
        <v>447</v>
      </c>
      <c r="AH64" s="7" t="s">
        <v>447</v>
      </c>
      <c r="AI64" s="7" t="s">
        <v>447</v>
      </c>
      <c r="AJ64" s="7" t="s">
        <v>447</v>
      </c>
      <c r="AK64" s="7" t="s">
        <v>451</v>
      </c>
    </row>
    <row r="65" spans="1:37" x14ac:dyDescent="0.25">
      <c r="A65" s="13" t="str">
        <f ca="1"/>
        <v>0xD041</v>
      </c>
      <c r="B65" s="14" t="str">
        <f ca="1"/>
        <v>CustomBankNameA</v>
      </c>
      <c r="D65" s="8" t="str">
        <f ca="1"/>
        <v>CustomBankNameA</v>
      </c>
      <c r="E65" s="8" t="str">
        <f ca="1"/>
        <v>CustomBankNameA</v>
      </c>
      <c r="F65" s="8" t="str">
        <f ca="1"/>
        <v/>
      </c>
      <c r="G65" s="8" t="str">
        <f ca="1"/>
        <v/>
      </c>
      <c r="H65" s="7" t="str">
        <f ca="1"/>
        <v/>
      </c>
      <c r="I65" s="7" t="str">
        <f ca="1"/>
        <v/>
      </c>
      <c r="J65" s="7" t="str">
        <f ca="1"/>
        <v/>
      </c>
      <c r="K65" s="7" t="str">
        <f ca="1"/>
        <v/>
      </c>
      <c r="L65" s="7" t="str">
        <f ca="1"/>
        <v>CustomBankNameA</v>
      </c>
      <c r="M65" s="7" t="str">
        <f ca="1"/>
        <v>CustomBankNameA</v>
      </c>
      <c r="N65" s="7" t="str">
        <f ca="1"/>
        <v>CustomBankNameA</v>
      </c>
      <c r="O65" s="7" t="str">
        <f ca="1"/>
        <v>CustomBankNameA</v>
      </c>
      <c r="P65" s="7" t="str">
        <f ca="1"/>
        <v>CustomBankNameA</v>
      </c>
      <c r="Q65" s="7" t="str">
        <f ca="1"/>
        <v>CustomBankNameA</v>
      </c>
      <c r="T65" s="7" t="str">
        <f ca="1"/>
        <v>Z8</v>
      </c>
      <c r="U65" s="7" t="str">
        <f ca="1"/>
        <v>0xD053</v>
      </c>
      <c r="V65" s="7" t="str">
        <f ca="1"/>
        <v>EnableCopyright</v>
      </c>
      <c r="X65" s="8" t="s">
        <v>452</v>
      </c>
      <c r="Y65" s="8" t="s">
        <v>452</v>
      </c>
      <c r="Z65" s="8" t="s">
        <v>462</v>
      </c>
      <c r="AA65" s="8" t="s">
        <v>462</v>
      </c>
      <c r="AB65" s="7" t="s">
        <v>460</v>
      </c>
      <c r="AC65" s="7" t="s">
        <v>458</v>
      </c>
      <c r="AD65" s="7" t="s">
        <v>458</v>
      </c>
      <c r="AE65" s="7" t="s">
        <v>458</v>
      </c>
      <c r="AF65" s="7" t="s">
        <v>450</v>
      </c>
      <c r="AG65" s="7" t="s">
        <v>448</v>
      </c>
      <c r="AH65" s="7" t="s">
        <v>448</v>
      </c>
      <c r="AI65" s="7" t="s">
        <v>448</v>
      </c>
      <c r="AJ65" s="7" t="s">
        <v>448</v>
      </c>
      <c r="AK65" s="7" t="s">
        <v>452</v>
      </c>
    </row>
    <row r="66" spans="1:37" x14ac:dyDescent="0.25">
      <c r="A66" s="13" t="str">
        <f ca="1"/>
        <v>0xD042</v>
      </c>
      <c r="B66" s="14" t="str">
        <f ca="1"/>
        <v>CustomBankNameB</v>
      </c>
      <c r="D66" s="8" t="str">
        <f ca="1"/>
        <v>CustomBankNameB</v>
      </c>
      <c r="E66" s="8" t="str">
        <f ca="1"/>
        <v>CustomBankNameB</v>
      </c>
      <c r="F66" s="8" t="str">
        <f ca="1"/>
        <v/>
      </c>
      <c r="G66" s="8" t="str">
        <f ca="1"/>
        <v/>
      </c>
      <c r="H66" s="7" t="str">
        <f ca="1"/>
        <v/>
      </c>
      <c r="I66" s="7" t="str">
        <f ca="1"/>
        <v/>
      </c>
      <c r="J66" s="7" t="str">
        <f ca="1"/>
        <v/>
      </c>
      <c r="K66" s="7" t="str">
        <f ca="1"/>
        <v/>
      </c>
      <c r="L66" s="7" t="str">
        <f ca="1"/>
        <v>CustomBankNameB</v>
      </c>
      <c r="M66" s="7" t="str">
        <f ca="1"/>
        <v>CustomBankNameB</v>
      </c>
      <c r="N66" s="7" t="str">
        <f ca="1"/>
        <v>CustomBankNameB</v>
      </c>
      <c r="O66" s="7" t="str">
        <f ca="1"/>
        <v>CustomBankNameB</v>
      </c>
      <c r="P66" s="7" t="str">
        <f ca="1"/>
        <v>CustomBankNameB</v>
      </c>
      <c r="Q66" s="7" t="str">
        <f ca="1"/>
        <v>CustomBankNameB</v>
      </c>
      <c r="T66" s="7" t="str">
        <f ca="1"/>
        <v>Z8</v>
      </c>
      <c r="U66" s="7" t="str">
        <f ca="1"/>
        <v>0xD054</v>
      </c>
      <c r="V66" s="7" t="str">
        <f ca="1"/>
        <v>ISOAutoControl</v>
      </c>
      <c r="X66" s="8" t="s">
        <v>453</v>
      </c>
      <c r="Y66" s="8" t="s">
        <v>453</v>
      </c>
      <c r="Z66" s="8" t="s">
        <v>463</v>
      </c>
      <c r="AA66" s="8" t="s">
        <v>463</v>
      </c>
      <c r="AB66" s="7" t="s">
        <v>461</v>
      </c>
      <c r="AC66" s="7" t="s">
        <v>459</v>
      </c>
      <c r="AD66" s="7" t="s">
        <v>459</v>
      </c>
      <c r="AE66" s="7" t="s">
        <v>459</v>
      </c>
      <c r="AF66" s="7" t="s">
        <v>451</v>
      </c>
      <c r="AG66" s="7" t="s">
        <v>449</v>
      </c>
      <c r="AH66" s="7" t="s">
        <v>449</v>
      </c>
      <c r="AI66" s="7" t="s">
        <v>449</v>
      </c>
      <c r="AJ66" s="7" t="s">
        <v>449</v>
      </c>
      <c r="AK66" s="7" t="s">
        <v>453</v>
      </c>
    </row>
    <row r="67" spans="1:37" x14ac:dyDescent="0.25">
      <c r="A67" s="13" t="str">
        <f ca="1"/>
        <v>0xD043</v>
      </c>
      <c r="B67" s="14" t="str">
        <f ca="1"/>
        <v>CustomBankNameC</v>
      </c>
      <c r="D67" s="8" t="str">
        <f ca="1"/>
        <v>CustomBankNameC</v>
      </c>
      <c r="E67" s="8" t="str">
        <f ca="1"/>
        <v>CustomBankNameC</v>
      </c>
      <c r="F67" s="8" t="str">
        <f ca="1"/>
        <v/>
      </c>
      <c r="G67" s="8" t="str">
        <f ca="1"/>
        <v/>
      </c>
      <c r="H67" s="7" t="str">
        <f ca="1"/>
        <v/>
      </c>
      <c r="I67" s="7" t="str">
        <f ca="1"/>
        <v/>
      </c>
      <c r="J67" s="7" t="str">
        <f ca="1"/>
        <v/>
      </c>
      <c r="K67" s="7" t="str">
        <f ca="1"/>
        <v/>
      </c>
      <c r="L67" s="7" t="str">
        <f ca="1"/>
        <v>CustomBankNameC</v>
      </c>
      <c r="M67" s="7" t="str">
        <f ca="1"/>
        <v>CustomBankNameC</v>
      </c>
      <c r="N67" s="7" t="str">
        <f ca="1"/>
        <v>CustomBankNameC</v>
      </c>
      <c r="O67" s="7" t="str">
        <f ca="1"/>
        <v>CustomBankNameC</v>
      </c>
      <c r="P67" s="7" t="str">
        <f ca="1"/>
        <v>CustomBankNameC</v>
      </c>
      <c r="Q67" s="7" t="str">
        <f ca="1"/>
        <v>CustomBankNameC</v>
      </c>
      <c r="T67" s="7" t="str">
        <f ca="1"/>
        <v>Z8</v>
      </c>
      <c r="U67" s="7" t="str">
        <f ca="1"/>
        <v>0xD055</v>
      </c>
      <c r="V67" s="7" t="str">
        <f ca="1"/>
        <v>IsoStep</v>
      </c>
      <c r="X67" s="8" t="s">
        <v>454</v>
      </c>
      <c r="Y67" s="8" t="s">
        <v>454</v>
      </c>
      <c r="Z67" s="8" t="s">
        <v>464</v>
      </c>
      <c r="AA67" s="8" t="s">
        <v>464</v>
      </c>
      <c r="AB67" s="7" t="s">
        <v>462</v>
      </c>
      <c r="AC67" s="7" t="s">
        <v>460</v>
      </c>
      <c r="AD67" s="7" t="s">
        <v>460</v>
      </c>
      <c r="AE67" s="7" t="s">
        <v>460</v>
      </c>
      <c r="AF67" s="7" t="s">
        <v>452</v>
      </c>
      <c r="AG67" s="7" t="s">
        <v>450</v>
      </c>
      <c r="AH67" s="7" t="s">
        <v>450</v>
      </c>
      <c r="AI67" s="7" t="s">
        <v>450</v>
      </c>
      <c r="AJ67" s="7" t="s">
        <v>450</v>
      </c>
      <c r="AK67" s="7" t="s">
        <v>454</v>
      </c>
    </row>
    <row r="68" spans="1:37" x14ac:dyDescent="0.25">
      <c r="A68" s="13" t="str">
        <f ca="1"/>
        <v>0xD044</v>
      </c>
      <c r="B68" s="14" t="str">
        <f ca="1"/>
        <v>CustomBankNameD</v>
      </c>
      <c r="D68" s="8" t="str">
        <f ca="1"/>
        <v>CustomBankNameD</v>
      </c>
      <c r="E68" s="8" t="str">
        <f ca="1"/>
        <v>CustomBankNameD</v>
      </c>
      <c r="F68" s="8" t="str">
        <f ca="1"/>
        <v/>
      </c>
      <c r="G68" s="8" t="str">
        <f ca="1"/>
        <v/>
      </c>
      <c r="H68" s="7" t="str">
        <f ca="1"/>
        <v/>
      </c>
      <c r="I68" s="7" t="str">
        <f ca="1"/>
        <v/>
      </c>
      <c r="J68" s="7" t="str">
        <f ca="1"/>
        <v/>
      </c>
      <c r="K68" s="7" t="str">
        <f ca="1"/>
        <v/>
      </c>
      <c r="L68" s="7" t="str">
        <f ca="1"/>
        <v>CustomBankNameD</v>
      </c>
      <c r="M68" s="7" t="str">
        <f ca="1"/>
        <v>CustomBankNameD</v>
      </c>
      <c r="N68" s="7" t="str">
        <f ca="1"/>
        <v>CustomBankNameD</v>
      </c>
      <c r="O68" s="7" t="str">
        <f ca="1"/>
        <v>CustomBankNameD</v>
      </c>
      <c r="P68" s="7" t="str">
        <f ca="1"/>
        <v>CustomBankNameD</v>
      </c>
      <c r="Q68" s="7" t="str">
        <f ca="1"/>
        <v>CustomBankNameD</v>
      </c>
      <c r="T68" s="7" t="str">
        <f ca="1"/>
        <v>Z8</v>
      </c>
      <c r="U68" s="7" t="str">
        <f ca="1"/>
        <v>0xD056</v>
      </c>
      <c r="V68" s="7" t="str">
        <f ca="1"/>
        <v>ExposureEVStep</v>
      </c>
      <c r="X68" s="8" t="s">
        <v>455</v>
      </c>
      <c r="Y68" s="8" t="s">
        <v>455</v>
      </c>
      <c r="Z68" s="8" t="s">
        <v>465</v>
      </c>
      <c r="AA68" s="8" t="s">
        <v>465</v>
      </c>
      <c r="AB68" s="7" t="s">
        <v>463</v>
      </c>
      <c r="AC68" s="7" t="s">
        <v>461</v>
      </c>
      <c r="AD68" s="7" t="s">
        <v>461</v>
      </c>
      <c r="AE68" s="7" t="s">
        <v>461</v>
      </c>
      <c r="AF68" s="7" t="s">
        <v>453</v>
      </c>
      <c r="AG68" s="7" t="s">
        <v>451</v>
      </c>
      <c r="AH68" s="7" t="s">
        <v>451</v>
      </c>
      <c r="AI68" s="7" t="s">
        <v>451</v>
      </c>
      <c r="AJ68" s="7" t="s">
        <v>451</v>
      </c>
      <c r="AK68" s="7" t="s">
        <v>455</v>
      </c>
    </row>
    <row r="69" spans="1:37" x14ac:dyDescent="0.25">
      <c r="A69" s="13" t="str">
        <f ca="1"/>
        <v>0xD045</v>
      </c>
      <c r="B69" s="14" t="str">
        <f ca="1"/>
        <v>ResetCustomSetting</v>
      </c>
      <c r="D69" s="8" t="str">
        <f ca="1"/>
        <v/>
      </c>
      <c r="E69" s="8" t="str">
        <f ca="1"/>
        <v/>
      </c>
      <c r="F69" s="8" t="str">
        <f ca="1"/>
        <v/>
      </c>
      <c r="G69" s="8" t="str">
        <f ca="1"/>
        <v/>
      </c>
      <c r="H69" s="7" t="str">
        <f ca="1"/>
        <v>ResetCustomSetting</v>
      </c>
      <c r="I69" s="7" t="str">
        <f ca="1"/>
        <v>ResetCustomSetting</v>
      </c>
      <c r="J69" s="7" t="str">
        <f ca="1"/>
        <v>ResetCustomSetting</v>
      </c>
      <c r="K69" s="7" t="str">
        <f ca="1"/>
        <v>ResetCustomSetting</v>
      </c>
      <c r="L69" s="7" t="str">
        <f ca="1"/>
        <v/>
      </c>
      <c r="M69" s="7" t="str">
        <f ca="1"/>
        <v>ResetCustomSetting</v>
      </c>
      <c r="N69" s="7" t="str">
        <f ca="1"/>
        <v>ResetCustomSetting</v>
      </c>
      <c r="O69" s="7" t="str">
        <f ca="1"/>
        <v>ResetCustomSetting</v>
      </c>
      <c r="P69" s="7" t="str">
        <f ca="1"/>
        <v>ResetCustomSetting</v>
      </c>
      <c r="Q69" s="7" t="str">
        <f ca="1"/>
        <v>ResetCustomSetting</v>
      </c>
      <c r="T69" s="7" t="str">
        <f ca="1"/>
        <v>Z8</v>
      </c>
      <c r="U69" s="7" t="str">
        <f ca="1"/>
        <v>0xD059</v>
      </c>
      <c r="V69" s="7" t="str">
        <f ca="1"/>
        <v>CenterWeightedExRange</v>
      </c>
      <c r="X69" s="8" t="s">
        <v>456</v>
      </c>
      <c r="Y69" s="8" t="s">
        <v>456</v>
      </c>
      <c r="Z69" s="8" t="s">
        <v>466</v>
      </c>
      <c r="AA69" s="8" t="s">
        <v>466</v>
      </c>
      <c r="AB69" s="7" t="s">
        <v>464</v>
      </c>
      <c r="AC69" s="7" t="s">
        <v>462</v>
      </c>
      <c r="AD69" s="7" t="s">
        <v>462</v>
      </c>
      <c r="AE69" s="7" t="s">
        <v>462</v>
      </c>
      <c r="AF69" s="7" t="s">
        <v>454</v>
      </c>
      <c r="AG69" s="7" t="s">
        <v>452</v>
      </c>
      <c r="AH69" s="7" t="s">
        <v>452</v>
      </c>
      <c r="AI69" s="7" t="s">
        <v>452</v>
      </c>
      <c r="AJ69" s="7" t="s">
        <v>452</v>
      </c>
      <c r="AK69" s="7" t="s">
        <v>1748</v>
      </c>
    </row>
    <row r="70" spans="1:37" x14ac:dyDescent="0.25">
      <c r="A70" s="13" t="str">
        <f ca="1"/>
        <v>0xD046</v>
      </c>
      <c r="B70" s="14" t="str">
        <f ca="1"/>
        <v>AFStillLockOnAcross</v>
      </c>
      <c r="D70" s="8" t="str">
        <f ca="1"/>
        <v>AFStillLockOnAcross</v>
      </c>
      <c r="E70" s="8" t="str">
        <f ca="1"/>
        <v>AFStillLockOnAcross</v>
      </c>
      <c r="F70" s="8" t="str">
        <f ca="1"/>
        <v>AFStillLockOnAcross</v>
      </c>
      <c r="G70" s="8" t="str">
        <f ca="1"/>
        <v>AFStillLockOnAcross</v>
      </c>
      <c r="H70" s="7" t="str">
        <f ca="1"/>
        <v/>
      </c>
      <c r="I70" s="7" t="str">
        <f ca="1"/>
        <v>AFStillLockOnAcross</v>
      </c>
      <c r="J70" s="7" t="str">
        <f ca="1"/>
        <v>AFStillLockOnAcross</v>
      </c>
      <c r="K70" s="7" t="str">
        <f ca="1"/>
        <v>AFStillLockOnAcross</v>
      </c>
      <c r="L70" s="7" t="str">
        <f ca="1"/>
        <v>AFStillLockOnAcross</v>
      </c>
      <c r="M70" s="7" t="str">
        <f ca="1"/>
        <v>AFStillLockOnAcross</v>
      </c>
      <c r="N70" s="7" t="str">
        <f ca="1"/>
        <v/>
      </c>
      <c r="O70" s="7" t="str">
        <f ca="1"/>
        <v/>
      </c>
      <c r="P70" s="7" t="str">
        <f ca="1"/>
        <v/>
      </c>
      <c r="Q70" s="7" t="str">
        <f ca="1"/>
        <v/>
      </c>
      <c r="T70" s="7" t="str">
        <f ca="1"/>
        <v>Z8</v>
      </c>
      <c r="U70" s="7" t="str">
        <f ca="1"/>
        <v>0xD05A</v>
      </c>
      <c r="V70" s="7" t="str">
        <f ca="1"/>
        <v>ExposureBaseCompMatrix</v>
      </c>
      <c r="X70" s="8" t="s">
        <v>457</v>
      </c>
      <c r="Y70" s="8" t="s">
        <v>457</v>
      </c>
      <c r="Z70" s="8" t="s">
        <v>467</v>
      </c>
      <c r="AA70" s="8" t="s">
        <v>467</v>
      </c>
      <c r="AB70" s="7" t="s">
        <v>465</v>
      </c>
      <c r="AC70" s="7" t="s">
        <v>463</v>
      </c>
      <c r="AD70" s="7" t="s">
        <v>463</v>
      </c>
      <c r="AE70" s="7" t="s">
        <v>463</v>
      </c>
      <c r="AF70" s="7" t="s">
        <v>455</v>
      </c>
      <c r="AG70" s="7" t="s">
        <v>453</v>
      </c>
      <c r="AH70" s="7" t="s">
        <v>453</v>
      </c>
      <c r="AI70" s="7" t="s">
        <v>453</v>
      </c>
      <c r="AJ70" s="7" t="s">
        <v>453</v>
      </c>
      <c r="AK70" s="7" t="s">
        <v>1749</v>
      </c>
    </row>
    <row r="71" spans="1:37" x14ac:dyDescent="0.25">
      <c r="A71" s="13" t="str">
        <f ca="1"/>
        <v>0xD047</v>
      </c>
      <c r="B71" s="14" t="str">
        <f ca="1"/>
        <v>AFStillLockOnMove</v>
      </c>
      <c r="D71" s="8" t="str">
        <f ca="1"/>
        <v>AFStillLockOnMove</v>
      </c>
      <c r="E71" s="8" t="str">
        <f ca="1"/>
        <v>AFStillLockOnMove</v>
      </c>
      <c r="F71" s="8" t="str">
        <f ca="1"/>
        <v/>
      </c>
      <c r="G71" s="8" t="str">
        <f ca="1"/>
        <v/>
      </c>
      <c r="H71" s="7" t="str">
        <f ca="1"/>
        <v/>
      </c>
      <c r="I71" s="7" t="str">
        <f ca="1"/>
        <v/>
      </c>
      <c r="J71" s="7" t="str">
        <f ca="1"/>
        <v/>
      </c>
      <c r="K71" s="7" t="str">
        <f ca="1"/>
        <v/>
      </c>
      <c r="L71" s="7" t="str">
        <f ca="1"/>
        <v>AFStillLockOnMove</v>
      </c>
      <c r="M71" s="7" t="str">
        <f ca="1"/>
        <v>AFStillLockOnMove</v>
      </c>
      <c r="N71" s="7" t="str">
        <f ca="1"/>
        <v/>
      </c>
      <c r="O71" s="7" t="str">
        <f ca="1"/>
        <v/>
      </c>
      <c r="P71" s="7" t="str">
        <f ca="1"/>
        <v/>
      </c>
      <c r="Q71" s="7" t="str">
        <f ca="1"/>
        <v/>
      </c>
      <c r="T71" s="7" t="str">
        <f ca="1"/>
        <v>Z8</v>
      </c>
      <c r="U71" s="7" t="str">
        <f ca="1"/>
        <v>0xD05B</v>
      </c>
      <c r="V71" s="7" t="str">
        <f ca="1"/>
        <v>ExposureBaseCompCenter</v>
      </c>
      <c r="X71" s="8" t="s">
        <v>458</v>
      </c>
      <c r="Y71" s="8" t="s">
        <v>458</v>
      </c>
      <c r="Z71" s="8" t="s">
        <v>468</v>
      </c>
      <c r="AA71" s="8" t="s">
        <v>468</v>
      </c>
      <c r="AB71" s="7" t="s">
        <v>466</v>
      </c>
      <c r="AC71" s="7" t="s">
        <v>464</v>
      </c>
      <c r="AD71" s="7" t="s">
        <v>464</v>
      </c>
      <c r="AE71" s="7" t="s">
        <v>464</v>
      </c>
      <c r="AF71" s="7" t="s">
        <v>456</v>
      </c>
      <c r="AG71" s="7" t="s">
        <v>454</v>
      </c>
      <c r="AH71" s="7" t="s">
        <v>454</v>
      </c>
      <c r="AI71" s="7" t="s">
        <v>454</v>
      </c>
      <c r="AJ71" s="7" t="s">
        <v>454</v>
      </c>
      <c r="AK71" s="7" t="s">
        <v>456</v>
      </c>
    </row>
    <row r="72" spans="1:37" x14ac:dyDescent="0.25">
      <c r="A72" s="13" t="str">
        <f ca="1"/>
        <v>0xD048</v>
      </c>
      <c r="B72" s="14" t="str">
        <f ca="1"/>
        <v>DynamicAFonAFC</v>
      </c>
      <c r="D72" s="8" t="str">
        <f ca="1"/>
        <v>DynamicAFonAFC</v>
      </c>
      <c r="E72" s="8" t="str">
        <f ca="1"/>
        <v>DynamicAFonAFC</v>
      </c>
      <c r="F72" s="8" t="str">
        <f ca="1"/>
        <v>DynamicAFonAFC</v>
      </c>
      <c r="G72" s="8" t="str">
        <f ca="1"/>
        <v>DynamicAFonAFC</v>
      </c>
      <c r="H72" s="7" t="str">
        <f ca="1"/>
        <v>DynamicAFonAFC</v>
      </c>
      <c r="I72" s="7" t="str">
        <f ca="1"/>
        <v>DynamicAFonAFC</v>
      </c>
      <c r="J72" s="7" t="str">
        <f ca="1"/>
        <v>DynamicAFonAFC</v>
      </c>
      <c r="K72" s="7" t="str">
        <f ca="1"/>
        <v>DynamicAFonAFC</v>
      </c>
      <c r="L72" s="7" t="str">
        <f ca="1"/>
        <v>DynamicAFonAFC</v>
      </c>
      <c r="M72" s="7" t="str">
        <f ca="1"/>
        <v>DynamicAFonAFC</v>
      </c>
      <c r="N72" s="7" t="str">
        <f ca="1"/>
        <v>DynamicAFonAFC</v>
      </c>
      <c r="O72" s="7" t="str">
        <f ca="1"/>
        <v>DynamicAFonAFC</v>
      </c>
      <c r="P72" s="7" t="str">
        <f ca="1"/>
        <v>DynamicAFonAFC</v>
      </c>
      <c r="Q72" s="7" t="str">
        <f ca="1"/>
        <v>DynamicAFonAFC</v>
      </c>
      <c r="T72" s="7" t="str">
        <f ca="1"/>
        <v>Z8</v>
      </c>
      <c r="U72" s="7" t="str">
        <f ca="1"/>
        <v>0xD05C</v>
      </c>
      <c r="V72" s="7" t="str">
        <f ca="1"/>
        <v>ExposureBaseCompSpot</v>
      </c>
      <c r="X72" s="8" t="s">
        <v>459</v>
      </c>
      <c r="Y72" s="8" t="s">
        <v>459</v>
      </c>
      <c r="Z72" s="8" t="s">
        <v>469</v>
      </c>
      <c r="AA72" s="8" t="s">
        <v>469</v>
      </c>
      <c r="AB72" s="7" t="s">
        <v>467</v>
      </c>
      <c r="AC72" s="7" t="s">
        <v>465</v>
      </c>
      <c r="AD72" s="7" t="s">
        <v>465</v>
      </c>
      <c r="AE72" s="7" t="s">
        <v>465</v>
      </c>
      <c r="AF72" s="7" t="s">
        <v>457</v>
      </c>
      <c r="AG72" s="7" t="s">
        <v>455</v>
      </c>
      <c r="AH72" s="7" t="s">
        <v>455</v>
      </c>
      <c r="AI72" s="7" t="s">
        <v>455</v>
      </c>
      <c r="AJ72" s="7" t="s">
        <v>455</v>
      </c>
      <c r="AK72" s="7" t="s">
        <v>457</v>
      </c>
    </row>
    <row r="73" spans="1:37" x14ac:dyDescent="0.25">
      <c r="A73" s="13" t="str">
        <f ca="1"/>
        <v>0xD049</v>
      </c>
      <c r="B73" s="14" t="str">
        <f ca="1"/>
        <v>DynamicAFonAFS</v>
      </c>
      <c r="D73" s="8" t="str">
        <f ca="1"/>
        <v>DynamicAFonAFS</v>
      </c>
      <c r="E73" s="8" t="str">
        <f ca="1"/>
        <v>DynamicAFonAFS</v>
      </c>
      <c r="F73" s="8" t="str">
        <f ca="1"/>
        <v>DynamicAFonAFS</v>
      </c>
      <c r="G73" s="8" t="str">
        <f ca="1"/>
        <v>DynamicAFonAFS</v>
      </c>
      <c r="H73" s="7" t="str">
        <f ca="1"/>
        <v/>
      </c>
      <c r="I73" s="7" t="str">
        <f ca="1"/>
        <v>DynamicAFonAFS</v>
      </c>
      <c r="J73" s="7" t="str">
        <f ca="1"/>
        <v>DynamicAFonAFS</v>
      </c>
      <c r="K73" s="7" t="str">
        <f ca="1"/>
        <v>DynamicAFonAFS</v>
      </c>
      <c r="L73" s="7" t="str">
        <f ca="1"/>
        <v>DynamicAFonAFS</v>
      </c>
      <c r="M73" s="7" t="str">
        <f ca="1"/>
        <v>DynamicAFonAFS</v>
      </c>
      <c r="N73" s="7" t="str">
        <f ca="1"/>
        <v>DynamicAFonAFS</v>
      </c>
      <c r="O73" s="7" t="str">
        <f ca="1"/>
        <v>DynamicAFonAFS</v>
      </c>
      <c r="P73" s="7" t="str">
        <f ca="1"/>
        <v>DynamicAFonAFS</v>
      </c>
      <c r="Q73" s="7" t="str">
        <f ca="1"/>
        <v>DynamicAFonAFS</v>
      </c>
      <c r="T73" s="7" t="str">
        <f ca="1"/>
        <v>Z8</v>
      </c>
      <c r="U73" s="7" t="str">
        <f ca="1"/>
        <v>0xD05D</v>
      </c>
      <c r="V73" s="7" t="str">
        <f ca="1"/>
        <v>StillFocusMeteringMode</v>
      </c>
      <c r="X73" s="8" t="s">
        <v>460</v>
      </c>
      <c r="Y73" s="8" t="s">
        <v>460</v>
      </c>
      <c r="Z73" s="8" t="s">
        <v>470</v>
      </c>
      <c r="AA73" s="8" t="s">
        <v>470</v>
      </c>
      <c r="AB73" s="7" t="s">
        <v>468</v>
      </c>
      <c r="AC73" s="7" t="s">
        <v>466</v>
      </c>
      <c r="AD73" s="7" t="s">
        <v>466</v>
      </c>
      <c r="AE73" s="7" t="s">
        <v>466</v>
      </c>
      <c r="AF73" s="7" t="s">
        <v>458</v>
      </c>
      <c r="AG73" s="7" t="s">
        <v>456</v>
      </c>
      <c r="AH73" s="7" t="s">
        <v>456</v>
      </c>
      <c r="AI73" s="7" t="s">
        <v>456</v>
      </c>
      <c r="AJ73" s="7" t="s">
        <v>1748</v>
      </c>
      <c r="AK73" s="7" t="s">
        <v>458</v>
      </c>
    </row>
    <row r="74" spans="1:37" x14ac:dyDescent="0.25">
      <c r="A74" s="13" t="str">
        <f ca="1"/>
        <v>0xD04B</v>
      </c>
      <c r="B74" s="14" t="str">
        <f ca="1"/>
        <v>AFDriveByRelease</v>
      </c>
      <c r="D74" s="8" t="str">
        <f ca="1"/>
        <v/>
      </c>
      <c r="E74" s="8" t="str">
        <f ca="1"/>
        <v/>
      </c>
      <c r="F74" s="8" t="str">
        <f ca="1"/>
        <v/>
      </c>
      <c r="G74" s="8" t="str">
        <f ca="1"/>
        <v/>
      </c>
      <c r="H74" s="7" t="str">
        <f ca="1"/>
        <v/>
      </c>
      <c r="I74" s="7" t="str">
        <f ca="1"/>
        <v/>
      </c>
      <c r="J74" s="7" t="str">
        <f ca="1"/>
        <v/>
      </c>
      <c r="K74" s="7" t="str">
        <f ca="1"/>
        <v/>
      </c>
      <c r="L74" s="7" t="str">
        <f ca="1"/>
        <v/>
      </c>
      <c r="M74" s="7" t="str">
        <f ca="1"/>
        <v/>
      </c>
      <c r="N74" s="7" t="str">
        <f ca="1"/>
        <v/>
      </c>
      <c r="O74" s="7" t="str">
        <f ca="1"/>
        <v/>
      </c>
      <c r="P74" s="7" t="str">
        <f ca="1"/>
        <v>AFDriveByRelease</v>
      </c>
      <c r="Q74" s="7" t="str">
        <f ca="1"/>
        <v>AFDriveByRelease</v>
      </c>
      <c r="T74" s="7" t="str">
        <f ca="1"/>
        <v>Z8</v>
      </c>
      <c r="U74" s="7" t="str">
        <f ca="1"/>
        <v>0xD060</v>
      </c>
      <c r="V74" s="7" t="str">
        <f ca="1"/>
        <v>IPTCPresetSelect</v>
      </c>
      <c r="X74" s="8" t="s">
        <v>461</v>
      </c>
      <c r="Y74" s="8" t="s">
        <v>461</v>
      </c>
      <c r="Z74" s="8" t="s">
        <v>471</v>
      </c>
      <c r="AA74" s="8" t="s">
        <v>471</v>
      </c>
      <c r="AB74" s="7" t="s">
        <v>469</v>
      </c>
      <c r="AC74" s="7" t="s">
        <v>467</v>
      </c>
      <c r="AD74" s="7" t="s">
        <v>467</v>
      </c>
      <c r="AE74" s="7" t="s">
        <v>467</v>
      </c>
      <c r="AF74" s="7" t="s">
        <v>459</v>
      </c>
      <c r="AG74" s="7" t="s">
        <v>457</v>
      </c>
      <c r="AH74" s="7" t="s">
        <v>457</v>
      </c>
      <c r="AI74" s="7" t="s">
        <v>457</v>
      </c>
      <c r="AJ74" s="7" t="s">
        <v>1749</v>
      </c>
      <c r="AK74" s="7" t="s">
        <v>459</v>
      </c>
    </row>
    <row r="75" spans="1:37" x14ac:dyDescent="0.25">
      <c r="A75" s="13" t="str">
        <f ca="1"/>
        <v>0xD04C</v>
      </c>
      <c r="B75" s="14" t="str">
        <f ca="1"/>
        <v>FocusFrameMFSetting</v>
      </c>
      <c r="D75" s="8" t="str">
        <f ca="1"/>
        <v/>
      </c>
      <c r="E75" s="8" t="str">
        <f ca="1"/>
        <v/>
      </c>
      <c r="F75" s="8" t="str">
        <f ca="1"/>
        <v/>
      </c>
      <c r="G75" s="8" t="str">
        <f ca="1"/>
        <v/>
      </c>
      <c r="H75" s="7" t="str">
        <f ca="1"/>
        <v/>
      </c>
      <c r="I75" s="7" t="str">
        <f ca="1"/>
        <v/>
      </c>
      <c r="J75" s="7" t="str">
        <f ca="1"/>
        <v/>
      </c>
      <c r="K75" s="7" t="str">
        <f ca="1"/>
        <v/>
      </c>
      <c r="L75" s="7" t="str">
        <f ca="1"/>
        <v/>
      </c>
      <c r="M75" s="7" t="str">
        <f ca="1"/>
        <v/>
      </c>
      <c r="N75" s="7" t="str">
        <f ca="1"/>
        <v/>
      </c>
      <c r="O75" s="7" t="str">
        <f ca="1"/>
        <v/>
      </c>
      <c r="P75" s="7" t="str">
        <f ca="1"/>
        <v>FocusFrameMFSetting</v>
      </c>
      <c r="Q75" s="7" t="str">
        <f ca="1"/>
        <v>FocusFrameMFSetting</v>
      </c>
      <c r="T75" s="7" t="str">
        <f ca="1"/>
        <v>Z8</v>
      </c>
      <c r="U75" s="7" t="str">
        <f ca="1"/>
        <v>0xD061</v>
      </c>
      <c r="V75" s="7" t="str">
        <f ca="1"/>
        <v>StillFocusMode</v>
      </c>
      <c r="X75" s="8" t="s">
        <v>462</v>
      </c>
      <c r="Y75" s="8" t="s">
        <v>462</v>
      </c>
      <c r="Z75" s="8" t="s">
        <v>1193</v>
      </c>
      <c r="AA75" s="8" t="s">
        <v>1193</v>
      </c>
      <c r="AB75" s="7" t="s">
        <v>470</v>
      </c>
      <c r="AC75" s="7" t="s">
        <v>468</v>
      </c>
      <c r="AD75" s="7" t="s">
        <v>468</v>
      </c>
      <c r="AE75" s="7" t="s">
        <v>468</v>
      </c>
      <c r="AF75" s="7" t="s">
        <v>460</v>
      </c>
      <c r="AG75" s="7" t="s">
        <v>458</v>
      </c>
      <c r="AH75" s="7" t="s">
        <v>458</v>
      </c>
      <c r="AI75" s="7" t="s">
        <v>458</v>
      </c>
      <c r="AJ75" s="7" t="s">
        <v>456</v>
      </c>
      <c r="AK75" s="7" t="s">
        <v>460</v>
      </c>
    </row>
    <row r="76" spans="1:37" x14ac:dyDescent="0.25">
      <c r="A76" s="13" t="str">
        <f ca="1"/>
        <v>0xD04D</v>
      </c>
      <c r="B76" s="14" t="str">
        <f ca="1"/>
        <v>FocusFrameCSetting</v>
      </c>
      <c r="D76" s="8" t="str">
        <f ca="1"/>
        <v/>
      </c>
      <c r="E76" s="8" t="str">
        <f ca="1"/>
        <v/>
      </c>
      <c r="F76" s="8" t="str">
        <f ca="1"/>
        <v/>
      </c>
      <c r="G76" s="8" t="str">
        <f ca="1"/>
        <v/>
      </c>
      <c r="H76" s="7" t="str">
        <f ca="1"/>
        <v/>
      </c>
      <c r="I76" s="7" t="str">
        <f ca="1"/>
        <v/>
      </c>
      <c r="J76" s="7" t="str">
        <f ca="1"/>
        <v/>
      </c>
      <c r="K76" s="7" t="str">
        <f ca="1"/>
        <v/>
      </c>
      <c r="L76" s="7" t="str">
        <f ca="1"/>
        <v/>
      </c>
      <c r="M76" s="7" t="str">
        <f ca="1"/>
        <v/>
      </c>
      <c r="N76" s="7" t="str">
        <f ca="1"/>
        <v/>
      </c>
      <c r="O76" s="7" t="str">
        <f ca="1"/>
        <v/>
      </c>
      <c r="P76" s="7" t="str">
        <f ca="1"/>
        <v>FocusFrameCSetting</v>
      </c>
      <c r="Q76" s="7" t="str">
        <f ca="1"/>
        <v>FocusFrameCSetting</v>
      </c>
      <c r="T76" s="7" t="str">
        <f ca="1"/>
        <v>Z8</v>
      </c>
      <c r="U76" s="7" t="str">
        <f ca="1"/>
        <v>0xD067</v>
      </c>
      <c r="V76" s="7" t="str">
        <f ca="1"/>
        <v>AngleLevel</v>
      </c>
      <c r="X76" s="8" t="s">
        <v>463</v>
      </c>
      <c r="Y76" s="8" t="s">
        <v>463</v>
      </c>
      <c r="Z76" s="8" t="s">
        <v>1194</v>
      </c>
      <c r="AA76" s="8" t="s">
        <v>1194</v>
      </c>
      <c r="AB76" s="7" t="s">
        <v>471</v>
      </c>
      <c r="AC76" s="7" t="s">
        <v>469</v>
      </c>
      <c r="AD76" s="7" t="s">
        <v>469</v>
      </c>
      <c r="AE76" s="7" t="s">
        <v>469</v>
      </c>
      <c r="AF76" s="7" t="s">
        <v>461</v>
      </c>
      <c r="AG76" s="7" t="s">
        <v>459</v>
      </c>
      <c r="AH76" s="7" t="s">
        <v>459</v>
      </c>
      <c r="AI76" s="7" t="s">
        <v>459</v>
      </c>
      <c r="AJ76" s="7" t="s">
        <v>457</v>
      </c>
      <c r="AK76" s="7" t="s">
        <v>461</v>
      </c>
    </row>
    <row r="77" spans="1:37" x14ac:dyDescent="0.25">
      <c r="A77" s="13" t="str">
        <f ca="1"/>
        <v>0xD04F</v>
      </c>
      <c r="B77" s="14" t="str">
        <f ca="1"/>
        <v>FocusAreaSelect</v>
      </c>
      <c r="D77" s="8" t="str">
        <f ca="1"/>
        <v>FocusAreaSelect</v>
      </c>
      <c r="E77" s="8" t="str">
        <f ca="1"/>
        <v>FocusAreaSelect</v>
      </c>
      <c r="F77" s="8" t="str">
        <f ca="1"/>
        <v/>
      </c>
      <c r="G77" s="8" t="str">
        <f ca="1"/>
        <v/>
      </c>
      <c r="H77" s="7" t="str">
        <f ca="1"/>
        <v>FocusAreaSelect</v>
      </c>
      <c r="I77" s="7" t="str">
        <f ca="1"/>
        <v>FocusAreaSelect</v>
      </c>
      <c r="J77" s="7" t="str">
        <f ca="1"/>
        <v>FocusAreaSelect</v>
      </c>
      <c r="K77" s="7" t="str">
        <f ca="1"/>
        <v>FocusAreaSelect</v>
      </c>
      <c r="L77" s="7" t="str">
        <f ca="1"/>
        <v>FocusAreaSelect</v>
      </c>
      <c r="M77" s="7" t="str">
        <f ca="1"/>
        <v>FocusAreaSelect</v>
      </c>
      <c r="N77" s="7" t="str">
        <f ca="1"/>
        <v>FocusAreaSelect</v>
      </c>
      <c r="O77" s="7" t="str">
        <f ca="1"/>
        <v>FocusAreaSelect</v>
      </c>
      <c r="P77" s="7" t="str">
        <f ca="1"/>
        <v>FocusAreaSelect</v>
      </c>
      <c r="Q77" s="7" t="str">
        <f ca="1"/>
        <v>FocusAreaSelect</v>
      </c>
      <c r="T77" s="7" t="str">
        <f ca="1"/>
        <v>Z8</v>
      </c>
      <c r="U77" s="7" t="str">
        <f ca="1"/>
        <v>0xD068</v>
      </c>
      <c r="V77" s="7" t="str">
        <f ca="1"/>
        <v>CspeedLow</v>
      </c>
      <c r="X77" s="8" t="s">
        <v>464</v>
      </c>
      <c r="Y77" s="8" t="s">
        <v>464</v>
      </c>
      <c r="Z77" s="8" t="s">
        <v>1195</v>
      </c>
      <c r="AA77" s="8" t="s">
        <v>1195</v>
      </c>
      <c r="AB77" s="7" t="s">
        <v>472</v>
      </c>
      <c r="AC77" s="7" t="s">
        <v>470</v>
      </c>
      <c r="AD77" s="7" t="s">
        <v>470</v>
      </c>
      <c r="AE77" s="7" t="s">
        <v>470</v>
      </c>
      <c r="AF77" s="7" t="s">
        <v>462</v>
      </c>
      <c r="AG77" s="7" t="s">
        <v>460</v>
      </c>
      <c r="AH77" s="7" t="s">
        <v>460</v>
      </c>
      <c r="AI77" s="7" t="s">
        <v>460</v>
      </c>
      <c r="AJ77" s="7" t="s">
        <v>458</v>
      </c>
      <c r="AK77" s="7" t="s">
        <v>462</v>
      </c>
    </row>
    <row r="78" spans="1:37" x14ac:dyDescent="0.25">
      <c r="A78" s="13" t="str">
        <f ca="1"/>
        <v>0xD050</v>
      </c>
      <c r="B78" s="14" t="str">
        <f ca="1"/>
        <v>VerticalAF</v>
      </c>
      <c r="D78" s="8" t="str">
        <f ca="1"/>
        <v/>
      </c>
      <c r="E78" s="8" t="str">
        <f ca="1"/>
        <v/>
      </c>
      <c r="F78" s="8" t="str">
        <f ca="1"/>
        <v/>
      </c>
      <c r="G78" s="8" t="str">
        <f ca="1"/>
        <v/>
      </c>
      <c r="H78" s="7" t="str">
        <f ca="1"/>
        <v/>
      </c>
      <c r="I78" s="7" t="str">
        <f ca="1"/>
        <v/>
      </c>
      <c r="J78" s="7" t="str">
        <f ca="1"/>
        <v/>
      </c>
      <c r="K78" s="7" t="str">
        <f ca="1"/>
        <v/>
      </c>
      <c r="L78" s="7" t="str">
        <f ca="1"/>
        <v/>
      </c>
      <c r="M78" s="7" t="str">
        <f ca="1"/>
        <v/>
      </c>
      <c r="N78" s="7" t="str">
        <f ca="1"/>
        <v/>
      </c>
      <c r="O78" s="7" t="str">
        <f ca="1"/>
        <v/>
      </c>
      <c r="P78" s="7" t="str">
        <f ca="1"/>
        <v>VerticalAF</v>
      </c>
      <c r="Q78" s="7" t="str">
        <f ca="1"/>
        <v>VerticalAF</v>
      </c>
      <c r="T78" s="7" t="str">
        <f ca="1"/>
        <v>Z8</v>
      </c>
      <c r="U78" s="7" t="str">
        <f ca="1"/>
        <v>0xD069</v>
      </c>
      <c r="V78" s="7" t="str">
        <f ca="1"/>
        <v>BurstMaxNumber</v>
      </c>
      <c r="X78" s="8" t="s">
        <v>465</v>
      </c>
      <c r="Y78" s="8" t="s">
        <v>465</v>
      </c>
      <c r="Z78" s="8" t="s">
        <v>1196</v>
      </c>
      <c r="AA78" s="8" t="s">
        <v>1196</v>
      </c>
      <c r="AB78" s="7" t="s">
        <v>473</v>
      </c>
      <c r="AC78" s="7" t="s">
        <v>471</v>
      </c>
      <c r="AD78" s="7" t="s">
        <v>471</v>
      </c>
      <c r="AE78" s="7" t="s">
        <v>471</v>
      </c>
      <c r="AF78" s="7" t="s">
        <v>463</v>
      </c>
      <c r="AG78" s="7" t="s">
        <v>461</v>
      </c>
      <c r="AH78" s="7" t="s">
        <v>461</v>
      </c>
      <c r="AI78" s="7" t="s">
        <v>461</v>
      </c>
      <c r="AJ78" s="7" t="s">
        <v>459</v>
      </c>
      <c r="AK78" s="7" t="s">
        <v>463</v>
      </c>
    </row>
    <row r="79" spans="1:37" x14ac:dyDescent="0.25">
      <c r="A79" s="13" t="str">
        <f ca="1"/>
        <v>0xD051</v>
      </c>
      <c r="B79" s="14" t="str">
        <f ca="1"/>
        <v>AFStillLockOn</v>
      </c>
      <c r="D79" s="8" t="str">
        <f ca="1"/>
        <v/>
      </c>
      <c r="E79" s="8" t="str">
        <f ca="1"/>
        <v/>
      </c>
      <c r="F79" s="8" t="str">
        <f ca="1"/>
        <v/>
      </c>
      <c r="G79" s="8" t="str">
        <f ca="1"/>
        <v/>
      </c>
      <c r="H79" s="7" t="str">
        <f ca="1"/>
        <v/>
      </c>
      <c r="I79" s="7" t="str">
        <f ca="1"/>
        <v/>
      </c>
      <c r="J79" s="7" t="str">
        <f ca="1"/>
        <v/>
      </c>
      <c r="K79" s="7" t="str">
        <f ca="1"/>
        <v/>
      </c>
      <c r="L79" s="7" t="str">
        <f ca="1"/>
        <v/>
      </c>
      <c r="M79" s="7" t="str">
        <f ca="1"/>
        <v/>
      </c>
      <c r="N79" s="7" t="str">
        <f ca="1"/>
        <v>AFStillLockOn</v>
      </c>
      <c r="O79" s="7" t="str">
        <f ca="1"/>
        <v>AFStillLockOn</v>
      </c>
      <c r="P79" s="7" t="str">
        <f ca="1"/>
        <v>AFStillLockOn</v>
      </c>
      <c r="Q79" s="7" t="str">
        <f ca="1"/>
        <v>AFStillLockOn</v>
      </c>
      <c r="T79" s="7" t="str">
        <f ca="1"/>
        <v>Z8</v>
      </c>
      <c r="U79" s="7" t="str">
        <f ca="1"/>
        <v>0xD06A</v>
      </c>
      <c r="V79" s="7" t="str">
        <f ca="1"/>
        <v>ExposureDelay</v>
      </c>
      <c r="X79" s="8" t="s">
        <v>466</v>
      </c>
      <c r="Y79" s="8" t="s">
        <v>466</v>
      </c>
      <c r="Z79" s="8" t="s">
        <v>472</v>
      </c>
      <c r="AA79" s="8" t="s">
        <v>472</v>
      </c>
      <c r="AB79" s="7" t="s">
        <v>474</v>
      </c>
      <c r="AC79" s="7" t="s">
        <v>1193</v>
      </c>
      <c r="AD79" s="7" t="s">
        <v>1193</v>
      </c>
      <c r="AE79" s="7" t="s">
        <v>1193</v>
      </c>
      <c r="AF79" s="7" t="s">
        <v>464</v>
      </c>
      <c r="AG79" s="7" t="s">
        <v>462</v>
      </c>
      <c r="AH79" s="7" t="s">
        <v>462</v>
      </c>
      <c r="AI79" s="7" t="s">
        <v>462</v>
      </c>
      <c r="AJ79" s="7" t="s">
        <v>460</v>
      </c>
      <c r="AK79" s="7" t="s">
        <v>1750</v>
      </c>
    </row>
    <row r="80" spans="1:37" x14ac:dyDescent="0.25">
      <c r="A80" s="13" t="str">
        <f ca="1"/>
        <v>0xD053</v>
      </c>
      <c r="B80" s="14" t="str">
        <f ca="1"/>
        <v>EnableCopyright</v>
      </c>
      <c r="D80" s="8" t="str">
        <f ca="1"/>
        <v>EnableCopyright</v>
      </c>
      <c r="E80" s="8" t="str">
        <f ca="1"/>
        <v>EnableCopyright</v>
      </c>
      <c r="F80" s="8" t="str">
        <f ca="1"/>
        <v>EnableCopyright</v>
      </c>
      <c r="G80" s="8" t="str">
        <f ca="1"/>
        <v>EnableCopyright</v>
      </c>
      <c r="H80" s="7" t="str">
        <f ca="1"/>
        <v>EnableCopyright</v>
      </c>
      <c r="I80" s="7" t="str">
        <f ca="1"/>
        <v>EnableCopyright</v>
      </c>
      <c r="J80" s="7" t="str">
        <f ca="1"/>
        <v>EnableCopyright</v>
      </c>
      <c r="K80" s="7" t="str">
        <f ca="1"/>
        <v>EnableCopyright</v>
      </c>
      <c r="L80" s="7" t="str">
        <f ca="1"/>
        <v>EnableCopyright</v>
      </c>
      <c r="M80" s="7" t="str">
        <f ca="1"/>
        <v>EnableCopyright</v>
      </c>
      <c r="N80" s="7" t="str">
        <f ca="1"/>
        <v>EnableCopyright</v>
      </c>
      <c r="O80" s="7" t="str">
        <f ca="1"/>
        <v>EnableCopyright</v>
      </c>
      <c r="P80" s="7" t="str">
        <f ca="1"/>
        <v>EnableCopyright</v>
      </c>
      <c r="Q80" s="7" t="str">
        <f ca="1"/>
        <v/>
      </c>
      <c r="T80" s="7" t="str">
        <f ca="1"/>
        <v>Z8</v>
      </c>
      <c r="U80" s="7" t="str">
        <f ca="1"/>
        <v>0xD06B</v>
      </c>
      <c r="V80" s="7" t="str">
        <f ca="1"/>
        <v>NoiseReduction</v>
      </c>
      <c r="X80" s="8" t="s">
        <v>467</v>
      </c>
      <c r="Y80" s="8" t="s">
        <v>467</v>
      </c>
      <c r="Z80" s="8" t="s">
        <v>473</v>
      </c>
      <c r="AA80" s="8" t="s">
        <v>473</v>
      </c>
      <c r="AB80" s="7" t="s">
        <v>475</v>
      </c>
      <c r="AC80" s="7" t="s">
        <v>1194</v>
      </c>
      <c r="AD80" s="7" t="s">
        <v>1194</v>
      </c>
      <c r="AE80" s="7" t="s">
        <v>1194</v>
      </c>
      <c r="AF80" s="7" t="s">
        <v>465</v>
      </c>
      <c r="AG80" s="7" t="s">
        <v>463</v>
      </c>
      <c r="AH80" s="7" t="s">
        <v>463</v>
      </c>
      <c r="AI80" s="7" t="s">
        <v>463</v>
      </c>
      <c r="AJ80" s="7" t="s">
        <v>461</v>
      </c>
      <c r="AK80" s="7" t="s">
        <v>1751</v>
      </c>
    </row>
    <row r="81" spans="1:37" x14ac:dyDescent="0.25">
      <c r="A81" s="13" t="str">
        <f ca="1"/>
        <v>0xD054</v>
      </c>
      <c r="B81" s="14" t="str">
        <f ca="1"/>
        <v>ISOAutoControl</v>
      </c>
      <c r="D81" s="8" t="str">
        <f ca="1"/>
        <v>ISOAutoControl</v>
      </c>
      <c r="E81" s="8" t="str">
        <f ca="1"/>
        <v>ISOAutoControl</v>
      </c>
      <c r="F81" s="8" t="str">
        <f ca="1"/>
        <v>ISOAutoControl</v>
      </c>
      <c r="G81" s="8" t="str">
        <f ca="1"/>
        <v>ISOAutoControl</v>
      </c>
      <c r="H81" s="7" t="str">
        <f ca="1"/>
        <v>ISOAutoControl</v>
      </c>
      <c r="I81" s="7" t="str">
        <f ca="1"/>
        <v>ISOAutoControl</v>
      </c>
      <c r="J81" s="7" t="str">
        <f ca="1"/>
        <v>ISOAutoControl</v>
      </c>
      <c r="K81" s="7" t="str">
        <f ca="1"/>
        <v>ISOAutoControl</v>
      </c>
      <c r="L81" s="7" t="str">
        <f ca="1"/>
        <v>ISOAutoControl</v>
      </c>
      <c r="M81" s="7" t="str">
        <f ca="1"/>
        <v>ISOAutoControl</v>
      </c>
      <c r="N81" s="7" t="str">
        <f ca="1"/>
        <v>ISOAutoControl</v>
      </c>
      <c r="O81" s="7" t="str">
        <f ca="1"/>
        <v>ISOAutoControl</v>
      </c>
      <c r="P81" s="7" t="str">
        <f ca="1"/>
        <v>ISOAutoControl</v>
      </c>
      <c r="Q81" s="7" t="str">
        <f ca="1"/>
        <v>ISOAutoControl</v>
      </c>
      <c r="T81" s="7" t="str">
        <f ca="1"/>
        <v>Z8</v>
      </c>
      <c r="U81" s="7" t="str">
        <f ca="1"/>
        <v>0xD06C</v>
      </c>
      <c r="V81" s="7" t="str">
        <f ca="1"/>
        <v>NumberingMode</v>
      </c>
      <c r="X81" s="8" t="s">
        <v>468</v>
      </c>
      <c r="Y81" s="8" t="s">
        <v>468</v>
      </c>
      <c r="Z81" s="8" t="s">
        <v>474</v>
      </c>
      <c r="AA81" s="8" t="s">
        <v>474</v>
      </c>
      <c r="AB81" s="7" t="s">
        <v>476</v>
      </c>
      <c r="AC81" s="7" t="s">
        <v>1195</v>
      </c>
      <c r="AD81" s="7" t="s">
        <v>1195</v>
      </c>
      <c r="AE81" s="7" t="s">
        <v>1195</v>
      </c>
      <c r="AF81" s="7" t="s">
        <v>466</v>
      </c>
      <c r="AG81" s="7" t="s">
        <v>464</v>
      </c>
      <c r="AH81" s="7" t="s">
        <v>464</v>
      </c>
      <c r="AI81" s="7" t="s">
        <v>464</v>
      </c>
      <c r="AJ81" s="7" t="s">
        <v>462</v>
      </c>
      <c r="AK81" s="7" t="s">
        <v>464</v>
      </c>
    </row>
    <row r="82" spans="1:37" x14ac:dyDescent="0.25">
      <c r="A82" s="13" t="str">
        <f ca="1"/>
        <v>0xD055</v>
      </c>
      <c r="B82" s="14" t="str">
        <f ca="1"/>
        <v>IsoStep</v>
      </c>
      <c r="D82" s="8" t="str">
        <f ca="1"/>
        <v>IsoStep</v>
      </c>
      <c r="E82" s="8" t="str">
        <f ca="1"/>
        <v>IsoStep</v>
      </c>
      <c r="F82" s="8" t="str">
        <f ca="1"/>
        <v/>
      </c>
      <c r="G82" s="8" t="str">
        <f ca="1"/>
        <v/>
      </c>
      <c r="H82" s="7" t="str">
        <f ca="1"/>
        <v/>
      </c>
      <c r="I82" s="7" t="str">
        <f ca="1"/>
        <v/>
      </c>
      <c r="J82" s="7" t="str">
        <f ca="1"/>
        <v/>
      </c>
      <c r="K82" s="7" t="str">
        <f ca="1"/>
        <v/>
      </c>
      <c r="L82" s="7" t="str">
        <f ca="1"/>
        <v>IsoStep</v>
      </c>
      <c r="M82" s="7" t="str">
        <f ca="1"/>
        <v>IsoStep</v>
      </c>
      <c r="N82" s="7" t="str">
        <f ca="1"/>
        <v>IsoStep</v>
      </c>
      <c r="O82" s="7" t="str">
        <f ca="1"/>
        <v>IsoStep</v>
      </c>
      <c r="P82" s="7" t="str">
        <f ca="1"/>
        <v>IsoStep</v>
      </c>
      <c r="Q82" s="7" t="str">
        <f ca="1"/>
        <v>IsoStep</v>
      </c>
      <c r="T82" s="7" t="str">
        <f ca="1"/>
        <v>Z8</v>
      </c>
      <c r="U82" s="7" t="str">
        <f ca="1"/>
        <v>0xD070</v>
      </c>
      <c r="V82" s="7" t="str">
        <f ca="1"/>
        <v>NoiseReductionHiIso</v>
      </c>
      <c r="X82" s="8" t="s">
        <v>469</v>
      </c>
      <c r="Y82" s="8" t="s">
        <v>469</v>
      </c>
      <c r="Z82" s="8" t="s">
        <v>475</v>
      </c>
      <c r="AA82" s="8" t="s">
        <v>475</v>
      </c>
      <c r="AB82" s="7" t="s">
        <v>477</v>
      </c>
      <c r="AC82" s="7" t="s">
        <v>1196</v>
      </c>
      <c r="AD82" s="7" t="s">
        <v>1196</v>
      </c>
      <c r="AE82" s="7" t="s">
        <v>1196</v>
      </c>
      <c r="AF82" s="7" t="s">
        <v>467</v>
      </c>
      <c r="AG82" s="7" t="s">
        <v>465</v>
      </c>
      <c r="AH82" s="7" t="s">
        <v>465</v>
      </c>
      <c r="AI82" s="7" t="s">
        <v>465</v>
      </c>
      <c r="AJ82" s="7" t="s">
        <v>463</v>
      </c>
      <c r="AK82" s="7" t="s">
        <v>465</v>
      </c>
    </row>
    <row r="83" spans="1:37" x14ac:dyDescent="0.25">
      <c r="A83" s="13" t="str">
        <f ca="1"/>
        <v>0xD056</v>
      </c>
      <c r="B83" s="14" t="str">
        <f ca="1"/>
        <v>ExposureEVStep</v>
      </c>
      <c r="D83" s="8" t="str">
        <f ca="1"/>
        <v>ExposureEVStep</v>
      </c>
      <c r="E83" s="8" t="str">
        <f ca="1"/>
        <v>ExposureEVStep</v>
      </c>
      <c r="F83" s="8" t="str">
        <f ca="1"/>
        <v>ExposureEVStep</v>
      </c>
      <c r="G83" s="8" t="str">
        <f ca="1"/>
        <v>ExposureEVStep</v>
      </c>
      <c r="H83" s="7" t="str">
        <f ca="1"/>
        <v>ExposureEVStep</v>
      </c>
      <c r="I83" s="7" t="str">
        <f ca="1"/>
        <v>ExposureEVStep</v>
      </c>
      <c r="J83" s="7" t="str">
        <f ca="1"/>
        <v>ExposureEVStep</v>
      </c>
      <c r="K83" s="7" t="str">
        <f ca="1"/>
        <v>ExposureEVStep</v>
      </c>
      <c r="L83" s="7" t="str">
        <f ca="1"/>
        <v>ExposureEVStep</v>
      </c>
      <c r="M83" s="7" t="str">
        <f ca="1"/>
        <v>ExposureEVStep</v>
      </c>
      <c r="N83" s="7" t="str">
        <f ca="1"/>
        <v>ExposureEVStep</v>
      </c>
      <c r="O83" s="7" t="str">
        <f ca="1"/>
        <v>ExposureEVStep</v>
      </c>
      <c r="P83" s="7" t="str">
        <f ca="1"/>
        <v>ExposureEVStep</v>
      </c>
      <c r="Q83" s="7" t="str">
        <f ca="1"/>
        <v>ExposureEVStep</v>
      </c>
      <c r="T83" s="7" t="str">
        <f ca="1"/>
        <v>Z8</v>
      </c>
      <c r="U83" s="7" t="str">
        <f ca="1"/>
        <v>0xD072</v>
      </c>
      <c r="V83" s="7" t="str">
        <f ca="1"/>
        <v>ArtistV</v>
      </c>
      <c r="X83" s="8" t="s">
        <v>470</v>
      </c>
      <c r="Y83" s="8" t="s">
        <v>470</v>
      </c>
      <c r="Z83" s="8" t="s">
        <v>476</v>
      </c>
      <c r="AA83" s="8" t="s">
        <v>476</v>
      </c>
      <c r="AB83" s="7" t="s">
        <v>1516</v>
      </c>
      <c r="AC83" s="7" t="s">
        <v>472</v>
      </c>
      <c r="AD83" s="7" t="s">
        <v>472</v>
      </c>
      <c r="AE83" s="7" t="s">
        <v>472</v>
      </c>
      <c r="AF83" s="7" t="s">
        <v>468</v>
      </c>
      <c r="AG83" s="7" t="s">
        <v>466</v>
      </c>
      <c r="AH83" s="7" t="s">
        <v>466</v>
      </c>
      <c r="AI83" s="7" t="s">
        <v>466</v>
      </c>
      <c r="AJ83" s="7" t="s">
        <v>1750</v>
      </c>
      <c r="AK83" s="7" t="s">
        <v>466</v>
      </c>
    </row>
    <row r="84" spans="1:37" x14ac:dyDescent="0.25">
      <c r="A84" s="13" t="str">
        <f ca="1"/>
        <v>0xD057</v>
      </c>
      <c r="B84" s="14" t="str">
        <f ca="1"/>
        <v>ExposureCompEVStep</v>
      </c>
      <c r="D84" s="8" t="str">
        <f ca="1"/>
        <v/>
      </c>
      <c r="E84" s="8" t="str">
        <f ca="1"/>
        <v/>
      </c>
      <c r="F84" s="8" t="str">
        <f ca="1"/>
        <v/>
      </c>
      <c r="G84" s="8" t="str">
        <f ca="1"/>
        <v/>
      </c>
      <c r="H84" s="7" t="str">
        <f ca="1"/>
        <v/>
      </c>
      <c r="I84" s="7" t="str">
        <f ca="1"/>
        <v/>
      </c>
      <c r="J84" s="7" t="str">
        <f ca="1"/>
        <v/>
      </c>
      <c r="K84" s="7" t="str">
        <f ca="1"/>
        <v/>
      </c>
      <c r="L84" s="7" t="str">
        <f ca="1"/>
        <v>ExposureCompEVStep</v>
      </c>
      <c r="M84" s="7" t="str">
        <f ca="1"/>
        <v>ExposureCompEVStep</v>
      </c>
      <c r="N84" s="7" t="str">
        <f ca="1"/>
        <v>ExposureCompEVStep</v>
      </c>
      <c r="O84" s="7" t="str">
        <f ca="1"/>
        <v>ExposureCompEVStep</v>
      </c>
      <c r="P84" s="7" t="str">
        <f ca="1"/>
        <v>ExposureCompEVStep</v>
      </c>
      <c r="Q84" s="7" t="str">
        <f ca="1"/>
        <v>ExposureCompEVStep</v>
      </c>
      <c r="T84" s="7" t="str">
        <f ca="1"/>
        <v>Z8</v>
      </c>
      <c r="U84" s="7" t="str">
        <f ca="1"/>
        <v>0xD073</v>
      </c>
      <c r="V84" s="7" t="str">
        <f ca="1"/>
        <v>CopyrightV</v>
      </c>
      <c r="X84" s="8" t="s">
        <v>471</v>
      </c>
      <c r="Y84" s="8" t="s">
        <v>471</v>
      </c>
      <c r="Z84" s="8" t="s">
        <v>477</v>
      </c>
      <c r="AA84" s="8" t="s">
        <v>477</v>
      </c>
      <c r="AB84" s="7" t="s">
        <v>1517</v>
      </c>
      <c r="AC84" s="7" t="s">
        <v>473</v>
      </c>
      <c r="AD84" s="7" t="s">
        <v>473</v>
      </c>
      <c r="AE84" s="7" t="s">
        <v>473</v>
      </c>
      <c r="AF84" s="7" t="s">
        <v>469</v>
      </c>
      <c r="AG84" s="7" t="s">
        <v>467</v>
      </c>
      <c r="AH84" s="7" t="s">
        <v>467</v>
      </c>
      <c r="AI84" s="7" t="s">
        <v>467</v>
      </c>
      <c r="AJ84" s="7" t="s">
        <v>1751</v>
      </c>
      <c r="AK84" s="7" t="s">
        <v>467</v>
      </c>
    </row>
    <row r="85" spans="1:37" x14ac:dyDescent="0.25">
      <c r="A85" s="13" t="str">
        <f ca="1"/>
        <v>0xD058</v>
      </c>
      <c r="B85" s="14" t="str">
        <f ca="1"/>
        <v>ExposureCompSetting</v>
      </c>
      <c r="D85" s="8" t="str">
        <f ca="1"/>
        <v/>
      </c>
      <c r="E85" s="8" t="str">
        <f ca="1"/>
        <v/>
      </c>
      <c r="F85" s="8" t="str">
        <f ca="1"/>
        <v/>
      </c>
      <c r="G85" s="8" t="str">
        <f ca="1"/>
        <v/>
      </c>
      <c r="H85" s="7" t="str">
        <f ca="1"/>
        <v/>
      </c>
      <c r="I85" s="7" t="str">
        <f ca="1"/>
        <v/>
      </c>
      <c r="J85" s="7" t="str">
        <f ca="1"/>
        <v/>
      </c>
      <c r="K85" s="7" t="str">
        <f ca="1"/>
        <v/>
      </c>
      <c r="L85" s="7" t="str">
        <f ca="1"/>
        <v/>
      </c>
      <c r="M85" s="7" t="str">
        <f ca="1"/>
        <v/>
      </c>
      <c r="N85" s="7" t="str">
        <f ca="1"/>
        <v/>
      </c>
      <c r="O85" s="7" t="str">
        <f ca="1"/>
        <v/>
      </c>
      <c r="P85" s="7" t="str">
        <f ca="1"/>
        <v>ExposureCompSetting</v>
      </c>
      <c r="Q85" s="7" t="str">
        <f ca="1"/>
        <v>ExposureCompSetting</v>
      </c>
      <c r="T85" s="7" t="str">
        <f ca="1"/>
        <v>Z8</v>
      </c>
      <c r="U85" s="7" t="str">
        <f ca="1"/>
        <v>0xD074</v>
      </c>
      <c r="V85" s="7" t="str">
        <f ca="1"/>
        <v>FlashSyncSpeed</v>
      </c>
      <c r="X85" s="8" t="s">
        <v>472</v>
      </c>
      <c r="Y85" s="8" t="s">
        <v>472</v>
      </c>
      <c r="Z85" s="8" t="s">
        <v>478</v>
      </c>
      <c r="AA85" s="8" t="s">
        <v>478</v>
      </c>
      <c r="AB85" s="7" t="s">
        <v>478</v>
      </c>
      <c r="AC85" s="7" t="s">
        <v>474</v>
      </c>
      <c r="AD85" s="7" t="s">
        <v>474</v>
      </c>
      <c r="AE85" s="7" t="s">
        <v>474</v>
      </c>
      <c r="AF85" s="7" t="s">
        <v>470</v>
      </c>
      <c r="AG85" s="7" t="s">
        <v>468</v>
      </c>
      <c r="AH85" s="7" t="s">
        <v>468</v>
      </c>
      <c r="AI85" s="7" t="s">
        <v>468</v>
      </c>
      <c r="AJ85" s="7" t="s">
        <v>464</v>
      </c>
      <c r="AK85" s="7" t="s">
        <v>468</v>
      </c>
    </row>
    <row r="86" spans="1:37" x14ac:dyDescent="0.25">
      <c r="A86" s="13" t="str">
        <f ca="1"/>
        <v>0xD059</v>
      </c>
      <c r="B86" s="14" t="str">
        <f ca="1"/>
        <v>CenterWeightedExRange</v>
      </c>
      <c r="D86" s="8" t="str">
        <f ca="1"/>
        <v>CenterWeightedExRange</v>
      </c>
      <c r="E86" s="8" t="str">
        <f ca="1"/>
        <v>CenterWeightedExRange</v>
      </c>
      <c r="F86" s="8" t="str">
        <f ca="1"/>
        <v>CenterWeightedExRange</v>
      </c>
      <c r="G86" s="8" t="str">
        <f ca="1"/>
        <v>CenterWeightedExRange</v>
      </c>
      <c r="H86" s="7" t="str">
        <f ca="1"/>
        <v>CenterWeightedExRange</v>
      </c>
      <c r="I86" s="7" t="str">
        <f ca="1"/>
        <v>CenterWeightedExRange</v>
      </c>
      <c r="J86" s="7" t="str">
        <f ca="1"/>
        <v>CenterWeightedExRange</v>
      </c>
      <c r="K86" s="7" t="str">
        <f ca="1"/>
        <v>CenterWeightedExRange</v>
      </c>
      <c r="L86" s="7" t="str">
        <f ca="1"/>
        <v>CenterWeightedExRange</v>
      </c>
      <c r="M86" s="7" t="str">
        <f ca="1"/>
        <v>CenterWeightedExRange</v>
      </c>
      <c r="N86" s="7" t="str">
        <f ca="1"/>
        <v>CenterWeightedExRange</v>
      </c>
      <c r="O86" s="7" t="str">
        <f ca="1"/>
        <v>CenterWeightedExRange</v>
      </c>
      <c r="P86" s="7" t="str">
        <f ca="1"/>
        <v>CenterWeightedExRange</v>
      </c>
      <c r="Q86" s="7" t="str">
        <f ca="1"/>
        <v>CenterWeightedExRange</v>
      </c>
      <c r="T86" s="7" t="str">
        <f ca="1"/>
        <v>Z8</v>
      </c>
      <c r="U86" s="7" t="str">
        <f ca="1"/>
        <v>0xD075</v>
      </c>
      <c r="V86" s="7" t="str">
        <f ca="1"/>
        <v>FlashSlowSpeedLimit</v>
      </c>
      <c r="X86" s="8" t="s">
        <v>473</v>
      </c>
      <c r="Y86" s="8" t="s">
        <v>473</v>
      </c>
      <c r="Z86" s="8" t="s">
        <v>479</v>
      </c>
      <c r="AA86" s="8" t="s">
        <v>479</v>
      </c>
      <c r="AB86" s="7" t="s">
        <v>479</v>
      </c>
      <c r="AC86" s="7" t="s">
        <v>475</v>
      </c>
      <c r="AD86" s="7" t="s">
        <v>475</v>
      </c>
      <c r="AE86" s="7" t="s">
        <v>475</v>
      </c>
      <c r="AF86" s="7" t="s">
        <v>471</v>
      </c>
      <c r="AG86" s="7" t="s">
        <v>469</v>
      </c>
      <c r="AH86" s="7" t="s">
        <v>469</v>
      </c>
      <c r="AI86" s="7" t="s">
        <v>469</v>
      </c>
      <c r="AJ86" s="7" t="s">
        <v>465</v>
      </c>
      <c r="AK86" s="7" t="s">
        <v>469</v>
      </c>
    </row>
    <row r="87" spans="1:37" x14ac:dyDescent="0.25">
      <c r="A87" s="13" t="str">
        <f ca="1"/>
        <v>0xD05A</v>
      </c>
      <c r="B87" s="14" t="str">
        <f ca="1"/>
        <v>ExposureBaseCompMatrix</v>
      </c>
      <c r="D87" s="8" t="str">
        <f ca="1"/>
        <v>ExposureBaseCompMatrix</v>
      </c>
      <c r="E87" s="8" t="str">
        <f ca="1"/>
        <v>ExposureBaseCompMatrix</v>
      </c>
      <c r="F87" s="8" t="str">
        <f ca="1"/>
        <v>ExposureBaseCompMatrix</v>
      </c>
      <c r="G87" s="8" t="str">
        <f ca="1"/>
        <v>ExposureBaseCompMatrix</v>
      </c>
      <c r="H87" s="7" t="str">
        <f ca="1"/>
        <v>ExposureBaseCompMatrix</v>
      </c>
      <c r="I87" s="7" t="str">
        <f ca="1"/>
        <v>ExposureBaseCompMatrix</v>
      </c>
      <c r="J87" s="7" t="str">
        <f ca="1"/>
        <v>ExposureBaseCompMatrix</v>
      </c>
      <c r="K87" s="7" t="str">
        <f ca="1"/>
        <v>ExposureBaseCompMatrix</v>
      </c>
      <c r="L87" s="7" t="str">
        <f ca="1"/>
        <v>ExposureBaseCompMatrix</v>
      </c>
      <c r="M87" s="7" t="str">
        <f ca="1"/>
        <v>ExposureBaseCompMatrix</v>
      </c>
      <c r="N87" s="7" t="str">
        <f ca="1"/>
        <v>ExposureBaseCompMatrix</v>
      </c>
      <c r="O87" s="7" t="str">
        <f ca="1"/>
        <v>ExposureBaseCompMatrix</v>
      </c>
      <c r="P87" s="7" t="str">
        <f ca="1"/>
        <v>ExposureBaseCompMatrix</v>
      </c>
      <c r="Q87" s="7" t="str">
        <f ca="1"/>
        <v>ExposureBaseCompMatrix</v>
      </c>
      <c r="T87" s="7" t="str">
        <f ca="1"/>
        <v>Z8</v>
      </c>
      <c r="U87" s="7" t="str">
        <f ca="1"/>
        <v>0xD078</v>
      </c>
      <c r="V87" s="7" t="str">
        <f ca="1"/>
        <v>BracketingType</v>
      </c>
      <c r="X87" s="8" t="s">
        <v>474</v>
      </c>
      <c r="Y87" s="8" t="s">
        <v>474</v>
      </c>
      <c r="Z87" s="8" t="s">
        <v>480</v>
      </c>
      <c r="AA87" s="8" t="s">
        <v>480</v>
      </c>
      <c r="AB87" s="7" t="s">
        <v>480</v>
      </c>
      <c r="AC87" s="7" t="s">
        <v>476</v>
      </c>
      <c r="AD87" s="7" t="s">
        <v>476</v>
      </c>
      <c r="AE87" s="7" t="s">
        <v>476</v>
      </c>
      <c r="AF87" s="7" t="s">
        <v>1193</v>
      </c>
      <c r="AG87" s="7" t="s">
        <v>470</v>
      </c>
      <c r="AH87" s="7" t="s">
        <v>470</v>
      </c>
      <c r="AI87" s="7" t="s">
        <v>470</v>
      </c>
      <c r="AJ87" s="7" t="s">
        <v>466</v>
      </c>
      <c r="AK87" s="7" t="s">
        <v>470</v>
      </c>
    </row>
    <row r="88" spans="1:37" x14ac:dyDescent="0.25">
      <c r="A88" s="13" t="str">
        <f ca="1"/>
        <v>0xD05B</v>
      </c>
      <c r="B88" s="14" t="str">
        <f ca="1"/>
        <v>ExposureBaseCompCenter</v>
      </c>
      <c r="D88" s="8" t="str">
        <f ca="1"/>
        <v>ExposureBaseCompCenter</v>
      </c>
      <c r="E88" s="8" t="str">
        <f ca="1"/>
        <v>ExposureBaseCompCenter</v>
      </c>
      <c r="F88" s="8" t="str">
        <f ca="1"/>
        <v>ExposureBaseCompCenter</v>
      </c>
      <c r="G88" s="8" t="str">
        <f ca="1"/>
        <v>ExposureBaseCompCenter</v>
      </c>
      <c r="H88" s="7" t="str">
        <f ca="1"/>
        <v>ExposureBaseCompCenter</v>
      </c>
      <c r="I88" s="7" t="str">
        <f ca="1"/>
        <v>ExposureBaseCompCenter</v>
      </c>
      <c r="J88" s="7" t="str">
        <f ca="1"/>
        <v>ExposureBaseCompCenter</v>
      </c>
      <c r="K88" s="7" t="str">
        <f ca="1"/>
        <v>ExposureBaseCompCenter</v>
      </c>
      <c r="L88" s="7" t="str">
        <f ca="1"/>
        <v>ExposureBaseCompCenter</v>
      </c>
      <c r="M88" s="7" t="str">
        <f ca="1"/>
        <v>ExposureBaseCompCenter</v>
      </c>
      <c r="N88" s="7" t="str">
        <f ca="1"/>
        <v>ExposureBaseCompCenter</v>
      </c>
      <c r="O88" s="7" t="str">
        <f ca="1"/>
        <v>ExposureBaseCompCenter</v>
      </c>
      <c r="P88" s="7" t="str">
        <f ca="1"/>
        <v>ExposureBaseCompCenter</v>
      </c>
      <c r="Q88" s="7" t="str">
        <f ca="1"/>
        <v>ExposureBaseCompCenter</v>
      </c>
      <c r="T88" s="7" t="str">
        <f ca="1"/>
        <v>Z8</v>
      </c>
      <c r="U88" s="7" t="str">
        <f ca="1"/>
        <v>0xD079</v>
      </c>
      <c r="V88" s="7" t="str">
        <f ca="1"/>
        <v>SelectBracketChangeFactor</v>
      </c>
      <c r="X88" s="8" t="s">
        <v>475</v>
      </c>
      <c r="Y88" s="8" t="s">
        <v>475</v>
      </c>
      <c r="Z88" s="8" t="s">
        <v>481</v>
      </c>
      <c r="AA88" s="8" t="s">
        <v>481</v>
      </c>
      <c r="AB88" s="7" t="s">
        <v>481</v>
      </c>
      <c r="AC88" s="7" t="s">
        <v>477</v>
      </c>
      <c r="AD88" s="7" t="s">
        <v>477</v>
      </c>
      <c r="AE88" s="7" t="s">
        <v>477</v>
      </c>
      <c r="AF88" s="7" t="s">
        <v>1194</v>
      </c>
      <c r="AG88" s="7" t="s">
        <v>471</v>
      </c>
      <c r="AH88" s="7" t="s">
        <v>471</v>
      </c>
      <c r="AI88" s="7" t="s">
        <v>471</v>
      </c>
      <c r="AJ88" s="7" t="s">
        <v>467</v>
      </c>
      <c r="AK88" s="7" t="s">
        <v>471</v>
      </c>
    </row>
    <row r="89" spans="1:37" x14ac:dyDescent="0.25">
      <c r="A89" s="13" t="str">
        <f ca="1"/>
        <v>0xD05C</v>
      </c>
      <c r="B89" s="14" t="str">
        <f ca="1"/>
        <v>ExposureBaseCompSpot</v>
      </c>
      <c r="D89" s="8" t="str">
        <f ca="1"/>
        <v>ExposureBaseCompSpot</v>
      </c>
      <c r="E89" s="8" t="str">
        <f ca="1"/>
        <v>ExposureBaseCompSpot</v>
      </c>
      <c r="F89" s="8" t="str">
        <f ca="1"/>
        <v>ExposureBaseCompSpot</v>
      </c>
      <c r="G89" s="8" t="str">
        <f ca="1"/>
        <v>ExposureBaseCompSpot</v>
      </c>
      <c r="H89" s="7" t="str">
        <f ca="1"/>
        <v>ExposureBaseCompSpot</v>
      </c>
      <c r="I89" s="7" t="str">
        <f ca="1"/>
        <v>ExposureBaseCompSpot</v>
      </c>
      <c r="J89" s="7" t="str">
        <f ca="1"/>
        <v>ExposureBaseCompSpot</v>
      </c>
      <c r="K89" s="7" t="str">
        <f ca="1"/>
        <v>ExposureBaseCompSpot</v>
      </c>
      <c r="L89" s="7" t="str">
        <f ca="1"/>
        <v>ExposureBaseCompSpot</v>
      </c>
      <c r="M89" s="7" t="str">
        <f ca="1"/>
        <v>ExposureBaseCompSpot</v>
      </c>
      <c r="N89" s="7" t="str">
        <f ca="1"/>
        <v>ExposureBaseCompSpot</v>
      </c>
      <c r="O89" s="7" t="str">
        <f ca="1"/>
        <v>ExposureBaseCompSpot</v>
      </c>
      <c r="P89" s="7" t="str">
        <f ca="1"/>
        <v>ExposureBaseCompSpot</v>
      </c>
      <c r="Q89" s="7" t="str">
        <f ca="1"/>
        <v>ExposureBaseCompSpot</v>
      </c>
      <c r="T89" s="7" t="str">
        <f ca="1"/>
        <v>Z8</v>
      </c>
      <c r="U89" s="7" t="str">
        <f ca="1"/>
        <v>0xD07A</v>
      </c>
      <c r="V89" s="7" t="str">
        <f ca="1"/>
        <v>BracketingOrder</v>
      </c>
      <c r="X89" s="8" t="s">
        <v>476</v>
      </c>
      <c r="Y89" s="8" t="s">
        <v>476</v>
      </c>
      <c r="Z89" s="8" t="s">
        <v>482</v>
      </c>
      <c r="AA89" s="8" t="s">
        <v>482</v>
      </c>
      <c r="AB89" s="7" t="s">
        <v>482</v>
      </c>
      <c r="AC89" s="7" t="s">
        <v>478</v>
      </c>
      <c r="AD89" s="7" t="s">
        <v>478</v>
      </c>
      <c r="AE89" s="7" t="s">
        <v>478</v>
      </c>
      <c r="AF89" s="7" t="s">
        <v>1195</v>
      </c>
      <c r="AG89" s="7" t="s">
        <v>1193</v>
      </c>
      <c r="AH89" s="7" t="s">
        <v>1193</v>
      </c>
      <c r="AI89" s="7" t="s">
        <v>1193</v>
      </c>
      <c r="AJ89" s="7" t="s">
        <v>468</v>
      </c>
      <c r="AK89" s="7" t="s">
        <v>1193</v>
      </c>
    </row>
    <row r="90" spans="1:37" x14ac:dyDescent="0.25">
      <c r="A90" s="13" t="str">
        <f ca="1"/>
        <v>0xD05D</v>
      </c>
      <c r="B90" s="14" t="str">
        <f ca="1"/>
        <v>StillFocusMeteringMode</v>
      </c>
      <c r="D90" s="8" t="str">
        <f ca="1"/>
        <v>StillFocusMeteringMode</v>
      </c>
      <c r="E90" s="8" t="str">
        <f ca="1"/>
        <v>StillFocusMeteringMode</v>
      </c>
      <c r="F90" s="8" t="str">
        <f ca="1"/>
        <v>StillFocusMeteringMode</v>
      </c>
      <c r="G90" s="8" t="str">
        <f ca="1"/>
        <v>StillFocusMeteringMode</v>
      </c>
      <c r="H90" s="7" t="str">
        <f ca="1"/>
        <v/>
      </c>
      <c r="I90" s="7" t="str">
        <f ca="1"/>
        <v/>
      </c>
      <c r="J90" s="7" t="str">
        <f ca="1"/>
        <v/>
      </c>
      <c r="K90" s="7" t="str">
        <f ca="1"/>
        <v/>
      </c>
      <c r="L90" s="7" t="str">
        <f ca="1"/>
        <v>StillFocusMeteringMode</v>
      </c>
      <c r="M90" s="7" t="str">
        <f ca="1"/>
        <v>AfAtLiveView</v>
      </c>
      <c r="N90" s="7" t="str">
        <f ca="1"/>
        <v>AfAtLiveView</v>
      </c>
      <c r="O90" s="7" t="str">
        <f ca="1"/>
        <v>AfAtLiveView</v>
      </c>
      <c r="P90" s="7" t="str">
        <f ca="1"/>
        <v/>
      </c>
      <c r="Q90" s="7" t="str">
        <f ca="1"/>
        <v/>
      </c>
      <c r="T90" s="7" t="str">
        <f ca="1"/>
        <v>Z8</v>
      </c>
      <c r="U90" s="7" t="str">
        <f ca="1"/>
        <v>0xD07D</v>
      </c>
      <c r="V90" s="7" t="str">
        <f ca="1"/>
        <v>AngleLevelPitching</v>
      </c>
      <c r="X90" s="8" t="s">
        <v>477</v>
      </c>
      <c r="Y90" s="8" t="s">
        <v>477</v>
      </c>
      <c r="Z90" s="8" t="s">
        <v>483</v>
      </c>
      <c r="AA90" s="8" t="s">
        <v>483</v>
      </c>
      <c r="AB90" s="7" t="s">
        <v>483</v>
      </c>
      <c r="AC90" s="7" t="s">
        <v>479</v>
      </c>
      <c r="AD90" s="7" t="s">
        <v>479</v>
      </c>
      <c r="AE90" s="7" t="s">
        <v>479</v>
      </c>
      <c r="AF90" s="7" t="s">
        <v>1196</v>
      </c>
      <c r="AG90" s="7" t="s">
        <v>1194</v>
      </c>
      <c r="AH90" s="7" t="s">
        <v>1194</v>
      </c>
      <c r="AI90" s="7" t="s">
        <v>1194</v>
      </c>
      <c r="AJ90" s="7" t="s">
        <v>469</v>
      </c>
      <c r="AK90" s="7" t="s">
        <v>1194</v>
      </c>
    </row>
    <row r="91" spans="1:37" x14ac:dyDescent="0.25">
      <c r="A91" s="13" t="str">
        <f ca="1"/>
        <v>0xD05E</v>
      </c>
      <c r="B91" s="14" t="str">
        <f ca="1"/>
        <v>AELockRelease</v>
      </c>
      <c r="D91" s="8" t="str">
        <f ca="1"/>
        <v/>
      </c>
      <c r="E91" s="8" t="str">
        <f ca="1"/>
        <v/>
      </c>
      <c r="F91" s="8" t="str">
        <f ca="1"/>
        <v/>
      </c>
      <c r="G91" s="8" t="str">
        <f ca="1"/>
        <v/>
      </c>
      <c r="H91" s="7" t="str">
        <f ca="1"/>
        <v/>
      </c>
      <c r="I91" s="7" t="str">
        <f ca="1"/>
        <v/>
      </c>
      <c r="J91" s="7" t="str">
        <f ca="1"/>
        <v/>
      </c>
      <c r="K91" s="7" t="str">
        <f ca="1"/>
        <v/>
      </c>
      <c r="L91" s="7" t="str">
        <f ca="1"/>
        <v/>
      </c>
      <c r="M91" s="7" t="str">
        <f ca="1"/>
        <v/>
      </c>
      <c r="N91" s="7" t="str">
        <f ca="1"/>
        <v/>
      </c>
      <c r="O91" s="7" t="str">
        <f ca="1"/>
        <v/>
      </c>
      <c r="P91" s="7" t="str">
        <f ca="1"/>
        <v>AELockRelease</v>
      </c>
      <c r="Q91" s="7" t="str">
        <f ca="1"/>
        <v>AELockRelease</v>
      </c>
      <c r="T91" s="7" t="str">
        <f ca="1"/>
        <v>Z8</v>
      </c>
      <c r="U91" s="7" t="str">
        <f ca="1"/>
        <v>0xD07E</v>
      </c>
      <c r="V91" s="7" t="str">
        <f ca="1"/>
        <v>AngleLevelYawing</v>
      </c>
      <c r="X91" s="8" t="s">
        <v>478</v>
      </c>
      <c r="Y91" s="8" t="s">
        <v>478</v>
      </c>
      <c r="Z91" s="8" t="s">
        <v>484</v>
      </c>
      <c r="AA91" s="8" t="s">
        <v>484</v>
      </c>
      <c r="AB91" s="7" t="s">
        <v>484</v>
      </c>
      <c r="AC91" s="7" t="s">
        <v>480</v>
      </c>
      <c r="AD91" s="7" t="s">
        <v>480</v>
      </c>
      <c r="AE91" s="7" t="s">
        <v>480</v>
      </c>
      <c r="AF91" s="7" t="s">
        <v>472</v>
      </c>
      <c r="AG91" s="7" t="s">
        <v>1195</v>
      </c>
      <c r="AH91" s="7" t="s">
        <v>1195</v>
      </c>
      <c r="AI91" s="7" t="s">
        <v>1195</v>
      </c>
      <c r="AJ91" s="7" t="s">
        <v>470</v>
      </c>
      <c r="AK91" s="7" t="s">
        <v>1195</v>
      </c>
    </row>
    <row r="92" spans="1:37" x14ac:dyDescent="0.25">
      <c r="A92" s="13" t="str">
        <f ca="1"/>
        <v>0xD05F</v>
      </c>
      <c r="B92" s="14" t="str">
        <f ca="1"/>
        <v>AEAFLockSetting</v>
      </c>
      <c r="D92" s="8" t="str">
        <f ca="1"/>
        <v/>
      </c>
      <c r="E92" s="8" t="str">
        <f ca="1"/>
        <v/>
      </c>
      <c r="F92" s="8" t="str">
        <f ca="1"/>
        <v/>
      </c>
      <c r="G92" s="8" t="str">
        <f ca="1"/>
        <v/>
      </c>
      <c r="H92" s="7" t="str">
        <f ca="1"/>
        <v/>
      </c>
      <c r="I92" s="7" t="str">
        <f ca="1"/>
        <v/>
      </c>
      <c r="J92" s="7" t="str">
        <f ca="1"/>
        <v/>
      </c>
      <c r="K92" s="7" t="str">
        <f ca="1"/>
        <v/>
      </c>
      <c r="L92" s="7" t="str">
        <f ca="1"/>
        <v/>
      </c>
      <c r="M92" s="7" t="str">
        <f ca="1"/>
        <v/>
      </c>
      <c r="N92" s="7" t="str">
        <f ca="1"/>
        <v/>
      </c>
      <c r="O92" s="7" t="str">
        <f ca="1"/>
        <v/>
      </c>
      <c r="P92" s="7" t="str">
        <f ca="1"/>
        <v>AEAFLockSetting</v>
      </c>
      <c r="Q92" s="7" t="str">
        <f ca="1"/>
        <v>AEAFLockSetting</v>
      </c>
      <c r="T92" s="7" t="str">
        <f ca="1"/>
        <v>Z8</v>
      </c>
      <c r="U92" s="7" t="str">
        <f ca="1"/>
        <v>0xD07F</v>
      </c>
      <c r="V92" s="7" t="str">
        <f ca="1"/>
        <v>ExtendShootingMenu</v>
      </c>
      <c r="X92" s="8" t="s">
        <v>479</v>
      </c>
      <c r="Y92" s="8" t="s">
        <v>479</v>
      </c>
      <c r="Z92" s="8" t="s">
        <v>485</v>
      </c>
      <c r="AA92" s="8" t="s">
        <v>485</v>
      </c>
      <c r="AB92" s="7" t="s">
        <v>485</v>
      </c>
      <c r="AC92" s="7" t="s">
        <v>481</v>
      </c>
      <c r="AD92" s="7" t="s">
        <v>481</v>
      </c>
      <c r="AE92" s="7" t="s">
        <v>481</v>
      </c>
      <c r="AF92" s="7" t="s">
        <v>473</v>
      </c>
      <c r="AG92" s="7" t="s">
        <v>1196</v>
      </c>
      <c r="AH92" s="7" t="s">
        <v>1196</v>
      </c>
      <c r="AI92" s="7" t="s">
        <v>1196</v>
      </c>
      <c r="AJ92" s="7" t="s">
        <v>471</v>
      </c>
      <c r="AK92" s="7" t="s">
        <v>1196</v>
      </c>
    </row>
    <row r="93" spans="1:37" x14ac:dyDescent="0.25">
      <c r="A93" s="13" t="str">
        <f ca="1"/>
        <v>0xD060</v>
      </c>
      <c r="B93" s="14" t="str">
        <f ca="1"/>
        <v>IPTCPresetSelect</v>
      </c>
      <c r="D93" s="8" t="str">
        <f ca="1"/>
        <v>IPTCPresetSelect</v>
      </c>
      <c r="E93" s="8" t="str">
        <f ca="1"/>
        <v>IPTCPresetSelect</v>
      </c>
      <c r="F93" s="8" t="str">
        <f ca="1"/>
        <v/>
      </c>
      <c r="G93" s="8" t="str">
        <f ca="1"/>
        <v/>
      </c>
      <c r="H93" s="7" t="str">
        <f ca="1"/>
        <v/>
      </c>
      <c r="I93" s="7" t="str">
        <f ca="1"/>
        <v/>
      </c>
      <c r="J93" s="7" t="str">
        <f ca="1"/>
        <v/>
      </c>
      <c r="K93" s="7" t="str">
        <f ca="1"/>
        <v/>
      </c>
      <c r="L93" s="7" t="str">
        <f ca="1"/>
        <v>IPTCPresetSelect</v>
      </c>
      <c r="M93" s="7" t="str">
        <f ca="1"/>
        <v>IPTCPresetSelect</v>
      </c>
      <c r="N93" s="7" t="str">
        <f ca="1"/>
        <v/>
      </c>
      <c r="O93" s="7" t="str">
        <f ca="1"/>
        <v/>
      </c>
      <c r="P93" s="7" t="str">
        <f ca="1"/>
        <v/>
      </c>
      <c r="Q93" s="7" t="str">
        <f ca="1"/>
        <v/>
      </c>
      <c r="T93" s="7" t="str">
        <f ca="1"/>
        <v>Z8</v>
      </c>
      <c r="U93" s="7" t="str">
        <f ca="1"/>
        <v>0xD08A</v>
      </c>
      <c r="V93" s="7" t="str">
        <f ca="1"/>
        <v>EnableShutter</v>
      </c>
      <c r="X93" s="8" t="s">
        <v>480</v>
      </c>
      <c r="Y93" s="8" t="s">
        <v>480</v>
      </c>
      <c r="Z93" s="8" t="s">
        <v>486</v>
      </c>
      <c r="AA93" s="8" t="s">
        <v>486</v>
      </c>
      <c r="AB93" s="7" t="s">
        <v>486</v>
      </c>
      <c r="AC93" s="7" t="s">
        <v>482</v>
      </c>
      <c r="AD93" s="7" t="s">
        <v>482</v>
      </c>
      <c r="AE93" s="7" t="s">
        <v>482</v>
      </c>
      <c r="AF93" s="7" t="s">
        <v>474</v>
      </c>
      <c r="AG93" s="7" t="s">
        <v>472</v>
      </c>
      <c r="AH93" s="7" t="s">
        <v>472</v>
      </c>
      <c r="AI93" s="7" t="s">
        <v>472</v>
      </c>
      <c r="AJ93" s="7" t="s">
        <v>1193</v>
      </c>
      <c r="AK93" s="7" t="s">
        <v>472</v>
      </c>
    </row>
    <row r="94" spans="1:37" x14ac:dyDescent="0.25">
      <c r="A94" s="13" t="str">
        <f ca="1"/>
        <v>0xD061</v>
      </c>
      <c r="B94" s="14" t="str">
        <f ca="1"/>
        <v>StillFocusMode</v>
      </c>
      <c r="D94" s="8" t="str">
        <f ca="1"/>
        <v>StillFocusMode</v>
      </c>
      <c r="E94" s="8" t="str">
        <f ca="1"/>
        <v>StillFocusMode</v>
      </c>
      <c r="F94" s="8" t="str">
        <f ca="1"/>
        <v>StillFocusMode</v>
      </c>
      <c r="G94" s="8" t="str">
        <f ca="1"/>
        <v>StillFocusMode</v>
      </c>
      <c r="H94" s="7" t="str">
        <f ca="1"/>
        <v>AfModeAtLiveView</v>
      </c>
      <c r="I94" s="7" t="str">
        <f ca="1"/>
        <v>AfModeAtLiveView</v>
      </c>
      <c r="J94" s="7" t="str">
        <f ca="1"/>
        <v>AfModeAtLiveView</v>
      </c>
      <c r="K94" s="7" t="str">
        <f ca="1"/>
        <v>AfModeAtLiveView</v>
      </c>
      <c r="L94" s="7" t="str">
        <f ca="1"/>
        <v>StillFocusMode</v>
      </c>
      <c r="M94" s="7" t="str">
        <f ca="1"/>
        <v>AfModeAtLiveView</v>
      </c>
      <c r="N94" s="7" t="str">
        <f ca="1"/>
        <v>AfModeAtLiveView</v>
      </c>
      <c r="O94" s="7" t="str">
        <f ca="1"/>
        <v>AfModeAtLiveView</v>
      </c>
      <c r="P94" s="7" t="str">
        <f ca="1"/>
        <v/>
      </c>
      <c r="Q94" s="7" t="str">
        <f ca="1"/>
        <v/>
      </c>
      <c r="T94" s="7" t="str">
        <f ca="1"/>
        <v>Z8</v>
      </c>
      <c r="U94" s="7" t="str">
        <f ca="1"/>
        <v>0xD08D</v>
      </c>
      <c r="V94" s="7" t="str">
        <f ca="1"/>
        <v>EnableAFAreaPoint</v>
      </c>
      <c r="X94" s="8" t="s">
        <v>481</v>
      </c>
      <c r="Y94" s="8" t="s">
        <v>481</v>
      </c>
      <c r="Z94" s="8" t="s">
        <v>487</v>
      </c>
      <c r="AA94" s="8" t="s">
        <v>487</v>
      </c>
      <c r="AB94" s="7" t="s">
        <v>487</v>
      </c>
      <c r="AC94" s="7" t="s">
        <v>483</v>
      </c>
      <c r="AD94" s="7" t="s">
        <v>483</v>
      </c>
      <c r="AE94" s="7" t="s">
        <v>483</v>
      </c>
      <c r="AF94" s="7" t="s">
        <v>475</v>
      </c>
      <c r="AG94" s="7" t="s">
        <v>473</v>
      </c>
      <c r="AH94" s="7" t="s">
        <v>473</v>
      </c>
      <c r="AI94" s="7" t="s">
        <v>473</v>
      </c>
      <c r="AJ94" s="7" t="s">
        <v>1194</v>
      </c>
      <c r="AK94" s="7" t="s">
        <v>1855</v>
      </c>
    </row>
    <row r="95" spans="1:37" x14ac:dyDescent="0.25">
      <c r="A95" s="13" t="str">
        <f ca="1"/>
        <v>0xD062</v>
      </c>
      <c r="B95" s="14" t="str">
        <f ca="1"/>
        <v>AutoMeterOffDelay</v>
      </c>
      <c r="D95" s="8" t="str">
        <f ca="1"/>
        <v/>
      </c>
      <c r="E95" s="8" t="str">
        <f ca="1"/>
        <v/>
      </c>
      <c r="F95" s="8" t="str">
        <f ca="1"/>
        <v/>
      </c>
      <c r="G95" s="8" t="str">
        <f ca="1"/>
        <v/>
      </c>
      <c r="H95" s="7" t="str">
        <f ca="1"/>
        <v/>
      </c>
      <c r="I95" s="7" t="str">
        <f ca="1"/>
        <v/>
      </c>
      <c r="J95" s="7" t="str">
        <f ca="1"/>
        <v/>
      </c>
      <c r="K95" s="7" t="str">
        <f ca="1"/>
        <v/>
      </c>
      <c r="L95" s="7" t="str">
        <f ca="1"/>
        <v/>
      </c>
      <c r="M95" s="7" t="str">
        <f ca="1"/>
        <v/>
      </c>
      <c r="N95" s="7" t="str">
        <f ca="1"/>
        <v/>
      </c>
      <c r="O95" s="7" t="str">
        <f ca="1"/>
        <v/>
      </c>
      <c r="P95" s="7" t="str">
        <f ca="1"/>
        <v>AutoMeterOffDelay</v>
      </c>
      <c r="Q95" s="7" t="str">
        <f ca="1"/>
        <v>AutoMeterOffDelay</v>
      </c>
      <c r="T95" s="7" t="str">
        <f ca="1"/>
        <v>Z8</v>
      </c>
      <c r="U95" s="7" t="str">
        <f ca="1"/>
        <v>0xD08F</v>
      </c>
      <c r="V95" s="7" t="str">
        <f ca="1"/>
        <v>ImageSensorCleaning</v>
      </c>
      <c r="X95" s="8" t="s">
        <v>482</v>
      </c>
      <c r="Y95" s="8" t="s">
        <v>482</v>
      </c>
      <c r="Z95" s="8" t="s">
        <v>488</v>
      </c>
      <c r="AA95" s="8" t="s">
        <v>488</v>
      </c>
      <c r="AB95" s="7" t="s">
        <v>488</v>
      </c>
      <c r="AC95" s="7" t="s">
        <v>484</v>
      </c>
      <c r="AD95" s="7" t="s">
        <v>484</v>
      </c>
      <c r="AE95" s="7" t="s">
        <v>484</v>
      </c>
      <c r="AF95" s="7" t="s">
        <v>1659</v>
      </c>
      <c r="AG95" s="7" t="s">
        <v>474</v>
      </c>
      <c r="AH95" s="7" t="s">
        <v>1727</v>
      </c>
      <c r="AI95" s="7" t="s">
        <v>1727</v>
      </c>
      <c r="AJ95" s="7" t="s">
        <v>1195</v>
      </c>
      <c r="AK95" s="7" t="s">
        <v>1727</v>
      </c>
    </row>
    <row r="96" spans="1:37" x14ac:dyDescent="0.25">
      <c r="A96" s="13" t="str">
        <f ca="1"/>
        <v>0xD063</v>
      </c>
      <c r="B96" s="14" t="str">
        <f ca="1"/>
        <v>SelfTimerDelay</v>
      </c>
      <c r="D96" s="8" t="str">
        <f ca="1"/>
        <v/>
      </c>
      <c r="E96" s="8" t="str">
        <f ca="1"/>
        <v/>
      </c>
      <c r="F96" s="8" t="str">
        <f ca="1"/>
        <v/>
      </c>
      <c r="G96" s="8" t="str">
        <f ca="1"/>
        <v/>
      </c>
      <c r="H96" s="7" t="str">
        <f ca="1"/>
        <v/>
      </c>
      <c r="I96" s="7" t="str">
        <f ca="1"/>
        <v/>
      </c>
      <c r="J96" s="7" t="str">
        <f ca="1"/>
        <v/>
      </c>
      <c r="K96" s="7" t="str">
        <f ca="1"/>
        <v/>
      </c>
      <c r="L96" s="7" t="str">
        <f ca="1"/>
        <v/>
      </c>
      <c r="M96" s="7" t="str">
        <f ca="1"/>
        <v/>
      </c>
      <c r="N96" s="7" t="str">
        <f ca="1"/>
        <v/>
      </c>
      <c r="O96" s="7" t="str">
        <f ca="1"/>
        <v/>
      </c>
      <c r="P96" s="7" t="str">
        <f ca="1"/>
        <v>SelfTimerDelay</v>
      </c>
      <c r="Q96" s="7" t="str">
        <f ca="1"/>
        <v>SelfTimerDelay</v>
      </c>
      <c r="T96" s="7" t="str">
        <f ca="1"/>
        <v>Z8</v>
      </c>
      <c r="U96" s="7" t="str">
        <f ca="1"/>
        <v>0xD090</v>
      </c>
      <c r="V96" s="7" t="str">
        <f ca="1"/>
        <v>CommentString</v>
      </c>
      <c r="X96" s="8" t="s">
        <v>483</v>
      </c>
      <c r="Y96" s="8" t="s">
        <v>483</v>
      </c>
      <c r="Z96" s="8" t="s">
        <v>489</v>
      </c>
      <c r="AA96" s="8" t="s">
        <v>489</v>
      </c>
      <c r="AB96" s="7" t="s">
        <v>489</v>
      </c>
      <c r="AC96" s="7" t="s">
        <v>485</v>
      </c>
      <c r="AD96" s="7" t="s">
        <v>485</v>
      </c>
      <c r="AE96" s="7" t="s">
        <v>485</v>
      </c>
      <c r="AF96" s="7" t="s">
        <v>1660</v>
      </c>
      <c r="AG96" s="7" t="s">
        <v>475</v>
      </c>
      <c r="AH96" s="7" t="s">
        <v>1728</v>
      </c>
      <c r="AI96" s="7" t="s">
        <v>1728</v>
      </c>
      <c r="AJ96" s="7" t="s">
        <v>1196</v>
      </c>
      <c r="AK96" s="7" t="s">
        <v>1728</v>
      </c>
    </row>
    <row r="97" spans="1:37" x14ac:dyDescent="0.25">
      <c r="A97" s="13" t="str">
        <f ca="1"/>
        <v>0xD064</v>
      </c>
      <c r="B97" s="14" t="str">
        <f ca="1"/>
        <v>LCDPowerOff</v>
      </c>
      <c r="D97" s="8" t="str">
        <f ca="1"/>
        <v/>
      </c>
      <c r="E97" s="8" t="str">
        <f ca="1"/>
        <v/>
      </c>
      <c r="F97" s="8" t="str">
        <f ca="1"/>
        <v/>
      </c>
      <c r="G97" s="8" t="str">
        <f ca="1"/>
        <v/>
      </c>
      <c r="H97" s="7" t="str">
        <f ca="1"/>
        <v/>
      </c>
      <c r="I97" s="7" t="str">
        <f ca="1"/>
        <v/>
      </c>
      <c r="J97" s="7" t="str">
        <f ca="1"/>
        <v/>
      </c>
      <c r="K97" s="7" t="str">
        <f ca="1"/>
        <v/>
      </c>
      <c r="L97" s="7" t="str">
        <f ca="1"/>
        <v/>
      </c>
      <c r="M97" s="7" t="str">
        <f ca="1"/>
        <v/>
      </c>
      <c r="N97" s="7" t="str">
        <f ca="1"/>
        <v/>
      </c>
      <c r="O97" s="7" t="str">
        <f ca="1"/>
        <v/>
      </c>
      <c r="P97" s="7" t="str">
        <f ca="1"/>
        <v>LCDPowerOff</v>
      </c>
      <c r="Q97" s="7" t="str">
        <f ca="1"/>
        <v>LCDPowerOff</v>
      </c>
      <c r="T97" s="7" t="str">
        <f ca="1"/>
        <v>Z8</v>
      </c>
      <c r="U97" s="7" t="str">
        <f ca="1"/>
        <v>0xD091</v>
      </c>
      <c r="V97" s="7" t="str">
        <f ca="1"/>
        <v>EnableComment</v>
      </c>
      <c r="X97" s="8" t="s">
        <v>484</v>
      </c>
      <c r="Y97" s="8" t="s">
        <v>484</v>
      </c>
      <c r="Z97" s="8" t="s">
        <v>490</v>
      </c>
      <c r="AA97" s="8" t="s">
        <v>490</v>
      </c>
      <c r="AB97" s="7" t="s">
        <v>490</v>
      </c>
      <c r="AC97" s="7" t="s">
        <v>486</v>
      </c>
      <c r="AD97" s="7" t="s">
        <v>486</v>
      </c>
      <c r="AE97" s="7" t="s">
        <v>486</v>
      </c>
      <c r="AF97" s="7" t="s">
        <v>476</v>
      </c>
      <c r="AG97" s="7" t="s">
        <v>1659</v>
      </c>
      <c r="AH97" s="7" t="s">
        <v>474</v>
      </c>
      <c r="AI97" s="7" t="s">
        <v>474</v>
      </c>
      <c r="AJ97" s="7" t="s">
        <v>472</v>
      </c>
      <c r="AK97" s="7" t="s">
        <v>474</v>
      </c>
    </row>
    <row r="98" spans="1:37" x14ac:dyDescent="0.25">
      <c r="A98" s="13" t="str">
        <f ca="1"/>
        <v>0xD067</v>
      </c>
      <c r="B98" s="14" t="str">
        <f ca="1"/>
        <v>AngleLevel</v>
      </c>
      <c r="D98" s="8" t="str">
        <f ca="1"/>
        <v>AngleLevel</v>
      </c>
      <c r="E98" s="8" t="str">
        <f ca="1"/>
        <v>AngleLevel</v>
      </c>
      <c r="F98" s="8" t="str">
        <f ca="1"/>
        <v>AngleLevel</v>
      </c>
      <c r="G98" s="8" t="str">
        <f ca="1"/>
        <v>AngleLevel</v>
      </c>
      <c r="H98" s="7" t="str">
        <f ca="1"/>
        <v>AngleLevel</v>
      </c>
      <c r="I98" s="7" t="str">
        <f ca="1"/>
        <v>AngleLevel</v>
      </c>
      <c r="J98" s="7" t="str">
        <f ca="1"/>
        <v>AngleLevel</v>
      </c>
      <c r="K98" s="7" t="str">
        <f ca="1"/>
        <v>AngleLevel</v>
      </c>
      <c r="L98" s="7" t="str">
        <f ca="1"/>
        <v>AngleLevel</v>
      </c>
      <c r="M98" s="7" t="str">
        <f ca="1"/>
        <v>AngleLevel</v>
      </c>
      <c r="N98" s="7" t="str">
        <f ca="1"/>
        <v>AngleLevel</v>
      </c>
      <c r="O98" s="7" t="str">
        <f ca="1"/>
        <v>AngleLevel</v>
      </c>
      <c r="P98" s="7" t="str">
        <f ca="1"/>
        <v>AngleLevel</v>
      </c>
      <c r="Q98" s="7" t="str">
        <f ca="1"/>
        <v/>
      </c>
      <c r="T98" s="7" t="str">
        <f ca="1"/>
        <v>Z8</v>
      </c>
      <c r="U98" s="7" t="str">
        <f ca="1"/>
        <v>0xD092</v>
      </c>
      <c r="V98" s="7" t="str">
        <f ca="1"/>
        <v>OrientationSensorMode</v>
      </c>
      <c r="X98" s="8" t="s">
        <v>485</v>
      </c>
      <c r="Y98" s="8" t="s">
        <v>485</v>
      </c>
      <c r="Z98" s="8" t="s">
        <v>491</v>
      </c>
      <c r="AA98" s="8" t="s">
        <v>491</v>
      </c>
      <c r="AB98" s="7" t="s">
        <v>491</v>
      </c>
      <c r="AC98" s="7" t="s">
        <v>487</v>
      </c>
      <c r="AD98" s="7" t="s">
        <v>487</v>
      </c>
      <c r="AE98" s="7" t="s">
        <v>487</v>
      </c>
      <c r="AF98" s="7" t="s">
        <v>477</v>
      </c>
      <c r="AG98" s="7" t="s">
        <v>1660</v>
      </c>
      <c r="AH98" s="7" t="s">
        <v>475</v>
      </c>
      <c r="AI98" s="7" t="s">
        <v>475</v>
      </c>
      <c r="AJ98" s="7" t="s">
        <v>473</v>
      </c>
      <c r="AK98" s="7" t="s">
        <v>475</v>
      </c>
    </row>
    <row r="99" spans="1:37" x14ac:dyDescent="0.25">
      <c r="A99" s="13" t="str">
        <f ca="1"/>
        <v>0xD068</v>
      </c>
      <c r="B99" s="14" t="str">
        <f ca="1"/>
        <v>CspeedLow</v>
      </c>
      <c r="D99" s="8" t="str">
        <f ca="1"/>
        <v>CspeedLow</v>
      </c>
      <c r="E99" s="8" t="str">
        <f ca="1"/>
        <v>CspeedLow</v>
      </c>
      <c r="F99" s="8" t="str">
        <f ca="1"/>
        <v>CSpeedLow</v>
      </c>
      <c r="G99" s="8" t="str">
        <f ca="1"/>
        <v>CSpeedLow</v>
      </c>
      <c r="H99" s="7" t="str">
        <f ca="1"/>
        <v>CSpeedLow</v>
      </c>
      <c r="I99" s="7" t="str">
        <f ca="1"/>
        <v>CSpeedLow</v>
      </c>
      <c r="J99" s="7" t="str">
        <f ca="1"/>
        <v>CSpeedLow</v>
      </c>
      <c r="K99" s="7" t="str">
        <f ca="1"/>
        <v>CSpeedLow</v>
      </c>
      <c r="L99" s="7" t="str">
        <f ca="1"/>
        <v>CSpeedLow</v>
      </c>
      <c r="M99" s="7" t="str">
        <f ca="1"/>
        <v>CSpeedLow</v>
      </c>
      <c r="N99" s="7" t="str">
        <f ca="1"/>
        <v>CSpeedLow</v>
      </c>
      <c r="O99" s="7" t="str">
        <f ca="1"/>
        <v>CSpeedLow</v>
      </c>
      <c r="P99" s="7" t="str">
        <f ca="1"/>
        <v>CSpeedLow</v>
      </c>
      <c r="Q99" s="7" t="str">
        <f ca="1"/>
        <v>CspeedLow</v>
      </c>
      <c r="T99" s="7" t="str">
        <f ca="1"/>
        <v>Z8</v>
      </c>
      <c r="U99" s="7" t="str">
        <f ca="1"/>
        <v>0xD093</v>
      </c>
      <c r="V99" s="7" t="str">
        <f ca="1"/>
        <v>ManualSettingLensNo</v>
      </c>
      <c r="X99" s="8" t="s">
        <v>486</v>
      </c>
      <c r="Y99" s="8" t="s">
        <v>486</v>
      </c>
      <c r="Z99" s="8" t="s">
        <v>492</v>
      </c>
      <c r="AA99" s="8" t="s">
        <v>492</v>
      </c>
      <c r="AB99" s="7" t="s">
        <v>492</v>
      </c>
      <c r="AC99" s="7" t="s">
        <v>488</v>
      </c>
      <c r="AD99" s="7" t="s">
        <v>488</v>
      </c>
      <c r="AE99" s="7" t="s">
        <v>488</v>
      </c>
      <c r="AF99" s="7" t="s">
        <v>478</v>
      </c>
      <c r="AG99" s="7" t="s">
        <v>476</v>
      </c>
      <c r="AH99" s="7" t="s">
        <v>1659</v>
      </c>
      <c r="AI99" s="7" t="s">
        <v>1659</v>
      </c>
      <c r="AJ99" s="7" t="s">
        <v>1727</v>
      </c>
      <c r="AK99" s="7" t="s">
        <v>1659</v>
      </c>
    </row>
    <row r="100" spans="1:37" x14ac:dyDescent="0.25">
      <c r="A100" s="13" t="str">
        <f ca="1"/>
        <v>0xD069</v>
      </c>
      <c r="B100" s="14" t="str">
        <f ca="1"/>
        <v>BurstMaxNumber</v>
      </c>
      <c r="D100" s="8" t="str">
        <f ca="1"/>
        <v>BurstMaxNumber</v>
      </c>
      <c r="E100" s="8" t="str">
        <f ca="1"/>
        <v>BurstMaxNumber</v>
      </c>
      <c r="F100" s="8" t="str">
        <f ca="1"/>
        <v>BurstMaxNumber</v>
      </c>
      <c r="G100" s="8" t="str">
        <f ca="1"/>
        <v>BurstMaxNumber</v>
      </c>
      <c r="H100" s="7" t="str">
        <f ca="1"/>
        <v>BurstMaxNumber</v>
      </c>
      <c r="I100" s="7" t="str">
        <f ca="1"/>
        <v>BurstMaxNumber</v>
      </c>
      <c r="J100" s="7" t="str">
        <f ca="1"/>
        <v>BurstMaxNumber</v>
      </c>
      <c r="K100" s="7" t="str">
        <f ca="1"/>
        <v>BurstMaxNumber</v>
      </c>
      <c r="L100" s="7" t="str">
        <f ca="1"/>
        <v>BurstMaxNumber</v>
      </c>
      <c r="M100" s="7" t="str">
        <f ca="1"/>
        <v>BurstMaxNumber</v>
      </c>
      <c r="N100" s="7" t="str">
        <f ca="1"/>
        <v>BurstMaxNumber</v>
      </c>
      <c r="O100" s="7" t="str">
        <f ca="1"/>
        <v>BurstMaxNumber</v>
      </c>
      <c r="P100" s="7" t="str">
        <f ca="1"/>
        <v>BurstMaxNumber</v>
      </c>
      <c r="Q100" s="7" t="str">
        <f ca="1"/>
        <v>BurstMaxNumber</v>
      </c>
      <c r="T100" s="7" t="str">
        <f ca="1"/>
        <v>Z8</v>
      </c>
      <c r="U100" s="7" t="str">
        <f ca="1"/>
        <v>0xD09C</v>
      </c>
      <c r="V100" s="7" t="str">
        <f ca="1"/>
        <v>RetractableLensWarning</v>
      </c>
      <c r="X100" s="8" t="s">
        <v>487</v>
      </c>
      <c r="Y100" s="8" t="s">
        <v>487</v>
      </c>
      <c r="Z100" s="8" t="s">
        <v>493</v>
      </c>
      <c r="AA100" s="8" t="s">
        <v>493</v>
      </c>
      <c r="AB100" s="7" t="s">
        <v>493</v>
      </c>
      <c r="AC100" s="7" t="s">
        <v>489</v>
      </c>
      <c r="AD100" s="7" t="s">
        <v>489</v>
      </c>
      <c r="AE100" s="7" t="s">
        <v>489</v>
      </c>
      <c r="AF100" s="7" t="s">
        <v>479</v>
      </c>
      <c r="AG100" s="7" t="s">
        <v>477</v>
      </c>
      <c r="AH100" s="7" t="s">
        <v>1660</v>
      </c>
      <c r="AI100" s="7" t="s">
        <v>1660</v>
      </c>
      <c r="AJ100" s="7" t="s">
        <v>1728</v>
      </c>
      <c r="AK100" s="7" t="s">
        <v>1660</v>
      </c>
    </row>
    <row r="101" spans="1:37" x14ac:dyDescent="0.25">
      <c r="A101" s="13" t="str">
        <f ca="1"/>
        <v>0xD06A</v>
      </c>
      <c r="B101" s="14" t="str">
        <f ca="1"/>
        <v>ExposureDelay</v>
      </c>
      <c r="D101" s="8" t="str">
        <f ca="1"/>
        <v>ExposureDelay</v>
      </c>
      <c r="E101" s="8" t="str">
        <f ca="1"/>
        <v>ExposureDelay</v>
      </c>
      <c r="F101" s="8" t="str">
        <f ca="1"/>
        <v>ExposureDelay</v>
      </c>
      <c r="G101" s="8" t="str">
        <f ca="1"/>
        <v>ExposureDelay</v>
      </c>
      <c r="H101" s="7" t="str">
        <f ca="1"/>
        <v>ExposureDelay</v>
      </c>
      <c r="I101" s="7" t="str">
        <f ca="1"/>
        <v>ExposureDelay</v>
      </c>
      <c r="J101" s="7" t="str">
        <f ca="1"/>
        <v>ExposureDelay</v>
      </c>
      <c r="K101" s="7" t="str">
        <f ca="1"/>
        <v>ExposureDelay</v>
      </c>
      <c r="L101" s="7" t="str">
        <f ca="1"/>
        <v>ExposureDelay</v>
      </c>
      <c r="M101" s="7" t="str">
        <f ca="1"/>
        <v>ExposureDelay</v>
      </c>
      <c r="N101" s="7" t="str">
        <f ca="1"/>
        <v>ExposureDelay</v>
      </c>
      <c r="O101" s="7" t="str">
        <f ca="1"/>
        <v>ExposureDelay</v>
      </c>
      <c r="P101" s="7" t="str">
        <f ca="1"/>
        <v>ExposureDelay</v>
      </c>
      <c r="Q101" s="7" t="str">
        <f ca="1"/>
        <v>ExposureDelay</v>
      </c>
      <c r="T101" s="7" t="str">
        <f ca="1"/>
        <v>Z8</v>
      </c>
      <c r="U101" s="7" t="str">
        <f ca="1"/>
        <v>0xD09F</v>
      </c>
      <c r="V101" s="7" t="str">
        <f ca="1"/>
        <v>MatrixMetering</v>
      </c>
      <c r="X101" s="8" t="s">
        <v>488</v>
      </c>
      <c r="Y101" s="8" t="s">
        <v>488</v>
      </c>
      <c r="Z101" s="8" t="s">
        <v>504</v>
      </c>
      <c r="AA101" s="8" t="s">
        <v>504</v>
      </c>
      <c r="AB101" s="7" t="s">
        <v>1518</v>
      </c>
      <c r="AC101" s="7" t="s">
        <v>490</v>
      </c>
      <c r="AD101" s="7" t="s">
        <v>490</v>
      </c>
      <c r="AE101" s="7" t="s">
        <v>490</v>
      </c>
      <c r="AF101" s="7" t="s">
        <v>480</v>
      </c>
      <c r="AG101" s="7" t="s">
        <v>478</v>
      </c>
      <c r="AH101" s="7" t="s">
        <v>476</v>
      </c>
      <c r="AI101" s="7" t="s">
        <v>494</v>
      </c>
      <c r="AJ101" s="7" t="s">
        <v>474</v>
      </c>
      <c r="AK101" s="7" t="s">
        <v>494</v>
      </c>
    </row>
    <row r="102" spans="1:37" x14ac:dyDescent="0.25">
      <c r="A102" s="13" t="str">
        <f ca="1"/>
        <v>0xD06B</v>
      </c>
      <c r="B102" s="14" t="str">
        <f ca="1"/>
        <v>NoiseReduction</v>
      </c>
      <c r="D102" s="8" t="str">
        <f ca="1"/>
        <v>NoiseReduction</v>
      </c>
      <c r="E102" s="8" t="str">
        <f ca="1"/>
        <v>NoiseReduction</v>
      </c>
      <c r="F102" s="8" t="str">
        <f ca="1"/>
        <v>NoiseReduction</v>
      </c>
      <c r="G102" s="8" t="str">
        <f ca="1"/>
        <v>NoiseReduction</v>
      </c>
      <c r="H102" s="7" t="str">
        <f ca="1"/>
        <v>NoiseReduction</v>
      </c>
      <c r="I102" s="7" t="str">
        <f ca="1"/>
        <v>NoiseReduction</v>
      </c>
      <c r="J102" s="7" t="str">
        <f ca="1"/>
        <v>NoiseReduction</v>
      </c>
      <c r="K102" s="7" t="str">
        <f ca="1"/>
        <v>NoiseReduction</v>
      </c>
      <c r="L102" s="7" t="str">
        <f ca="1"/>
        <v>NoiseReduction</v>
      </c>
      <c r="M102" s="7" t="str">
        <f ca="1"/>
        <v>NoiseReduction</v>
      </c>
      <c r="N102" s="7" t="str">
        <f ca="1"/>
        <v>NoiseReduction</v>
      </c>
      <c r="O102" s="7" t="str">
        <f ca="1"/>
        <v>NoiseReduction</v>
      </c>
      <c r="P102" s="7" t="str">
        <f ca="1"/>
        <v>NoiseReduction</v>
      </c>
      <c r="Q102" s="7" t="str">
        <f ca="1"/>
        <v>NoiseReduction</v>
      </c>
      <c r="T102" s="7" t="str">
        <f ca="1"/>
        <v>Z8</v>
      </c>
      <c r="U102" s="7" t="str">
        <f ca="1"/>
        <v>0xD0A0</v>
      </c>
      <c r="V102" s="7" t="str">
        <f ca="1"/>
        <v>MovieRecordScreenSize</v>
      </c>
      <c r="X102" s="8" t="s">
        <v>489</v>
      </c>
      <c r="Y102" s="8" t="s">
        <v>489</v>
      </c>
      <c r="Z102" s="8" t="s">
        <v>505</v>
      </c>
      <c r="AA102" s="8" t="s">
        <v>505</v>
      </c>
      <c r="AB102" s="7" t="s">
        <v>1519</v>
      </c>
      <c r="AC102" s="7" t="s">
        <v>491</v>
      </c>
      <c r="AD102" s="7" t="s">
        <v>491</v>
      </c>
      <c r="AE102" s="7" t="s">
        <v>491</v>
      </c>
      <c r="AF102" s="7" t="s">
        <v>481</v>
      </c>
      <c r="AG102" s="7" t="s">
        <v>479</v>
      </c>
      <c r="AH102" s="7" t="s">
        <v>477</v>
      </c>
      <c r="AI102" s="7" t="s">
        <v>495</v>
      </c>
      <c r="AJ102" s="7" t="s">
        <v>475</v>
      </c>
      <c r="AK102" s="7" t="s">
        <v>495</v>
      </c>
    </row>
    <row r="103" spans="1:37" x14ac:dyDescent="0.25">
      <c r="A103" s="13" t="str">
        <f ca="1"/>
        <v>0xD06C</v>
      </c>
      <c r="B103" s="14" t="str">
        <f ca="1"/>
        <v>NumberingMode</v>
      </c>
      <c r="D103" s="8" t="str">
        <f ca="1"/>
        <v>NumberingMode</v>
      </c>
      <c r="E103" s="8" t="str">
        <f ca="1"/>
        <v>NumberingMode</v>
      </c>
      <c r="F103" s="8" t="str">
        <f ca="1"/>
        <v>NumberingMode</v>
      </c>
      <c r="G103" s="8" t="str">
        <f ca="1"/>
        <v>NumberingMode</v>
      </c>
      <c r="H103" s="7" t="str">
        <f ca="1"/>
        <v>NumberingMode</v>
      </c>
      <c r="I103" s="7" t="str">
        <f ca="1"/>
        <v>NumberingMode</v>
      </c>
      <c r="J103" s="7" t="str">
        <f ca="1"/>
        <v>NumberingMode</v>
      </c>
      <c r="K103" s="7" t="str">
        <f ca="1"/>
        <v>NumberingMode</v>
      </c>
      <c r="L103" s="7" t="str">
        <f ca="1"/>
        <v>NumberingMode</v>
      </c>
      <c r="M103" s="7" t="str">
        <f ca="1"/>
        <v>NumberingMode</v>
      </c>
      <c r="N103" s="7" t="str">
        <f ca="1"/>
        <v>NumberingMode</v>
      </c>
      <c r="O103" s="7" t="str">
        <f ca="1"/>
        <v>NumberingMode</v>
      </c>
      <c r="P103" s="7" t="str">
        <f ca="1"/>
        <v>NumberingMode</v>
      </c>
      <c r="Q103" s="7" t="str">
        <f ca="1"/>
        <v>NumberingMode</v>
      </c>
      <c r="T103" s="7" t="str">
        <f ca="1"/>
        <v>Z8</v>
      </c>
      <c r="U103" s="7" t="str">
        <f ca="1"/>
        <v>0xD0A2</v>
      </c>
      <c r="V103" s="7" t="str">
        <f ca="1"/>
        <v>MovieRecordMicrophoneLevel</v>
      </c>
      <c r="X103" s="8" t="s">
        <v>490</v>
      </c>
      <c r="Y103" s="8" t="s">
        <v>490</v>
      </c>
      <c r="Z103" s="8" t="s">
        <v>508</v>
      </c>
      <c r="AA103" s="8" t="s">
        <v>508</v>
      </c>
      <c r="AB103" s="7" t="s">
        <v>508</v>
      </c>
      <c r="AC103" s="7" t="s">
        <v>492</v>
      </c>
      <c r="AD103" s="7" t="s">
        <v>492</v>
      </c>
      <c r="AE103" s="7" t="s">
        <v>492</v>
      </c>
      <c r="AF103" s="7" t="s">
        <v>482</v>
      </c>
      <c r="AG103" s="7" t="s">
        <v>480</v>
      </c>
      <c r="AH103" s="7" t="s">
        <v>478</v>
      </c>
      <c r="AI103" s="7" t="s">
        <v>496</v>
      </c>
      <c r="AJ103" s="7" t="s">
        <v>1659</v>
      </c>
      <c r="AK103" s="7" t="s">
        <v>496</v>
      </c>
    </row>
    <row r="104" spans="1:37" x14ac:dyDescent="0.25">
      <c r="A104" s="13" t="str">
        <f ca="1"/>
        <v>0xD06D</v>
      </c>
      <c r="B104" s="14" t="str">
        <f ca="1"/>
        <v>TFTDisplaySetting</v>
      </c>
      <c r="D104" s="8" t="str">
        <f ca="1"/>
        <v/>
      </c>
      <c r="E104" s="8" t="str">
        <f ca="1"/>
        <v/>
      </c>
      <c r="F104" s="8" t="str">
        <f ca="1"/>
        <v/>
      </c>
      <c r="G104" s="8" t="str">
        <f ca="1"/>
        <v/>
      </c>
      <c r="H104" s="7" t="str">
        <f ca="1"/>
        <v/>
      </c>
      <c r="I104" s="7" t="str">
        <f ca="1"/>
        <v/>
      </c>
      <c r="J104" s="7" t="str">
        <f ca="1"/>
        <v/>
      </c>
      <c r="K104" s="7" t="str">
        <f ca="1"/>
        <v/>
      </c>
      <c r="L104" s="7" t="str">
        <f ca="1"/>
        <v/>
      </c>
      <c r="M104" s="7" t="str">
        <f ca="1"/>
        <v/>
      </c>
      <c r="N104" s="7" t="str">
        <f ca="1"/>
        <v/>
      </c>
      <c r="O104" s="7" t="str">
        <f ca="1"/>
        <v/>
      </c>
      <c r="P104" s="7" t="str">
        <f ca="1"/>
        <v>TFTDisplaySetting</v>
      </c>
      <c r="Q104" s="7" t="str">
        <f ca="1"/>
        <v>TFTDisplaySetting</v>
      </c>
      <c r="T104" s="7" t="str">
        <f ca="1"/>
        <v>Z8</v>
      </c>
      <c r="U104" s="7" t="str">
        <f ca="1"/>
        <v>0xD0A3</v>
      </c>
      <c r="V104" s="7" t="str">
        <f ca="1"/>
        <v>MovieRecordDestination</v>
      </c>
      <c r="X104" s="8" t="s">
        <v>491</v>
      </c>
      <c r="Y104" s="8" t="s">
        <v>491</v>
      </c>
      <c r="Z104" s="8" t="s">
        <v>509</v>
      </c>
      <c r="AA104" s="8" t="s">
        <v>509</v>
      </c>
      <c r="AB104" s="7" t="s">
        <v>509</v>
      </c>
      <c r="AC104" s="7" t="s">
        <v>493</v>
      </c>
      <c r="AD104" s="7" t="s">
        <v>493</v>
      </c>
      <c r="AE104" s="7" t="s">
        <v>493</v>
      </c>
      <c r="AF104" s="7" t="s">
        <v>483</v>
      </c>
      <c r="AG104" s="7" t="s">
        <v>481</v>
      </c>
      <c r="AH104" s="7" t="s">
        <v>479</v>
      </c>
      <c r="AI104" s="7" t="s">
        <v>497</v>
      </c>
      <c r="AJ104" s="7" t="s">
        <v>1660</v>
      </c>
      <c r="AK104" s="7" t="s">
        <v>497</v>
      </c>
    </row>
    <row r="105" spans="1:37" x14ac:dyDescent="0.25">
      <c r="A105" s="13" t="str">
        <f ca="1"/>
        <v>0xD06E</v>
      </c>
      <c r="B105" s="14" t="str">
        <f ca="1"/>
        <v>FinderDisplaySetting</v>
      </c>
      <c r="D105" s="8" t="str">
        <f ca="1"/>
        <v/>
      </c>
      <c r="E105" s="8" t="str">
        <f ca="1"/>
        <v/>
      </c>
      <c r="F105" s="8" t="str">
        <f ca="1"/>
        <v/>
      </c>
      <c r="G105" s="8" t="str">
        <f ca="1"/>
        <v/>
      </c>
      <c r="H105" s="7" t="str">
        <f ca="1"/>
        <v/>
      </c>
      <c r="I105" s="7" t="str">
        <f ca="1"/>
        <v/>
      </c>
      <c r="J105" s="7" t="str">
        <f ca="1"/>
        <v/>
      </c>
      <c r="K105" s="7" t="str">
        <f ca="1"/>
        <v/>
      </c>
      <c r="L105" s="7" t="str">
        <f ca="1"/>
        <v/>
      </c>
      <c r="M105" s="7" t="str">
        <f ca="1"/>
        <v/>
      </c>
      <c r="N105" s="7" t="str">
        <f ca="1"/>
        <v/>
      </c>
      <c r="O105" s="7" t="str">
        <f ca="1"/>
        <v/>
      </c>
      <c r="P105" s="7" t="str">
        <f ca="1"/>
        <v>FinderDisplaySetting</v>
      </c>
      <c r="Q105" s="7" t="str">
        <f ca="1"/>
        <v>FinderDisplaySetting</v>
      </c>
      <c r="T105" s="7" t="str">
        <f ca="1"/>
        <v>Z8</v>
      </c>
      <c r="U105" s="7" t="str">
        <f ca="1"/>
        <v>0xD0A4</v>
      </c>
      <c r="V105" s="7" t="str">
        <f ca="1"/>
        <v>MovieRecProhibitionCondition</v>
      </c>
      <c r="X105" s="8" t="s">
        <v>492</v>
      </c>
      <c r="Y105" s="8" t="s">
        <v>492</v>
      </c>
      <c r="Z105" s="8" t="s">
        <v>510</v>
      </c>
      <c r="AA105" s="8" t="s">
        <v>510</v>
      </c>
      <c r="AB105" s="7" t="s">
        <v>512</v>
      </c>
      <c r="AC105" s="7" t="s">
        <v>1518</v>
      </c>
      <c r="AD105" s="7" t="s">
        <v>1518</v>
      </c>
      <c r="AE105" s="7" t="s">
        <v>1518</v>
      </c>
      <c r="AF105" s="7" t="s">
        <v>484</v>
      </c>
      <c r="AG105" s="7" t="s">
        <v>482</v>
      </c>
      <c r="AH105" s="7" t="s">
        <v>480</v>
      </c>
      <c r="AI105" s="7" t="s">
        <v>498</v>
      </c>
      <c r="AJ105" s="7" t="s">
        <v>494</v>
      </c>
      <c r="AK105" s="7" t="s">
        <v>498</v>
      </c>
    </row>
    <row r="106" spans="1:37" x14ac:dyDescent="0.25">
      <c r="A106" s="13" t="str">
        <f ca="1"/>
        <v>0xD06F</v>
      </c>
      <c r="B106" s="14" t="str">
        <f ca="1"/>
        <v>LCDIllumination</v>
      </c>
      <c r="D106" s="8" t="str">
        <f ca="1"/>
        <v/>
      </c>
      <c r="E106" s="8" t="str">
        <f ca="1"/>
        <v/>
      </c>
      <c r="F106" s="8" t="str">
        <f ca="1"/>
        <v/>
      </c>
      <c r="G106" s="8" t="str">
        <f ca="1"/>
        <v/>
      </c>
      <c r="H106" s="7" t="str">
        <f ca="1"/>
        <v/>
      </c>
      <c r="I106" s="7" t="str">
        <f ca="1"/>
        <v/>
      </c>
      <c r="J106" s="7" t="str">
        <f ca="1"/>
        <v/>
      </c>
      <c r="K106" s="7" t="str">
        <f ca="1"/>
        <v/>
      </c>
      <c r="L106" s="7" t="str">
        <f ca="1"/>
        <v/>
      </c>
      <c r="M106" s="7" t="str">
        <f ca="1"/>
        <v/>
      </c>
      <c r="N106" s="7" t="str">
        <f ca="1"/>
        <v/>
      </c>
      <c r="O106" s="7" t="str">
        <f ca="1"/>
        <v/>
      </c>
      <c r="P106" s="7" t="str">
        <f ca="1"/>
        <v>LCDIllumination</v>
      </c>
      <c r="Q106" s="7" t="str">
        <f ca="1"/>
        <v>LCDIllumination</v>
      </c>
      <c r="T106" s="7" t="str">
        <f ca="1"/>
        <v>Z8</v>
      </c>
      <c r="U106" s="7" t="str">
        <f ca="1"/>
        <v>0xD0A8</v>
      </c>
      <c r="V106" s="7" t="str">
        <f ca="1"/>
        <v>MovieRecordMicrophoneLevelValue</v>
      </c>
      <c r="X106" s="8" t="s">
        <v>493</v>
      </c>
      <c r="Y106" s="8" t="s">
        <v>493</v>
      </c>
      <c r="Z106" s="8" t="s">
        <v>511</v>
      </c>
      <c r="AA106" s="8" t="s">
        <v>511</v>
      </c>
      <c r="AB106" s="7" t="s">
        <v>513</v>
      </c>
      <c r="AC106" s="7" t="s">
        <v>1519</v>
      </c>
      <c r="AD106" s="7" t="s">
        <v>1519</v>
      </c>
      <c r="AE106" s="7" t="s">
        <v>1519</v>
      </c>
      <c r="AF106" s="7" t="s">
        <v>485</v>
      </c>
      <c r="AG106" s="7" t="s">
        <v>483</v>
      </c>
      <c r="AH106" s="7" t="s">
        <v>481</v>
      </c>
      <c r="AI106" s="7" t="s">
        <v>499</v>
      </c>
      <c r="AJ106" s="7" t="s">
        <v>495</v>
      </c>
      <c r="AK106" s="7" t="s">
        <v>499</v>
      </c>
    </row>
    <row r="107" spans="1:37" x14ac:dyDescent="0.25">
      <c r="A107" s="13" t="str">
        <f ca="1"/>
        <v>0xD070</v>
      </c>
      <c r="B107" s="14" t="str">
        <f ca="1"/>
        <v>NoiseReductionHiIso</v>
      </c>
      <c r="D107" s="8" t="str">
        <f ca="1"/>
        <v>NoiseReductionHiIso</v>
      </c>
      <c r="E107" s="8" t="str">
        <f ca="1"/>
        <v>NoiseReductionHiIso</v>
      </c>
      <c r="F107" s="8" t="str">
        <f ca="1"/>
        <v>NoiseReductionHiIso</v>
      </c>
      <c r="G107" s="8" t="str">
        <f ca="1"/>
        <v>NoiseReductionHiIso</v>
      </c>
      <c r="H107" s="7" t="str">
        <f ca="1"/>
        <v>NoiseReductionHiIso</v>
      </c>
      <c r="I107" s="7" t="str">
        <f ca="1"/>
        <v>NoiseReductionHiIso</v>
      </c>
      <c r="J107" s="7" t="str">
        <f ca="1"/>
        <v>NoiseReductionHiIso</v>
      </c>
      <c r="K107" s="7" t="str">
        <f ca="1"/>
        <v>NoiseReductionHiIso</v>
      </c>
      <c r="L107" s="7" t="str">
        <f ca="1"/>
        <v>NoiseReductionHiIso</v>
      </c>
      <c r="M107" s="7" t="str">
        <f ca="1"/>
        <v>NoiseReductionHiIso</v>
      </c>
      <c r="N107" s="7" t="str">
        <f ca="1"/>
        <v>NoiseReductionHiIso</v>
      </c>
      <c r="O107" s="7" t="str">
        <f ca="1"/>
        <v>NoiseReductionHiIso</v>
      </c>
      <c r="P107" s="7" t="str">
        <f ca="1"/>
        <v>NoiseReductionHiIso</v>
      </c>
      <c r="Q107" s="7" t="str">
        <f ca="1"/>
        <v>NoiseReductionHiIso</v>
      </c>
      <c r="T107" s="7" t="str">
        <f ca="1"/>
        <v>Z8</v>
      </c>
      <c r="U107" s="7" t="str">
        <f ca="1"/>
        <v>0xD0AA</v>
      </c>
      <c r="V107" s="7" t="str">
        <f ca="1"/>
        <v>MovieWindNoiseReduction</v>
      </c>
      <c r="X107" s="8" t="s">
        <v>494</v>
      </c>
      <c r="Y107" s="8" t="s">
        <v>494</v>
      </c>
      <c r="Z107" s="8" t="s">
        <v>514</v>
      </c>
      <c r="AA107" s="8" t="s">
        <v>514</v>
      </c>
      <c r="AB107" s="7" t="s">
        <v>514</v>
      </c>
      <c r="AC107" s="7" t="s">
        <v>504</v>
      </c>
      <c r="AD107" s="7" t="s">
        <v>504</v>
      </c>
      <c r="AE107" s="7" t="s">
        <v>504</v>
      </c>
      <c r="AF107" s="7" t="s">
        <v>486</v>
      </c>
      <c r="AG107" s="7" t="s">
        <v>484</v>
      </c>
      <c r="AH107" s="7" t="s">
        <v>482</v>
      </c>
      <c r="AI107" s="7" t="s">
        <v>500</v>
      </c>
      <c r="AJ107" s="7" t="s">
        <v>496</v>
      </c>
      <c r="AK107" s="7" t="s">
        <v>500</v>
      </c>
    </row>
    <row r="108" spans="1:37" x14ac:dyDescent="0.25">
      <c r="A108" s="13" t="str">
        <f ca="1"/>
        <v>0xD072</v>
      </c>
      <c r="B108" s="14" t="str">
        <f ca="1"/>
        <v>ArtistV</v>
      </c>
      <c r="D108" s="8" t="str">
        <f ca="1"/>
        <v>ArtistV</v>
      </c>
      <c r="E108" s="8" t="str">
        <f ca="1"/>
        <v>ArtistV</v>
      </c>
      <c r="F108" s="8" t="str">
        <f ca="1"/>
        <v>ArtistV</v>
      </c>
      <c r="G108" s="8" t="str">
        <f ca="1"/>
        <v>ArtistV</v>
      </c>
      <c r="H108" s="7" t="str">
        <f ca="1"/>
        <v>ArtistV</v>
      </c>
      <c r="I108" s="7" t="str">
        <f ca="1"/>
        <v>ArtistV</v>
      </c>
      <c r="J108" s="7" t="str">
        <f ca="1"/>
        <v>ArtistV</v>
      </c>
      <c r="K108" s="7" t="str">
        <f ca="1"/>
        <v>ArtistV</v>
      </c>
      <c r="L108" s="7" t="str">
        <f ca="1"/>
        <v>ArtistV</v>
      </c>
      <c r="M108" s="7" t="str">
        <f ca="1"/>
        <v>ArtistV</v>
      </c>
      <c r="N108" s="7" t="str">
        <f ca="1"/>
        <v>ArtistV</v>
      </c>
      <c r="O108" s="7" t="str">
        <f ca="1"/>
        <v>ArtistV</v>
      </c>
      <c r="P108" s="7" t="str">
        <f ca="1"/>
        <v>ArtistV</v>
      </c>
      <c r="Q108" s="7" t="str">
        <f ca="1"/>
        <v/>
      </c>
      <c r="T108" s="7" t="str">
        <f ca="1"/>
        <v>Z8</v>
      </c>
      <c r="U108" s="7" t="str">
        <f ca="1"/>
        <v>0xD0AC</v>
      </c>
      <c r="V108" s="7" t="str">
        <f ca="1"/>
        <v>MovieRecordingZone</v>
      </c>
      <c r="X108" s="8" t="s">
        <v>495</v>
      </c>
      <c r="Y108" s="8" t="s">
        <v>495</v>
      </c>
      <c r="Z108" s="8" t="s">
        <v>515</v>
      </c>
      <c r="AA108" s="8" t="s">
        <v>515</v>
      </c>
      <c r="AB108" s="7" t="s">
        <v>515</v>
      </c>
      <c r="AC108" s="7" t="s">
        <v>505</v>
      </c>
      <c r="AD108" s="7" t="s">
        <v>505</v>
      </c>
      <c r="AE108" s="7" t="s">
        <v>505</v>
      </c>
      <c r="AF108" s="7" t="s">
        <v>487</v>
      </c>
      <c r="AG108" s="7" t="s">
        <v>485</v>
      </c>
      <c r="AH108" s="7" t="s">
        <v>483</v>
      </c>
      <c r="AI108" s="7" t="s">
        <v>501</v>
      </c>
      <c r="AJ108" s="7" t="s">
        <v>497</v>
      </c>
      <c r="AK108" s="7" t="s">
        <v>501</v>
      </c>
    </row>
    <row r="109" spans="1:37" x14ac:dyDescent="0.25">
      <c r="A109" s="13" t="str">
        <f ca="1"/>
        <v>0xD073</v>
      </c>
      <c r="B109" s="14" t="str">
        <f ca="1"/>
        <v>CopyrightV</v>
      </c>
      <c r="D109" s="8" t="str">
        <f ca="1"/>
        <v>CopyrightV</v>
      </c>
      <c r="E109" s="8" t="str">
        <f ca="1"/>
        <v>CopyrightV</v>
      </c>
      <c r="F109" s="8" t="str">
        <f ca="1"/>
        <v>CopyrightV</v>
      </c>
      <c r="G109" s="8" t="str">
        <f ca="1"/>
        <v>CopyrightV</v>
      </c>
      <c r="H109" s="7" t="str">
        <f ca="1"/>
        <v>CopyrightV</v>
      </c>
      <c r="I109" s="7" t="str">
        <f ca="1"/>
        <v>CopyrightV</v>
      </c>
      <c r="J109" s="7" t="str">
        <f ca="1"/>
        <v>CopyrightV</v>
      </c>
      <c r="K109" s="7" t="str">
        <f ca="1"/>
        <v>CopyrightV</v>
      </c>
      <c r="L109" s="7" t="str">
        <f ca="1"/>
        <v>CopyrightV</v>
      </c>
      <c r="M109" s="7" t="str">
        <f ca="1"/>
        <v>CopyrightV</v>
      </c>
      <c r="N109" s="7" t="str">
        <f ca="1"/>
        <v>CopyrightV</v>
      </c>
      <c r="O109" s="7" t="str">
        <f ca="1"/>
        <v>CopyrightV</v>
      </c>
      <c r="P109" s="7" t="str">
        <f ca="1"/>
        <v>CopyrightV</v>
      </c>
      <c r="Q109" s="7" t="str">
        <f ca="1"/>
        <v/>
      </c>
      <c r="T109" s="7" t="str">
        <f ca="1"/>
        <v>Z8</v>
      </c>
      <c r="U109" s="7" t="str">
        <f ca="1"/>
        <v>0xD0AD</v>
      </c>
      <c r="V109" s="7" t="str">
        <f ca="1"/>
        <v>MovieISOAutoControl</v>
      </c>
      <c r="X109" s="8" t="s">
        <v>496</v>
      </c>
      <c r="Y109" s="8" t="s">
        <v>496</v>
      </c>
      <c r="Z109" s="8" t="s">
        <v>516</v>
      </c>
      <c r="AA109" s="8" t="s">
        <v>516</v>
      </c>
      <c r="AB109" s="7" t="s">
        <v>516</v>
      </c>
      <c r="AC109" s="7" t="s">
        <v>508</v>
      </c>
      <c r="AD109" s="7" t="s">
        <v>508</v>
      </c>
      <c r="AE109" s="7" t="s">
        <v>508</v>
      </c>
      <c r="AF109" s="7" t="s">
        <v>488</v>
      </c>
      <c r="AG109" s="7" t="s">
        <v>486</v>
      </c>
      <c r="AH109" s="7" t="s">
        <v>484</v>
      </c>
      <c r="AI109" s="7" t="s">
        <v>502</v>
      </c>
      <c r="AJ109" s="7" t="s">
        <v>498</v>
      </c>
      <c r="AK109" s="7" t="s">
        <v>502</v>
      </c>
    </row>
    <row r="110" spans="1:37" x14ac:dyDescent="0.25">
      <c r="A110" s="13" t="str">
        <f ca="1"/>
        <v>0xD074</v>
      </c>
      <c r="B110" s="14" t="str">
        <f ca="1"/>
        <v>FlashSyncSpeed</v>
      </c>
      <c r="D110" s="8" t="str">
        <f ca="1"/>
        <v>FlashSyncSpeed</v>
      </c>
      <c r="E110" s="8" t="str">
        <f ca="1"/>
        <v>FlashSyncSpeed</v>
      </c>
      <c r="F110" s="8" t="str">
        <f ca="1"/>
        <v>FlashSyncSpeed</v>
      </c>
      <c r="G110" s="8" t="str">
        <f ca="1"/>
        <v>FlashSyncSpeed</v>
      </c>
      <c r="H110" s="7" t="str">
        <f ca="1"/>
        <v>FlashSyncSpeed</v>
      </c>
      <c r="I110" s="7" t="str">
        <f ca="1"/>
        <v>FlashSyncSpeed</v>
      </c>
      <c r="J110" s="7" t="str">
        <f ca="1"/>
        <v>FlashSyncSpeed</v>
      </c>
      <c r="K110" s="7" t="str">
        <f ca="1"/>
        <v>FlashSyncSpeed</v>
      </c>
      <c r="L110" s="7" t="str">
        <f ca="1"/>
        <v>FlashSyncSpeed</v>
      </c>
      <c r="M110" s="7" t="str">
        <f ca="1"/>
        <v>FlashSyncSpeed</v>
      </c>
      <c r="N110" s="7" t="str">
        <f ca="1"/>
        <v>FlashSyncSpeed</v>
      </c>
      <c r="O110" s="7" t="str">
        <f ca="1"/>
        <v>FlashSyncSpeed</v>
      </c>
      <c r="P110" s="7" t="str">
        <f ca="1"/>
        <v>FlashSyncSpeed</v>
      </c>
      <c r="Q110" s="7" t="str">
        <f ca="1"/>
        <v>FlashSyncSpeed</v>
      </c>
      <c r="T110" s="7" t="str">
        <f ca="1"/>
        <v>Z8</v>
      </c>
      <c r="U110" s="7" t="str">
        <f ca="1"/>
        <v>0xD0AE</v>
      </c>
      <c r="V110" s="7" t="str">
        <f ca="1"/>
        <v>MovieISOAutoHighLimit</v>
      </c>
      <c r="X110" s="8" t="s">
        <v>497</v>
      </c>
      <c r="Y110" s="8" t="s">
        <v>497</v>
      </c>
      <c r="Z110" s="8" t="s">
        <v>517</v>
      </c>
      <c r="AA110" s="8" t="s">
        <v>517</v>
      </c>
      <c r="AB110" s="7" t="s">
        <v>517</v>
      </c>
      <c r="AC110" s="7" t="s">
        <v>509</v>
      </c>
      <c r="AD110" s="7" t="s">
        <v>509</v>
      </c>
      <c r="AE110" s="7" t="s">
        <v>509</v>
      </c>
      <c r="AF110" s="7" t="s">
        <v>489</v>
      </c>
      <c r="AG110" s="7" t="s">
        <v>487</v>
      </c>
      <c r="AH110" s="7" t="s">
        <v>485</v>
      </c>
      <c r="AI110" s="7" t="s">
        <v>503</v>
      </c>
      <c r="AJ110" s="7" t="s">
        <v>499</v>
      </c>
      <c r="AK110" s="7" t="s">
        <v>503</v>
      </c>
    </row>
    <row r="111" spans="1:37" x14ac:dyDescent="0.25">
      <c r="A111" s="13" t="str">
        <f ca="1"/>
        <v>0xD075</v>
      </c>
      <c r="B111" s="14" t="str">
        <f ca="1"/>
        <v>FlashSlowSpeedLimit</v>
      </c>
      <c r="D111" s="8" t="str">
        <f ca="1"/>
        <v>FlashSlowSpeedLimit</v>
      </c>
      <c r="E111" s="8" t="str">
        <f ca="1"/>
        <v>FlashSlowSpeedLimit</v>
      </c>
      <c r="F111" s="8" t="str">
        <f ca="1"/>
        <v>FlashSlowSpeedLimit</v>
      </c>
      <c r="G111" s="8" t="str">
        <f ca="1"/>
        <v>FlashSlowSpeedLimit</v>
      </c>
      <c r="H111" s="7" t="str">
        <f ca="1"/>
        <v>FlashSlowSpeedLimit</v>
      </c>
      <c r="I111" s="7" t="str">
        <f ca="1"/>
        <v>FlashSlowSpeedLimit</v>
      </c>
      <c r="J111" s="7" t="str">
        <f ca="1"/>
        <v>FlashSlowSpeedLimit</v>
      </c>
      <c r="K111" s="7" t="str">
        <f ca="1"/>
        <v>FlashSlowSpeedLimit</v>
      </c>
      <c r="L111" s="7" t="str">
        <f ca="1"/>
        <v>FlashSlowSpeedLimit</v>
      </c>
      <c r="M111" s="7" t="str">
        <f ca="1"/>
        <v>FlashSlowSpeedLimit</v>
      </c>
      <c r="N111" s="7" t="str">
        <f ca="1"/>
        <v>FlashSlowSpeedLimit</v>
      </c>
      <c r="O111" s="7" t="str">
        <f ca="1"/>
        <v>FlashSlowSpeedLimit</v>
      </c>
      <c r="P111" s="7" t="str">
        <f ca="1"/>
        <v>FlashSlowSpeedLimit</v>
      </c>
      <c r="Q111" s="7" t="str">
        <f ca="1"/>
        <v>FlashSlowSpeedLimit</v>
      </c>
      <c r="T111" s="7" t="str">
        <f ca="1"/>
        <v>Z8</v>
      </c>
      <c r="U111" s="7" t="str">
        <f ca="1"/>
        <v>0xD0AF</v>
      </c>
      <c r="V111" s="7" t="str">
        <f ca="1"/>
        <v>MovieFileType</v>
      </c>
      <c r="X111" s="8" t="s">
        <v>498</v>
      </c>
      <c r="Y111" s="8" t="s">
        <v>498</v>
      </c>
      <c r="Z111" s="8" t="s">
        <v>520</v>
      </c>
      <c r="AA111" s="8" t="s">
        <v>520</v>
      </c>
      <c r="AB111" s="7" t="s">
        <v>520</v>
      </c>
      <c r="AC111" s="7" t="s">
        <v>510</v>
      </c>
      <c r="AD111" s="7" t="s">
        <v>510</v>
      </c>
      <c r="AE111" s="7" t="s">
        <v>510</v>
      </c>
      <c r="AF111" s="7" t="s">
        <v>490</v>
      </c>
      <c r="AG111" s="7" t="s">
        <v>488</v>
      </c>
      <c r="AH111" s="7" t="s">
        <v>486</v>
      </c>
      <c r="AI111" s="7" t="s">
        <v>1518</v>
      </c>
      <c r="AJ111" s="7" t="s">
        <v>500</v>
      </c>
      <c r="AK111" s="7" t="s">
        <v>1518</v>
      </c>
    </row>
    <row r="112" spans="1:37" x14ac:dyDescent="0.25">
      <c r="A112" s="13" t="str">
        <f ca="1"/>
        <v>0xD077</v>
      </c>
      <c r="B112" s="14" t="str">
        <f ca="1"/>
        <v>ModelingOnPreviewButton</v>
      </c>
      <c r="D112" s="8" t="str">
        <f ca="1"/>
        <v/>
      </c>
      <c r="E112" s="8" t="str">
        <f ca="1"/>
        <v/>
      </c>
      <c r="F112" s="8" t="str">
        <f ca="1"/>
        <v/>
      </c>
      <c r="G112" s="8" t="str">
        <f ca="1"/>
        <v/>
      </c>
      <c r="H112" s="7" t="str">
        <f ca="1"/>
        <v/>
      </c>
      <c r="I112" s="7" t="str">
        <f ca="1"/>
        <v/>
      </c>
      <c r="J112" s="7" t="str">
        <f ca="1"/>
        <v/>
      </c>
      <c r="K112" s="7" t="str">
        <f ca="1"/>
        <v/>
      </c>
      <c r="L112" s="7" t="str">
        <f ca="1"/>
        <v/>
      </c>
      <c r="M112" s="7" t="str">
        <f ca="1"/>
        <v/>
      </c>
      <c r="N112" s="7" t="str">
        <f ca="1"/>
        <v/>
      </c>
      <c r="O112" s="7" t="str">
        <f ca="1"/>
        <v/>
      </c>
      <c r="P112" s="7" t="str">
        <f ca="1"/>
        <v>ModelingOnPreviewButton</v>
      </c>
      <c r="Q112" s="7" t="str">
        <f ca="1"/>
        <v>ModelingOnPreviewButton</v>
      </c>
      <c r="T112" s="7" t="str">
        <f ca="1"/>
        <v>Z8</v>
      </c>
      <c r="U112" s="7" t="str">
        <f ca="1"/>
        <v>0xD0B4</v>
      </c>
      <c r="V112" s="7" t="str">
        <f ca="1"/>
        <v>ExposureIndexEx</v>
      </c>
      <c r="X112" s="8" t="s">
        <v>499</v>
      </c>
      <c r="Y112" s="8" t="s">
        <v>499</v>
      </c>
      <c r="Z112" s="8" t="s">
        <v>521</v>
      </c>
      <c r="AA112" s="8" t="s">
        <v>521</v>
      </c>
      <c r="AB112" s="7" t="s">
        <v>521</v>
      </c>
      <c r="AC112" s="7" t="s">
        <v>511</v>
      </c>
      <c r="AD112" s="7" t="s">
        <v>511</v>
      </c>
      <c r="AE112" s="7" t="s">
        <v>511</v>
      </c>
      <c r="AF112" s="7" t="s">
        <v>491</v>
      </c>
      <c r="AG112" s="7" t="s">
        <v>489</v>
      </c>
      <c r="AH112" s="7" t="s">
        <v>487</v>
      </c>
      <c r="AI112" s="7" t="s">
        <v>1519</v>
      </c>
      <c r="AJ112" s="7" t="s">
        <v>501</v>
      </c>
      <c r="AK112" s="7" t="s">
        <v>1519</v>
      </c>
    </row>
    <row r="113" spans="1:37" x14ac:dyDescent="0.25">
      <c r="A113" s="13" t="str">
        <f ca="1"/>
        <v>0xD078</v>
      </c>
      <c r="B113" s="14" t="str">
        <f ca="1"/>
        <v>BracketingType</v>
      </c>
      <c r="D113" s="8" t="str">
        <f ca="1"/>
        <v>BracketingType</v>
      </c>
      <c r="E113" s="8" t="str">
        <f ca="1"/>
        <v>BracketingType</v>
      </c>
      <c r="F113" s="8" t="str">
        <f ca="1"/>
        <v>BracketingType</v>
      </c>
      <c r="G113" s="8" t="str">
        <f ca="1"/>
        <v>BracketingType</v>
      </c>
      <c r="H113" s="7" t="str">
        <f ca="1"/>
        <v>BracketingType</v>
      </c>
      <c r="I113" s="7" t="str">
        <f ca="1"/>
        <v>BracketingType</v>
      </c>
      <c r="J113" s="7" t="str">
        <f ca="1"/>
        <v>BracketingType</v>
      </c>
      <c r="K113" s="7" t="str">
        <f ca="1"/>
        <v>BracketingType</v>
      </c>
      <c r="L113" s="7" t="str">
        <f ca="1"/>
        <v>BracketingType</v>
      </c>
      <c r="M113" s="7" t="str">
        <f ca="1"/>
        <v>BracketingType</v>
      </c>
      <c r="N113" s="7" t="str">
        <f ca="1"/>
        <v>BracketingType</v>
      </c>
      <c r="O113" s="7" t="str">
        <f ca="1"/>
        <v>BracketingType</v>
      </c>
      <c r="P113" s="7" t="str">
        <f ca="1"/>
        <v>BracketingType</v>
      </c>
      <c r="Q113" s="7" t="str">
        <f ca="1"/>
        <v>BracketingType</v>
      </c>
      <c r="T113" s="7" t="str">
        <f ca="1"/>
        <v>Z8</v>
      </c>
      <c r="U113" s="7" t="str">
        <f ca="1"/>
        <v>0xD0B5</v>
      </c>
      <c r="V113" s="7" t="str">
        <f ca="1"/>
        <v>ISOControlSensitivity</v>
      </c>
      <c r="X113" s="8" t="s">
        <v>500</v>
      </c>
      <c r="Y113" s="8" t="s">
        <v>500</v>
      </c>
      <c r="Z113" s="8" t="s">
        <v>522</v>
      </c>
      <c r="AA113" s="8" t="s">
        <v>522</v>
      </c>
      <c r="AB113" s="7" t="s">
        <v>522</v>
      </c>
      <c r="AC113" s="7" t="s">
        <v>512</v>
      </c>
      <c r="AD113" s="7" t="s">
        <v>512</v>
      </c>
      <c r="AE113" s="7" t="s">
        <v>512</v>
      </c>
      <c r="AF113" s="7" t="s">
        <v>492</v>
      </c>
      <c r="AG113" s="7" t="s">
        <v>490</v>
      </c>
      <c r="AH113" s="7" t="s">
        <v>488</v>
      </c>
      <c r="AI113" s="7" t="s">
        <v>508</v>
      </c>
      <c r="AJ113" s="7" t="s">
        <v>502</v>
      </c>
      <c r="AK113" s="7" t="s">
        <v>508</v>
      </c>
    </row>
    <row r="114" spans="1:37" x14ac:dyDescent="0.25">
      <c r="A114" s="13" t="str">
        <f ca="1"/>
        <v>0xD079</v>
      </c>
      <c r="B114" s="14" t="str">
        <f ca="1"/>
        <v>SelectBracketChangeFactor</v>
      </c>
      <c r="D114" s="8" t="str">
        <f ca="1"/>
        <v>SelectBracketChangeFactor</v>
      </c>
      <c r="E114" s="8" t="str">
        <f ca="1"/>
        <v>SelectBracketChangeFactor</v>
      </c>
      <c r="F114" s="8" t="str">
        <f ca="1"/>
        <v>SelectBracketChangeFactor</v>
      </c>
      <c r="G114" s="8" t="str">
        <f ca="1"/>
        <v>SelectBracketChangeFactor</v>
      </c>
      <c r="H114" s="7" t="str">
        <f ca="1"/>
        <v/>
      </c>
      <c r="I114" s="7" t="str">
        <f ca="1"/>
        <v>SelectBracketChangeFactor</v>
      </c>
      <c r="J114" s="7" t="str">
        <f ca="1"/>
        <v>SelectBracketChangeFactor</v>
      </c>
      <c r="K114" s="7" t="str">
        <f ca="1"/>
        <v>SelectBracketChangeFactor</v>
      </c>
      <c r="L114" s="7" t="str">
        <f ca="1"/>
        <v>SelectBracketChangeFactor</v>
      </c>
      <c r="M114" s="7" t="str">
        <f ca="1"/>
        <v>SelectBracketChangeFactor</v>
      </c>
      <c r="N114" s="7" t="str">
        <f ca="1"/>
        <v>SelectBracketChangeFactor</v>
      </c>
      <c r="O114" s="7" t="str">
        <f ca="1"/>
        <v>SelectBracketChangeFactor</v>
      </c>
      <c r="P114" s="7" t="str">
        <f ca="1"/>
        <v>SelectBracketChangeFactor</v>
      </c>
      <c r="Q114" s="7" t="str">
        <f ca="1"/>
        <v>SelectBracketChangeFactor</v>
      </c>
      <c r="T114" s="7" t="str">
        <f ca="1"/>
        <v>Z8</v>
      </c>
      <c r="U114" s="7" t="str">
        <f ca="1"/>
        <v>0xD0B7</v>
      </c>
      <c r="V114" s="7" t="str">
        <f ca="1"/>
        <v>FlickerReductionSetting</v>
      </c>
      <c r="X114" s="8" t="s">
        <v>501</v>
      </c>
      <c r="Y114" s="8" t="s">
        <v>501</v>
      </c>
      <c r="Z114" s="8" t="s">
        <v>523</v>
      </c>
      <c r="AA114" s="8" t="s">
        <v>523</v>
      </c>
      <c r="AB114" s="7" t="s">
        <v>523</v>
      </c>
      <c r="AC114" s="7" t="s">
        <v>513</v>
      </c>
      <c r="AD114" s="7" t="s">
        <v>513</v>
      </c>
      <c r="AE114" s="7" t="s">
        <v>513</v>
      </c>
      <c r="AF114" s="7" t="s">
        <v>493</v>
      </c>
      <c r="AG114" s="7" t="s">
        <v>491</v>
      </c>
      <c r="AH114" s="7" t="s">
        <v>489</v>
      </c>
      <c r="AI114" s="7" t="s">
        <v>509</v>
      </c>
      <c r="AJ114" s="7" t="s">
        <v>503</v>
      </c>
      <c r="AK114" s="7" t="s">
        <v>509</v>
      </c>
    </row>
    <row r="115" spans="1:37" x14ac:dyDescent="0.25">
      <c r="A115" s="13" t="str">
        <f ca="1"/>
        <v>0xD07A</v>
      </c>
      <c r="B115" s="14" t="str">
        <f ca="1"/>
        <v>BracketingOrder</v>
      </c>
      <c r="D115" s="8" t="str">
        <f ca="1"/>
        <v>BracketingOrder</v>
      </c>
      <c r="E115" s="8" t="str">
        <f ca="1"/>
        <v>BracketingOrder</v>
      </c>
      <c r="F115" s="8" t="str">
        <f ca="1"/>
        <v>BracketingOrder</v>
      </c>
      <c r="G115" s="8" t="str">
        <f ca="1"/>
        <v>BracketingOrder</v>
      </c>
      <c r="H115" s="7" t="str">
        <f ca="1"/>
        <v>BracketingOrder</v>
      </c>
      <c r="I115" s="7" t="str">
        <f ca="1"/>
        <v>BracketingOrder</v>
      </c>
      <c r="J115" s="7" t="str">
        <f ca="1"/>
        <v>BracketingOrder</v>
      </c>
      <c r="K115" s="7" t="str">
        <f ca="1"/>
        <v>BracketingOrder</v>
      </c>
      <c r="L115" s="7" t="str">
        <f ca="1"/>
        <v>BracketingOrder</v>
      </c>
      <c r="M115" s="7" t="str">
        <f ca="1"/>
        <v>BracketingOrder</v>
      </c>
      <c r="N115" s="7" t="str">
        <f ca="1"/>
        <v>BracketingOrder</v>
      </c>
      <c r="O115" s="7" t="str">
        <f ca="1"/>
        <v>BracketingOrder</v>
      </c>
      <c r="P115" s="7" t="str">
        <f ca="1"/>
        <v>BracketingOrder</v>
      </c>
      <c r="Q115" s="7" t="str">
        <f ca="1"/>
        <v>BracketingOrder</v>
      </c>
      <c r="T115" s="7" t="str">
        <f ca="1"/>
        <v>Z8</v>
      </c>
      <c r="U115" s="7" t="str">
        <f ca="1"/>
        <v>0xD0BA</v>
      </c>
      <c r="V115" s="7" t="str">
        <f ca="1"/>
        <v>DiffractionCompensation</v>
      </c>
      <c r="X115" s="8" t="s">
        <v>502</v>
      </c>
      <c r="Y115" s="8" t="s">
        <v>502</v>
      </c>
      <c r="Z115" s="8" t="s">
        <v>524</v>
      </c>
      <c r="AA115" s="8" t="s">
        <v>524</v>
      </c>
      <c r="AB115" s="7" t="s">
        <v>524</v>
      </c>
      <c r="AC115" s="7" t="s">
        <v>514</v>
      </c>
      <c r="AD115" s="7" t="s">
        <v>514</v>
      </c>
      <c r="AE115" s="7" t="s">
        <v>514</v>
      </c>
      <c r="AF115" s="7" t="s">
        <v>494</v>
      </c>
      <c r="AG115" s="7" t="s">
        <v>492</v>
      </c>
      <c r="AH115" s="7" t="s">
        <v>490</v>
      </c>
      <c r="AI115" s="7" t="s">
        <v>510</v>
      </c>
      <c r="AJ115" s="7" t="s">
        <v>1518</v>
      </c>
      <c r="AK115" s="7" t="s">
        <v>510</v>
      </c>
    </row>
    <row r="116" spans="1:37" x14ac:dyDescent="0.25">
      <c r="A116" s="13" t="str">
        <f ca="1"/>
        <v>0xD07D</v>
      </c>
      <c r="B116" s="14" t="str">
        <f ca="1"/>
        <v>AngleLevelPitching</v>
      </c>
      <c r="D116" s="8" t="str">
        <f ca="1"/>
        <v>AngleLevelPitching</v>
      </c>
      <c r="E116" s="8" t="str">
        <f ca="1"/>
        <v>AngleLevelPitching</v>
      </c>
      <c r="F116" s="8" t="str">
        <f ca="1"/>
        <v>AngleLevelPitching</v>
      </c>
      <c r="G116" s="8" t="str">
        <f ca="1"/>
        <v>AngleLevelPitching</v>
      </c>
      <c r="H116" s="7" t="str">
        <f ca="1"/>
        <v>AngleLevelPitching</v>
      </c>
      <c r="I116" s="7" t="str">
        <f ca="1"/>
        <v>AngleLevelPitching</v>
      </c>
      <c r="J116" s="7" t="str">
        <f ca="1"/>
        <v>AngleLevelPitching</v>
      </c>
      <c r="K116" s="7" t="str">
        <f ca="1"/>
        <v>AngleLevelPitching</v>
      </c>
      <c r="L116" s="7" t="str">
        <f ca="1"/>
        <v>AngleLevelPitching</v>
      </c>
      <c r="M116" s="7" t="str">
        <f ca="1"/>
        <v>AngleLevelPitching</v>
      </c>
      <c r="N116" s="7" t="str">
        <f ca="1"/>
        <v>AngleLevelPitching</v>
      </c>
      <c r="O116" s="7" t="str">
        <f ca="1"/>
        <v>AngleLevelPitching</v>
      </c>
      <c r="P116" s="7" t="str">
        <f ca="1"/>
        <v/>
      </c>
      <c r="Q116" s="7" t="str">
        <f ca="1"/>
        <v/>
      </c>
      <c r="T116" s="7" t="str">
        <f ca="1"/>
        <v>Z8</v>
      </c>
      <c r="U116" s="7" t="str">
        <f ca="1"/>
        <v>0xD0BB</v>
      </c>
      <c r="V116" s="7" t="str">
        <f ca="1"/>
        <v>MovieLogOutput</v>
      </c>
      <c r="X116" s="8" t="s">
        <v>503</v>
      </c>
      <c r="Y116" s="8" t="s">
        <v>503</v>
      </c>
      <c r="Z116" s="8" t="s">
        <v>525</v>
      </c>
      <c r="AA116" s="8" t="s">
        <v>525</v>
      </c>
      <c r="AB116" s="7" t="s">
        <v>525</v>
      </c>
      <c r="AC116" s="7" t="s">
        <v>515</v>
      </c>
      <c r="AD116" s="7" t="s">
        <v>515</v>
      </c>
      <c r="AE116" s="7" t="s">
        <v>515</v>
      </c>
      <c r="AF116" s="7" t="s">
        <v>495</v>
      </c>
      <c r="AG116" s="7" t="s">
        <v>493</v>
      </c>
      <c r="AH116" s="7" t="s">
        <v>491</v>
      </c>
      <c r="AI116" s="7" t="s">
        <v>511</v>
      </c>
      <c r="AJ116" s="7" t="s">
        <v>1519</v>
      </c>
      <c r="AK116" s="7" t="s">
        <v>511</v>
      </c>
    </row>
    <row r="117" spans="1:37" x14ac:dyDescent="0.25">
      <c r="A117" s="13" t="str">
        <f ca="1"/>
        <v>0xD07E</v>
      </c>
      <c r="B117" s="14" t="str">
        <f ca="1"/>
        <v>AngleLevelYawing</v>
      </c>
      <c r="D117" s="8" t="str">
        <f ca="1"/>
        <v>AngleLevelYawing</v>
      </c>
      <c r="E117" s="8" t="str">
        <f ca="1"/>
        <v>AngleLevelYawing</v>
      </c>
      <c r="F117" s="8" t="str">
        <f ca="1"/>
        <v>AngleLevelYawing</v>
      </c>
      <c r="G117" s="8" t="str">
        <f ca="1"/>
        <v>AngleLevelYawing</v>
      </c>
      <c r="H117" s="7" t="str">
        <f ca="1"/>
        <v>AngleLevelYawing</v>
      </c>
      <c r="I117" s="7" t="str">
        <f ca="1"/>
        <v>AngleLevelYawing</v>
      </c>
      <c r="J117" s="7" t="str">
        <f ca="1"/>
        <v>AngleLevelYawing</v>
      </c>
      <c r="K117" s="7" t="str">
        <f ca="1"/>
        <v>AngleLevelYawing</v>
      </c>
      <c r="L117" s="7" t="str">
        <f ca="1"/>
        <v>AngleLevelYawing</v>
      </c>
      <c r="M117" s="7" t="str">
        <f ca="1"/>
        <v>AngleLevelYawing</v>
      </c>
      <c r="N117" s="7" t="str">
        <f ca="1"/>
        <v>AngleLevelYawing</v>
      </c>
      <c r="O117" s="7" t="str">
        <f ca="1"/>
        <v>AngleLevelYawing</v>
      </c>
      <c r="P117" s="7" t="str">
        <f ca="1"/>
        <v/>
      </c>
      <c r="Q117" s="7" t="str">
        <f ca="1"/>
        <v/>
      </c>
      <c r="T117" s="7" t="str">
        <f ca="1"/>
        <v>Z8</v>
      </c>
      <c r="U117" s="7" t="str">
        <f ca="1"/>
        <v>0xD0BC</v>
      </c>
      <c r="V117" s="7" t="str">
        <f ca="1"/>
        <v>MovieAutoDistortion</v>
      </c>
      <c r="X117" s="8" t="s">
        <v>504</v>
      </c>
      <c r="Y117" s="8" t="s">
        <v>504</v>
      </c>
      <c r="Z117" s="8" t="s">
        <v>526</v>
      </c>
      <c r="AA117" s="8" t="s">
        <v>526</v>
      </c>
      <c r="AB117" s="7" t="s">
        <v>526</v>
      </c>
      <c r="AC117" s="7" t="s">
        <v>516</v>
      </c>
      <c r="AD117" s="7" t="s">
        <v>516</v>
      </c>
      <c r="AE117" s="7" t="s">
        <v>516</v>
      </c>
      <c r="AF117" s="7" t="s">
        <v>496</v>
      </c>
      <c r="AG117" s="7" t="s">
        <v>494</v>
      </c>
      <c r="AH117" s="7" t="s">
        <v>492</v>
      </c>
      <c r="AI117" s="7" t="s">
        <v>512</v>
      </c>
      <c r="AJ117" s="7" t="s">
        <v>508</v>
      </c>
      <c r="AK117" s="7" t="s">
        <v>1752</v>
      </c>
    </row>
    <row r="118" spans="1:37" x14ac:dyDescent="0.25">
      <c r="A118" s="13" t="str">
        <f ca="1"/>
        <v>0xD07F</v>
      </c>
      <c r="B118" s="14" t="str">
        <f ca="1"/>
        <v>ExtendShootingMenu</v>
      </c>
      <c r="D118" s="8" t="str">
        <f ca="1"/>
        <v>ExtendShootingMenu</v>
      </c>
      <c r="E118" s="8" t="str">
        <f ca="1"/>
        <v>ExtendShootingMenu</v>
      </c>
      <c r="F118" s="8" t="str">
        <f ca="1"/>
        <v/>
      </c>
      <c r="G118" s="8" t="str">
        <f ca="1"/>
        <v/>
      </c>
      <c r="H118" s="7" t="str">
        <f ca="1"/>
        <v/>
      </c>
      <c r="I118" s="7" t="str">
        <f ca="1"/>
        <v/>
      </c>
      <c r="J118" s="7" t="str">
        <f ca="1"/>
        <v/>
      </c>
      <c r="K118" s="7" t="str">
        <f ca="1"/>
        <v/>
      </c>
      <c r="L118" s="7" t="str">
        <f ca="1"/>
        <v>ExtendShootingMenu</v>
      </c>
      <c r="M118" s="7" t="str">
        <f ca="1"/>
        <v>ExtendShootingMenu</v>
      </c>
      <c r="N118" s="7" t="str">
        <f ca="1"/>
        <v>ExtendShootingMenu</v>
      </c>
      <c r="O118" s="7" t="str">
        <f ca="1"/>
        <v>ExtendShootingMenu</v>
      </c>
      <c r="P118" s="7" t="str">
        <f ca="1"/>
        <v/>
      </c>
      <c r="Q118" s="7" t="str">
        <f ca="1"/>
        <v/>
      </c>
      <c r="T118" s="7" t="str">
        <f ca="1"/>
        <v>Z8</v>
      </c>
      <c r="U118" s="7" t="str">
        <f ca="1"/>
        <v>0xD0BE</v>
      </c>
      <c r="V118" s="7" t="str">
        <f ca="1"/>
        <v>RemainingExposureTime</v>
      </c>
      <c r="X118" s="8" t="s">
        <v>505</v>
      </c>
      <c r="Y118" s="8" t="s">
        <v>505</v>
      </c>
      <c r="Z118" s="8" t="s">
        <v>527</v>
      </c>
      <c r="AA118" s="8" t="s">
        <v>527</v>
      </c>
      <c r="AB118" s="7" t="s">
        <v>527</v>
      </c>
      <c r="AC118" s="7" t="s">
        <v>517</v>
      </c>
      <c r="AD118" s="7" t="s">
        <v>517</v>
      </c>
      <c r="AE118" s="7" t="s">
        <v>517</v>
      </c>
      <c r="AF118" s="7" t="s">
        <v>497</v>
      </c>
      <c r="AG118" s="7" t="s">
        <v>495</v>
      </c>
      <c r="AH118" s="7" t="s">
        <v>493</v>
      </c>
      <c r="AI118" s="7" t="s">
        <v>513</v>
      </c>
      <c r="AJ118" s="7" t="s">
        <v>509</v>
      </c>
      <c r="AK118" s="7" t="s">
        <v>1753</v>
      </c>
    </row>
    <row r="119" spans="1:37" x14ac:dyDescent="0.25">
      <c r="A119" s="13" t="str">
        <f ca="1"/>
        <v>0xD080</v>
      </c>
      <c r="B119" s="14" t="str">
        <f ca="1"/>
        <v>CenterButtonOnShootingMode</v>
      </c>
      <c r="D119" s="8" t="str">
        <f ca="1"/>
        <v/>
      </c>
      <c r="E119" s="8" t="str">
        <f ca="1"/>
        <v/>
      </c>
      <c r="F119" s="8" t="str">
        <f ca="1"/>
        <v/>
      </c>
      <c r="G119" s="8" t="str">
        <f ca="1"/>
        <v/>
      </c>
      <c r="H119" s="7" t="str">
        <f ca="1"/>
        <v/>
      </c>
      <c r="I119" s="7" t="str">
        <f ca="1"/>
        <v/>
      </c>
      <c r="J119" s="7" t="str">
        <f ca="1"/>
        <v/>
      </c>
      <c r="K119" s="7" t="str">
        <f ca="1"/>
        <v/>
      </c>
      <c r="L119" s="7" t="str">
        <f ca="1"/>
        <v/>
      </c>
      <c r="M119" s="7" t="str">
        <f ca="1"/>
        <v/>
      </c>
      <c r="N119" s="7" t="str">
        <f ca="1"/>
        <v/>
      </c>
      <c r="O119" s="7" t="str">
        <f ca="1"/>
        <v/>
      </c>
      <c r="P119" s="7" t="str">
        <f ca="1"/>
        <v>CenterButtonOnShootingMode</v>
      </c>
      <c r="Q119" s="7" t="str">
        <f ca="1"/>
        <v>CenterButtonOnShootingMode</v>
      </c>
      <c r="T119" s="7" t="str">
        <f ca="1"/>
        <v>Z8</v>
      </c>
      <c r="U119" s="7" t="str">
        <f ca="1"/>
        <v>0xD0C0</v>
      </c>
      <c r="V119" s="7" t="str">
        <f ca="1"/>
        <v>EnableBracketing</v>
      </c>
      <c r="X119" s="8" t="s">
        <v>506</v>
      </c>
      <c r="Y119" s="8" t="s">
        <v>506</v>
      </c>
      <c r="Z119" s="8" t="s">
        <v>528</v>
      </c>
      <c r="AA119" s="8" t="s">
        <v>528</v>
      </c>
      <c r="AB119" s="7" t="s">
        <v>528</v>
      </c>
      <c r="AC119" s="7" t="s">
        <v>520</v>
      </c>
      <c r="AD119" s="7" t="s">
        <v>520</v>
      </c>
      <c r="AE119" s="7" t="s">
        <v>520</v>
      </c>
      <c r="AF119" s="7" t="s">
        <v>498</v>
      </c>
      <c r="AG119" s="7" t="s">
        <v>496</v>
      </c>
      <c r="AH119" s="7" t="s">
        <v>494</v>
      </c>
      <c r="AI119" s="7" t="s">
        <v>1729</v>
      </c>
      <c r="AJ119" s="7" t="s">
        <v>510</v>
      </c>
      <c r="AK119" s="7" t="s">
        <v>1754</v>
      </c>
    </row>
    <row r="120" spans="1:37" x14ac:dyDescent="0.25">
      <c r="A120" s="13" t="str">
        <f ca="1"/>
        <v>0xD081</v>
      </c>
      <c r="B120" s="14" t="str">
        <f ca="1"/>
        <v>CenterButtonOnPlaybackMode</v>
      </c>
      <c r="D120" s="8" t="str">
        <f ca="1"/>
        <v/>
      </c>
      <c r="E120" s="8" t="str">
        <f ca="1"/>
        <v/>
      </c>
      <c r="F120" s="8" t="str">
        <f ca="1"/>
        <v/>
      </c>
      <c r="G120" s="8" t="str">
        <f ca="1"/>
        <v/>
      </c>
      <c r="H120" s="7" t="str">
        <f ca="1"/>
        <v/>
      </c>
      <c r="I120" s="7" t="str">
        <f ca="1"/>
        <v/>
      </c>
      <c r="J120" s="7" t="str">
        <f ca="1"/>
        <v/>
      </c>
      <c r="K120" s="7" t="str">
        <f ca="1"/>
        <v/>
      </c>
      <c r="L120" s="7" t="str">
        <f ca="1"/>
        <v/>
      </c>
      <c r="M120" s="7" t="str">
        <f ca="1"/>
        <v/>
      </c>
      <c r="N120" s="7" t="str">
        <f ca="1"/>
        <v/>
      </c>
      <c r="O120" s="7" t="str">
        <f ca="1"/>
        <v/>
      </c>
      <c r="P120" s="7" t="str">
        <f ca="1"/>
        <v>CenterButtonOnPlaybackMode</v>
      </c>
      <c r="Q120" s="7" t="str">
        <f ca="1"/>
        <v>CenterButtonOnPlaybackMode</v>
      </c>
      <c r="T120" s="7" t="str">
        <f ca="1"/>
        <v>Z8</v>
      </c>
      <c r="U120" s="7" t="str">
        <f ca="1"/>
        <v>0xD0C1</v>
      </c>
      <c r="V120" s="7" t="str">
        <f ca="1"/>
        <v>AEBracketingStep</v>
      </c>
      <c r="X120" s="8" t="s">
        <v>507</v>
      </c>
      <c r="Y120" s="8" t="s">
        <v>507</v>
      </c>
      <c r="Z120" s="8" t="s">
        <v>529</v>
      </c>
      <c r="AA120" s="8" t="s">
        <v>529</v>
      </c>
      <c r="AB120" s="7" t="s">
        <v>529</v>
      </c>
      <c r="AC120" s="7" t="s">
        <v>521</v>
      </c>
      <c r="AD120" s="7" t="s">
        <v>521</v>
      </c>
      <c r="AE120" s="7" t="s">
        <v>521</v>
      </c>
      <c r="AF120" s="7" t="s">
        <v>499</v>
      </c>
      <c r="AG120" s="7" t="s">
        <v>497</v>
      </c>
      <c r="AH120" s="7" t="s">
        <v>495</v>
      </c>
      <c r="AI120" s="7" t="s">
        <v>1730</v>
      </c>
      <c r="AJ120" s="7" t="s">
        <v>511</v>
      </c>
      <c r="AK120" s="7" t="s">
        <v>1755</v>
      </c>
    </row>
    <row r="121" spans="1:37" x14ac:dyDescent="0.25">
      <c r="A121" s="13" t="str">
        <f ca="1"/>
        <v>0xD082</v>
      </c>
      <c r="B121" s="14" t="str">
        <f ca="1"/>
        <v>MultiSelectorSetting</v>
      </c>
      <c r="D121" s="8" t="str">
        <f ca="1"/>
        <v/>
      </c>
      <c r="E121" s="8" t="str">
        <f ca="1"/>
        <v/>
      </c>
      <c r="F121" s="8" t="str">
        <f ca="1"/>
        <v/>
      </c>
      <c r="G121" s="8" t="str">
        <f ca="1"/>
        <v/>
      </c>
      <c r="H121" s="7" t="str">
        <f ca="1"/>
        <v/>
      </c>
      <c r="I121" s="7" t="str">
        <f ca="1"/>
        <v/>
      </c>
      <c r="J121" s="7" t="str">
        <f ca="1"/>
        <v/>
      </c>
      <c r="K121" s="7" t="str">
        <f ca="1"/>
        <v/>
      </c>
      <c r="L121" s="7" t="str">
        <f ca="1"/>
        <v/>
      </c>
      <c r="M121" s="7" t="str">
        <f ca="1"/>
        <v/>
      </c>
      <c r="N121" s="7" t="str">
        <f ca="1"/>
        <v/>
      </c>
      <c r="O121" s="7" t="str">
        <f ca="1"/>
        <v/>
      </c>
      <c r="P121" s="7" t="str">
        <f ca="1"/>
        <v>MultiSelectorSetting</v>
      </c>
      <c r="Q121" s="7" t="str">
        <f ca="1"/>
        <v>MultiSelectorSetting</v>
      </c>
      <c r="T121" s="7" t="str">
        <f ca="1"/>
        <v>Z8</v>
      </c>
      <c r="U121" s="7" t="str">
        <f ca="1"/>
        <v>0xD0C2</v>
      </c>
      <c r="V121" s="7" t="str">
        <f ca="1"/>
        <v>AEBracketingPattern</v>
      </c>
      <c r="X121" s="8" t="s">
        <v>508</v>
      </c>
      <c r="Y121" s="8" t="s">
        <v>508</v>
      </c>
      <c r="Z121" s="8" t="s">
        <v>530</v>
      </c>
      <c r="AA121" s="8" t="s">
        <v>530</v>
      </c>
      <c r="AB121" s="7" t="s">
        <v>534</v>
      </c>
      <c r="AC121" s="7" t="s">
        <v>522</v>
      </c>
      <c r="AD121" s="7" t="s">
        <v>522</v>
      </c>
      <c r="AE121" s="7" t="s">
        <v>522</v>
      </c>
      <c r="AF121" s="7" t="s">
        <v>500</v>
      </c>
      <c r="AG121" s="7" t="s">
        <v>498</v>
      </c>
      <c r="AH121" s="7" t="s">
        <v>496</v>
      </c>
      <c r="AI121" s="7" t="s">
        <v>514</v>
      </c>
      <c r="AJ121" s="7" t="s">
        <v>1752</v>
      </c>
      <c r="AK121" s="7" t="s">
        <v>1756</v>
      </c>
    </row>
    <row r="122" spans="1:37" x14ac:dyDescent="0.25">
      <c r="A122" s="13" t="str">
        <f ca="1"/>
        <v>0xD083</v>
      </c>
      <c r="B122" s="14" t="str">
        <f ca="1"/>
        <v>MultiSelectorDirection</v>
      </c>
      <c r="D122" s="8" t="str">
        <f ca="1"/>
        <v/>
      </c>
      <c r="E122" s="8" t="str">
        <f ca="1"/>
        <v/>
      </c>
      <c r="F122" s="8" t="str">
        <f ca="1"/>
        <v/>
      </c>
      <c r="G122" s="8" t="str">
        <f ca="1"/>
        <v/>
      </c>
      <c r="H122" s="7" t="str">
        <f ca="1"/>
        <v/>
      </c>
      <c r="I122" s="7" t="str">
        <f ca="1"/>
        <v/>
      </c>
      <c r="J122" s="7" t="str">
        <f ca="1"/>
        <v/>
      </c>
      <c r="K122" s="7" t="str">
        <f ca="1"/>
        <v/>
      </c>
      <c r="L122" s="7" t="str">
        <f ca="1"/>
        <v/>
      </c>
      <c r="M122" s="7" t="str">
        <f ca="1"/>
        <v/>
      </c>
      <c r="N122" s="7" t="str">
        <f ca="1"/>
        <v/>
      </c>
      <c r="O122" s="7" t="str">
        <f ca="1"/>
        <v/>
      </c>
      <c r="P122" s="7" t="str">
        <f ca="1"/>
        <v>MultiSelectorDirection</v>
      </c>
      <c r="Q122" s="7" t="str">
        <f ca="1"/>
        <v>MultiSelectorDirection</v>
      </c>
      <c r="T122" s="7" t="str">
        <f ca="1"/>
        <v>Z8</v>
      </c>
      <c r="U122" s="7" t="str">
        <f ca="1"/>
        <v>0xD0C3</v>
      </c>
      <c r="V122" s="7" t="str">
        <f ca="1"/>
        <v>AEBracketingCount</v>
      </c>
      <c r="X122" s="8" t="s">
        <v>509</v>
      </c>
      <c r="Y122" s="8" t="s">
        <v>509</v>
      </c>
      <c r="Z122" s="8" t="s">
        <v>531</v>
      </c>
      <c r="AA122" s="8" t="s">
        <v>531</v>
      </c>
      <c r="AB122" s="7" t="s">
        <v>1520</v>
      </c>
      <c r="AC122" s="7" t="s">
        <v>523</v>
      </c>
      <c r="AD122" s="7" t="s">
        <v>523</v>
      </c>
      <c r="AE122" s="7" t="s">
        <v>523</v>
      </c>
      <c r="AF122" s="7" t="s">
        <v>501</v>
      </c>
      <c r="AG122" s="7" t="s">
        <v>499</v>
      </c>
      <c r="AH122" s="7" t="s">
        <v>497</v>
      </c>
      <c r="AI122" s="7" t="s">
        <v>515</v>
      </c>
      <c r="AJ122" s="7" t="s">
        <v>1753</v>
      </c>
      <c r="AK122" s="7" t="s">
        <v>1757</v>
      </c>
    </row>
    <row r="123" spans="1:37" x14ac:dyDescent="0.25">
      <c r="A123" s="13" t="str">
        <f ca="1"/>
        <v>0xD084</v>
      </c>
      <c r="B123" s="14" t="str">
        <f ca="1"/>
        <v>FunctionButton</v>
      </c>
      <c r="D123" s="8" t="str">
        <f ca="1"/>
        <v/>
      </c>
      <c r="E123" s="8" t="str">
        <f ca="1"/>
        <v/>
      </c>
      <c r="F123" s="8" t="str">
        <f ca="1"/>
        <v/>
      </c>
      <c r="G123" s="8" t="str">
        <f ca="1"/>
        <v/>
      </c>
      <c r="H123" s="7" t="str">
        <f ca="1"/>
        <v/>
      </c>
      <c r="I123" s="7" t="str">
        <f ca="1"/>
        <v/>
      </c>
      <c r="J123" s="7" t="str">
        <f ca="1"/>
        <v/>
      </c>
      <c r="K123" s="7" t="str">
        <f ca="1"/>
        <v/>
      </c>
      <c r="L123" s="7" t="str">
        <f ca="1"/>
        <v/>
      </c>
      <c r="M123" s="7" t="str">
        <f ca="1"/>
        <v/>
      </c>
      <c r="N123" s="7" t="str">
        <f ca="1"/>
        <v/>
      </c>
      <c r="O123" s="7" t="str">
        <f ca="1"/>
        <v/>
      </c>
      <c r="P123" s="7" t="str">
        <f ca="1"/>
        <v>FunctionButton</v>
      </c>
      <c r="Q123" s="7" t="str">
        <f ca="1"/>
        <v>FunctionButton</v>
      </c>
      <c r="T123" s="7" t="str">
        <f ca="1"/>
        <v>Z8</v>
      </c>
      <c r="U123" s="7" t="str">
        <f ca="1"/>
        <v>0xD0C4</v>
      </c>
      <c r="V123" s="7" t="str">
        <f ca="1"/>
        <v>WBBracketingStep</v>
      </c>
      <c r="X123" s="8" t="s">
        <v>510</v>
      </c>
      <c r="Y123" s="8" t="s">
        <v>510</v>
      </c>
      <c r="Z123" s="8" t="s">
        <v>534</v>
      </c>
      <c r="AA123" s="8" t="s">
        <v>534</v>
      </c>
      <c r="AB123" s="7" t="s">
        <v>536</v>
      </c>
      <c r="AC123" s="7" t="s">
        <v>524</v>
      </c>
      <c r="AD123" s="7" t="s">
        <v>524</v>
      </c>
      <c r="AE123" s="7" t="s">
        <v>524</v>
      </c>
      <c r="AF123" s="7" t="s">
        <v>502</v>
      </c>
      <c r="AG123" s="7" t="s">
        <v>500</v>
      </c>
      <c r="AH123" s="7" t="s">
        <v>498</v>
      </c>
      <c r="AI123" s="7" t="s">
        <v>516</v>
      </c>
      <c r="AJ123" s="7" t="s">
        <v>1754</v>
      </c>
      <c r="AK123" s="7" t="s">
        <v>512</v>
      </c>
    </row>
    <row r="124" spans="1:37" x14ac:dyDescent="0.25">
      <c r="A124" s="13" t="str">
        <f ca="1"/>
        <v>0xD085</v>
      </c>
      <c r="B124" s="14" t="str">
        <f ca="1"/>
        <v>CommandDialRotation</v>
      </c>
      <c r="D124" s="8" t="str">
        <f ca="1"/>
        <v/>
      </c>
      <c r="E124" s="8" t="str">
        <f ca="1"/>
        <v/>
      </c>
      <c r="F124" s="8" t="str">
        <f ca="1"/>
        <v/>
      </c>
      <c r="G124" s="8" t="str">
        <f ca="1"/>
        <v/>
      </c>
      <c r="H124" s="7" t="str">
        <f ca="1"/>
        <v/>
      </c>
      <c r="I124" s="7" t="str">
        <f ca="1"/>
        <v/>
      </c>
      <c r="J124" s="7" t="str">
        <f ca="1"/>
        <v/>
      </c>
      <c r="K124" s="7" t="str">
        <f ca="1"/>
        <v/>
      </c>
      <c r="L124" s="7" t="str">
        <f ca="1"/>
        <v/>
      </c>
      <c r="M124" s="7" t="str">
        <f ca="1"/>
        <v/>
      </c>
      <c r="N124" s="7" t="str">
        <f ca="1"/>
        <v/>
      </c>
      <c r="O124" s="7" t="str">
        <f ca="1"/>
        <v/>
      </c>
      <c r="P124" s="7" t="str">
        <f ca="1"/>
        <v>CommandDialRotation</v>
      </c>
      <c r="Q124" s="7" t="str">
        <f ca="1"/>
        <v>CommandDialRotation</v>
      </c>
      <c r="T124" s="7" t="str">
        <f ca="1"/>
        <v>Z8</v>
      </c>
      <c r="U124" s="7" t="str">
        <f ca="1"/>
        <v>0xD0C5</v>
      </c>
      <c r="V124" s="7" t="str">
        <f ca="1"/>
        <v>WBBracketingPattern</v>
      </c>
      <c r="X124" s="8" t="s">
        <v>511</v>
      </c>
      <c r="Y124" s="8" t="s">
        <v>511</v>
      </c>
      <c r="Z124" s="8" t="s">
        <v>535</v>
      </c>
      <c r="AA124" s="8" t="s">
        <v>535</v>
      </c>
      <c r="AB124" s="7" t="s">
        <v>537</v>
      </c>
      <c r="AC124" s="7" t="s">
        <v>525</v>
      </c>
      <c r="AD124" s="7" t="s">
        <v>525</v>
      </c>
      <c r="AE124" s="7" t="s">
        <v>525</v>
      </c>
      <c r="AF124" s="7" t="s">
        <v>503</v>
      </c>
      <c r="AG124" s="7" t="s">
        <v>501</v>
      </c>
      <c r="AH124" s="7" t="s">
        <v>499</v>
      </c>
      <c r="AI124" s="7" t="s">
        <v>517</v>
      </c>
      <c r="AJ124" s="7" t="s">
        <v>1755</v>
      </c>
      <c r="AK124" s="7" t="s">
        <v>513</v>
      </c>
    </row>
    <row r="125" spans="1:37" x14ac:dyDescent="0.25">
      <c r="A125" s="13" t="str">
        <f ca="1"/>
        <v>0xD086</v>
      </c>
      <c r="B125" s="14" t="str">
        <f ca="1"/>
        <v>CommandDialChange</v>
      </c>
      <c r="D125" s="8" t="str">
        <f ca="1"/>
        <v/>
      </c>
      <c r="E125" s="8" t="str">
        <f ca="1"/>
        <v/>
      </c>
      <c r="F125" s="8" t="str">
        <f ca="1"/>
        <v/>
      </c>
      <c r="G125" s="8" t="str">
        <f ca="1"/>
        <v/>
      </c>
      <c r="H125" s="7" t="str">
        <f ca="1"/>
        <v/>
      </c>
      <c r="I125" s="7" t="str">
        <f ca="1"/>
        <v/>
      </c>
      <c r="J125" s="7" t="str">
        <f ca="1"/>
        <v/>
      </c>
      <c r="K125" s="7" t="str">
        <f ca="1"/>
        <v/>
      </c>
      <c r="L125" s="7" t="str">
        <f ca="1"/>
        <v/>
      </c>
      <c r="M125" s="7" t="str">
        <f ca="1"/>
        <v/>
      </c>
      <c r="N125" s="7" t="str">
        <f ca="1"/>
        <v/>
      </c>
      <c r="O125" s="7" t="str">
        <f ca="1"/>
        <v/>
      </c>
      <c r="P125" s="7" t="str">
        <f ca="1"/>
        <v>CommandDialChange</v>
      </c>
      <c r="Q125" s="7" t="str">
        <f ca="1"/>
        <v>CommandDialChange</v>
      </c>
      <c r="T125" s="7" t="str">
        <f ca="1"/>
        <v>Z8</v>
      </c>
      <c r="U125" s="7" t="str">
        <f ca="1"/>
        <v>0xD0C6</v>
      </c>
      <c r="V125" s="7" t="str">
        <f ca="1"/>
        <v>ADLBracketingPattern</v>
      </c>
      <c r="X125" s="8" t="s">
        <v>512</v>
      </c>
      <c r="Y125" s="8" t="s">
        <v>512</v>
      </c>
      <c r="Z125" s="8" t="s">
        <v>536</v>
      </c>
      <c r="AA125" s="8" t="s">
        <v>536</v>
      </c>
      <c r="AB125" s="7" t="s">
        <v>538</v>
      </c>
      <c r="AC125" s="7" t="s">
        <v>526</v>
      </c>
      <c r="AD125" s="7" t="s">
        <v>526</v>
      </c>
      <c r="AE125" s="7" t="s">
        <v>526</v>
      </c>
      <c r="AF125" s="7" t="s">
        <v>504</v>
      </c>
      <c r="AG125" s="7" t="s">
        <v>502</v>
      </c>
      <c r="AH125" s="7" t="s">
        <v>500</v>
      </c>
      <c r="AI125" s="7" t="s">
        <v>518</v>
      </c>
      <c r="AJ125" s="7" t="s">
        <v>1756</v>
      </c>
      <c r="AK125" s="7" t="s">
        <v>1758</v>
      </c>
    </row>
    <row r="126" spans="1:37" x14ac:dyDescent="0.25">
      <c r="A126" s="13" t="str">
        <f ca="1"/>
        <v>0xD087</v>
      </c>
      <c r="B126" s="14" t="str">
        <f ca="1"/>
        <v>CommandDialSetting</v>
      </c>
      <c r="D126" s="8" t="str">
        <f ca="1"/>
        <v/>
      </c>
      <c r="E126" s="8" t="str">
        <f ca="1"/>
        <v/>
      </c>
      <c r="F126" s="8" t="str">
        <f ca="1"/>
        <v/>
      </c>
      <c r="G126" s="8" t="str">
        <f ca="1"/>
        <v/>
      </c>
      <c r="H126" s="7" t="str">
        <f ca="1"/>
        <v/>
      </c>
      <c r="I126" s="7" t="str">
        <f ca="1"/>
        <v/>
      </c>
      <c r="J126" s="7" t="str">
        <f ca="1"/>
        <v/>
      </c>
      <c r="K126" s="7" t="str">
        <f ca="1"/>
        <v/>
      </c>
      <c r="L126" s="7" t="str">
        <f ca="1"/>
        <v/>
      </c>
      <c r="M126" s="7" t="str">
        <f ca="1"/>
        <v>CommandDialSetting</v>
      </c>
      <c r="N126" s="7" t="str">
        <f ca="1"/>
        <v>CommandDialSetting</v>
      </c>
      <c r="O126" s="7" t="str">
        <f ca="1"/>
        <v>CommandDialFSetting</v>
      </c>
      <c r="P126" s="7" t="str">
        <f ca="1"/>
        <v>CommandDialFSetting</v>
      </c>
      <c r="Q126" s="7" t="str">
        <f ca="1"/>
        <v>CommandDialFSetting</v>
      </c>
      <c r="T126" s="7" t="str">
        <f ca="1"/>
        <v>Z8</v>
      </c>
      <c r="U126" s="7" t="str">
        <f ca="1"/>
        <v>0xD0C7</v>
      </c>
      <c r="V126" s="7" t="str">
        <f ca="1"/>
        <v>ADLBracketingStep</v>
      </c>
      <c r="X126" s="8" t="s">
        <v>513</v>
      </c>
      <c r="Y126" s="8" t="s">
        <v>513</v>
      </c>
      <c r="Z126" s="8" t="s">
        <v>537</v>
      </c>
      <c r="AA126" s="8" t="s">
        <v>537</v>
      </c>
      <c r="AB126" s="7" t="s">
        <v>1197</v>
      </c>
      <c r="AC126" s="7" t="s">
        <v>527</v>
      </c>
      <c r="AD126" s="7" t="s">
        <v>527</v>
      </c>
      <c r="AE126" s="7" t="s">
        <v>527</v>
      </c>
      <c r="AF126" s="7" t="s">
        <v>505</v>
      </c>
      <c r="AG126" s="7" t="s">
        <v>503</v>
      </c>
      <c r="AH126" s="7" t="s">
        <v>501</v>
      </c>
      <c r="AI126" s="7" t="s">
        <v>519</v>
      </c>
      <c r="AJ126" s="7" t="s">
        <v>1757</v>
      </c>
      <c r="AK126" s="7" t="s">
        <v>1759</v>
      </c>
    </row>
    <row r="127" spans="1:37" x14ac:dyDescent="0.25">
      <c r="A127" s="13" t="str">
        <f ca="1"/>
        <v>0xD088</v>
      </c>
      <c r="B127" s="14" t="str">
        <f ca="1"/>
        <v>CommandDialActiveOnPlaybackMenu</v>
      </c>
      <c r="D127" s="8" t="str">
        <f ca="1"/>
        <v/>
      </c>
      <c r="E127" s="8" t="str">
        <f ca="1"/>
        <v/>
      </c>
      <c r="F127" s="8" t="str">
        <f ca="1"/>
        <v/>
      </c>
      <c r="G127" s="8" t="str">
        <f ca="1"/>
        <v/>
      </c>
      <c r="H127" s="7" t="str">
        <f ca="1"/>
        <v/>
      </c>
      <c r="I127" s="7" t="str">
        <f ca="1"/>
        <v/>
      </c>
      <c r="J127" s="7" t="str">
        <f ca="1"/>
        <v/>
      </c>
      <c r="K127" s="7" t="str">
        <f ca="1"/>
        <v/>
      </c>
      <c r="L127" s="7" t="str">
        <f ca="1"/>
        <v/>
      </c>
      <c r="M127" s="7" t="str">
        <f ca="1"/>
        <v/>
      </c>
      <c r="N127" s="7" t="str">
        <f ca="1"/>
        <v/>
      </c>
      <c r="O127" s="7" t="str">
        <f ca="1"/>
        <v/>
      </c>
      <c r="P127" s="7" t="str">
        <f ca="1"/>
        <v>CommandDialActiveOnPlaybackMenu</v>
      </c>
      <c r="Q127" s="7" t="str">
        <f ca="1"/>
        <v>CommandDialActiveOnPlaybackMenu</v>
      </c>
      <c r="T127" s="7" t="str">
        <f ca="1"/>
        <v>Z8</v>
      </c>
      <c r="U127" s="7" t="str">
        <f ca="1"/>
        <v>0xD0CD</v>
      </c>
      <c r="V127" s="7" t="str">
        <f ca="1"/>
        <v>SaveFocusPosition</v>
      </c>
      <c r="X127" s="8" t="s">
        <v>514</v>
      </c>
      <c r="Y127" s="8" t="s">
        <v>514</v>
      </c>
      <c r="Z127" s="8" t="s">
        <v>538</v>
      </c>
      <c r="AA127" s="8" t="s">
        <v>538</v>
      </c>
      <c r="AB127" s="7" t="s">
        <v>540</v>
      </c>
      <c r="AC127" s="7" t="s">
        <v>528</v>
      </c>
      <c r="AD127" s="7" t="s">
        <v>528</v>
      </c>
      <c r="AE127" s="7" t="s">
        <v>528</v>
      </c>
      <c r="AF127" s="7" t="s">
        <v>506</v>
      </c>
      <c r="AG127" s="7" t="s">
        <v>1518</v>
      </c>
      <c r="AH127" s="7" t="s">
        <v>502</v>
      </c>
      <c r="AI127" s="7" t="s">
        <v>520</v>
      </c>
      <c r="AJ127" s="7" t="s">
        <v>512</v>
      </c>
      <c r="AK127" s="7" t="s">
        <v>1729</v>
      </c>
    </row>
    <row r="128" spans="1:37" x14ac:dyDescent="0.25">
      <c r="A128" s="13" t="str">
        <f ca="1"/>
        <v>0xD089</v>
      </c>
      <c r="B128" s="14" t="str">
        <f ca="1"/>
        <v>UniversalMode</v>
      </c>
      <c r="D128" s="8" t="str">
        <f ca="1"/>
        <v/>
      </c>
      <c r="E128" s="8" t="str">
        <f ca="1"/>
        <v/>
      </c>
      <c r="F128" s="8" t="str">
        <f ca="1"/>
        <v/>
      </c>
      <c r="G128" s="8" t="str">
        <f ca="1"/>
        <v/>
      </c>
      <c r="H128" s="7" t="str">
        <f ca="1"/>
        <v/>
      </c>
      <c r="I128" s="7" t="str">
        <f ca="1"/>
        <v/>
      </c>
      <c r="J128" s="7" t="str">
        <f ca="1"/>
        <v/>
      </c>
      <c r="K128" s="7" t="str">
        <f ca="1"/>
        <v/>
      </c>
      <c r="L128" s="7" t="str">
        <f ca="1"/>
        <v/>
      </c>
      <c r="M128" s="7" t="str">
        <f ca="1"/>
        <v/>
      </c>
      <c r="N128" s="7" t="str">
        <f ca="1"/>
        <v/>
      </c>
      <c r="O128" s="7" t="str">
        <f ca="1"/>
        <v/>
      </c>
      <c r="P128" s="7" t="str">
        <f ca="1"/>
        <v>UniversalMode</v>
      </c>
      <c r="Q128" s="7" t="str">
        <f ca="1"/>
        <v>UniversalMode</v>
      </c>
      <c r="T128" s="7" t="str">
        <f ca="1"/>
        <v>Z8</v>
      </c>
      <c r="U128" s="7" t="str">
        <f ca="1"/>
        <v>0xD0E0</v>
      </c>
      <c r="V128" s="7" t="str">
        <f ca="1"/>
        <v>LensID</v>
      </c>
      <c r="X128" s="8" t="s">
        <v>515</v>
      </c>
      <c r="Y128" s="8" t="s">
        <v>515</v>
      </c>
      <c r="Z128" s="8" t="s">
        <v>1197</v>
      </c>
      <c r="AA128" s="8" t="s">
        <v>1197</v>
      </c>
      <c r="AB128" s="7" t="s">
        <v>541</v>
      </c>
      <c r="AC128" s="7" t="s">
        <v>529</v>
      </c>
      <c r="AD128" s="7" t="s">
        <v>529</v>
      </c>
      <c r="AE128" s="7" t="s">
        <v>529</v>
      </c>
      <c r="AF128" s="7" t="s">
        <v>507</v>
      </c>
      <c r="AG128" s="7" t="s">
        <v>1519</v>
      </c>
      <c r="AH128" s="7" t="s">
        <v>503</v>
      </c>
      <c r="AI128" s="7" t="s">
        <v>521</v>
      </c>
      <c r="AJ128" s="7" t="s">
        <v>513</v>
      </c>
      <c r="AK128" s="7" t="s">
        <v>1730</v>
      </c>
    </row>
    <row r="129" spans="1:37" x14ac:dyDescent="0.25">
      <c r="A129" s="13" t="str">
        <f ca="1"/>
        <v>0xD08A</v>
      </c>
      <c r="B129" s="14" t="str">
        <f ca="1"/>
        <v>EnableShutter</v>
      </c>
      <c r="D129" s="8" t="str">
        <f ca="1"/>
        <v>EnableShutter</v>
      </c>
      <c r="E129" s="8" t="str">
        <f ca="1"/>
        <v>EnableShutter</v>
      </c>
      <c r="F129" s="8" t="str">
        <f ca="1"/>
        <v>EnableShutter</v>
      </c>
      <c r="G129" s="8" t="str">
        <f ca="1"/>
        <v>EnableShutter</v>
      </c>
      <c r="H129" s="7" t="str">
        <f ca="1"/>
        <v>EnableShutter</v>
      </c>
      <c r="I129" s="7" t="str">
        <f ca="1"/>
        <v>EnableShutter</v>
      </c>
      <c r="J129" s="7" t="str">
        <f ca="1"/>
        <v>EnableShutter</v>
      </c>
      <c r="K129" s="7" t="str">
        <f ca="1"/>
        <v>EnableShutter</v>
      </c>
      <c r="L129" s="7" t="str">
        <f ca="1"/>
        <v>EnableShutter</v>
      </c>
      <c r="M129" s="7" t="str">
        <f ca="1"/>
        <v>EnableShutter</v>
      </c>
      <c r="N129" s="7" t="str">
        <f ca="1"/>
        <v>EnableShutter</v>
      </c>
      <c r="O129" s="7" t="str">
        <f ca="1"/>
        <v>EnableShutter</v>
      </c>
      <c r="P129" s="7" t="str">
        <f ca="1"/>
        <v>EnableShutter</v>
      </c>
      <c r="Q129" s="7" t="str">
        <f ca="1"/>
        <v>EnableShutter</v>
      </c>
      <c r="T129" s="7" t="str">
        <f ca="1"/>
        <v>Z8</v>
      </c>
      <c r="U129" s="7" t="str">
        <f ca="1"/>
        <v>0xD0E1</v>
      </c>
      <c r="V129" s="7" t="str">
        <f ca="1"/>
        <v>LensSort</v>
      </c>
      <c r="X129" s="8" t="s">
        <v>516</v>
      </c>
      <c r="Y129" s="8" t="s">
        <v>516</v>
      </c>
      <c r="Z129" s="8" t="s">
        <v>540</v>
      </c>
      <c r="AA129" s="8" t="s">
        <v>540</v>
      </c>
      <c r="AB129" s="7" t="s">
        <v>542</v>
      </c>
      <c r="AC129" s="7" t="s">
        <v>534</v>
      </c>
      <c r="AD129" s="7" t="s">
        <v>534</v>
      </c>
      <c r="AE129" s="7" t="s">
        <v>534</v>
      </c>
      <c r="AF129" s="7" t="s">
        <v>508</v>
      </c>
      <c r="AG129" s="7" t="s">
        <v>504</v>
      </c>
      <c r="AH129" s="7" t="s">
        <v>1518</v>
      </c>
      <c r="AI129" s="7" t="s">
        <v>1661</v>
      </c>
      <c r="AJ129" s="7" t="s">
        <v>1758</v>
      </c>
      <c r="AK129" s="7" t="s">
        <v>516</v>
      </c>
    </row>
    <row r="130" spans="1:37" x14ac:dyDescent="0.25">
      <c r="A130" s="13" t="str">
        <f ca="1"/>
        <v>0xD08B</v>
      </c>
      <c r="B130" s="14" t="str">
        <f ca="1"/>
        <v>AfZoomRatio</v>
      </c>
      <c r="D130" s="8" t="str">
        <f ca="1"/>
        <v/>
      </c>
      <c r="E130" s="8" t="str">
        <f ca="1"/>
        <v/>
      </c>
      <c r="F130" s="8" t="str">
        <f ca="1"/>
        <v/>
      </c>
      <c r="G130" s="8" t="str">
        <f ca="1"/>
        <v/>
      </c>
      <c r="H130" s="7" t="str">
        <f ca="1"/>
        <v/>
      </c>
      <c r="I130" s="7" t="str">
        <f ca="1"/>
        <v/>
      </c>
      <c r="J130" s="7" t="str">
        <f ca="1"/>
        <v/>
      </c>
      <c r="K130" s="7" t="str">
        <f ca="1"/>
        <v/>
      </c>
      <c r="L130" s="7" t="str">
        <f ca="1"/>
        <v/>
      </c>
      <c r="M130" s="7" t="str">
        <f ca="1"/>
        <v/>
      </c>
      <c r="N130" s="7" t="str">
        <f ca="1"/>
        <v/>
      </c>
      <c r="O130" s="7" t="str">
        <f ca="1"/>
        <v/>
      </c>
      <c r="P130" s="7" t="str">
        <f ca="1"/>
        <v>AfZoomRatio</v>
      </c>
      <c r="Q130" s="7" t="str">
        <f ca="1"/>
        <v>AfZoomRatio</v>
      </c>
      <c r="T130" s="7" t="str">
        <f ca="1"/>
        <v>Z8</v>
      </c>
      <c r="U130" s="7" t="str">
        <f ca="1"/>
        <v>0xD0E2</v>
      </c>
      <c r="V130" s="7" t="str">
        <f ca="1"/>
        <v>LensTypeF</v>
      </c>
      <c r="X130" s="8" t="s">
        <v>517</v>
      </c>
      <c r="Y130" s="8" t="s">
        <v>517</v>
      </c>
      <c r="Z130" s="8" t="s">
        <v>541</v>
      </c>
      <c r="AA130" s="8" t="s">
        <v>541</v>
      </c>
      <c r="AB130" s="7" t="s">
        <v>543</v>
      </c>
      <c r="AC130" s="7" t="s">
        <v>1520</v>
      </c>
      <c r="AD130" s="7" t="s">
        <v>1520</v>
      </c>
      <c r="AE130" s="7" t="s">
        <v>1520</v>
      </c>
      <c r="AF130" s="7" t="s">
        <v>509</v>
      </c>
      <c r="AG130" s="7" t="s">
        <v>505</v>
      </c>
      <c r="AH130" s="7" t="s">
        <v>1519</v>
      </c>
      <c r="AI130" s="7" t="s">
        <v>1662</v>
      </c>
      <c r="AJ130" s="7" t="s">
        <v>1759</v>
      </c>
      <c r="AK130" s="7" t="s">
        <v>517</v>
      </c>
    </row>
    <row r="131" spans="1:37" x14ac:dyDescent="0.25">
      <c r="A131" s="13" t="str">
        <f ca="1"/>
        <v>0xD08C</v>
      </c>
      <c r="B131" s="14" t="str">
        <f ca="1"/>
        <v>FunctionButton2</v>
      </c>
      <c r="D131" s="8" t="str">
        <f ca="1"/>
        <v/>
      </c>
      <c r="E131" s="8" t="str">
        <f ca="1"/>
        <v/>
      </c>
      <c r="F131" s="8" t="str">
        <f ca="1"/>
        <v/>
      </c>
      <c r="G131" s="8" t="str">
        <f ca="1"/>
        <v/>
      </c>
      <c r="H131" s="7" t="str">
        <f ca="1"/>
        <v/>
      </c>
      <c r="I131" s="7" t="str">
        <f ca="1"/>
        <v/>
      </c>
      <c r="J131" s="7" t="str">
        <f ca="1"/>
        <v/>
      </c>
      <c r="K131" s="7" t="str">
        <f ca="1"/>
        <v/>
      </c>
      <c r="L131" s="7" t="str">
        <f ca="1"/>
        <v/>
      </c>
      <c r="M131" s="7" t="str">
        <f ca="1"/>
        <v/>
      </c>
      <c r="N131" s="7" t="str">
        <f ca="1"/>
        <v/>
      </c>
      <c r="O131" s="7" t="str">
        <f ca="1"/>
        <v/>
      </c>
      <c r="P131" s="7" t="str">
        <f ca="1"/>
        <v>FunctionButton2</v>
      </c>
      <c r="Q131" s="7" t="str">
        <f ca="1"/>
        <v>FunctionButton2</v>
      </c>
      <c r="T131" s="7" t="str">
        <f ca="1"/>
        <v>Z8</v>
      </c>
      <c r="U131" s="7" t="str">
        <f ca="1"/>
        <v>0xD0E3</v>
      </c>
      <c r="V131" s="7" t="str">
        <f ca="1"/>
        <v>LensFocalMin</v>
      </c>
      <c r="X131" s="8" t="s">
        <v>518</v>
      </c>
      <c r="Y131" s="8" t="s">
        <v>518</v>
      </c>
      <c r="Z131" s="8" t="s">
        <v>542</v>
      </c>
      <c r="AA131" s="8" t="s">
        <v>542</v>
      </c>
      <c r="AB131" s="7" t="s">
        <v>544</v>
      </c>
      <c r="AC131" s="7" t="s">
        <v>536</v>
      </c>
      <c r="AD131" s="7" t="s">
        <v>536</v>
      </c>
      <c r="AE131" s="7" t="s">
        <v>536</v>
      </c>
      <c r="AF131" s="7" t="s">
        <v>510</v>
      </c>
      <c r="AG131" s="7" t="s">
        <v>506</v>
      </c>
      <c r="AH131" s="7" t="s">
        <v>508</v>
      </c>
      <c r="AI131" s="7" t="s">
        <v>522</v>
      </c>
      <c r="AJ131" s="7" t="s">
        <v>1729</v>
      </c>
      <c r="AK131" s="7" t="s">
        <v>518</v>
      </c>
    </row>
    <row r="132" spans="1:37" x14ac:dyDescent="0.25">
      <c r="A132" s="13" t="str">
        <f ca="1"/>
        <v>0xD08D</v>
      </c>
      <c r="B132" s="14" t="str">
        <f ca="1"/>
        <v>EnableAFAreaPoint</v>
      </c>
      <c r="D132" s="8" t="str">
        <f ca="1"/>
        <v>EnableAFAreaPoint</v>
      </c>
      <c r="E132" s="8" t="str">
        <f ca="1"/>
        <v>EnableAFAreaPoint</v>
      </c>
      <c r="F132" s="8" t="str">
        <f ca="1"/>
        <v>EnableAFAreaPoint</v>
      </c>
      <c r="G132" s="8" t="str">
        <f ca="1"/>
        <v>EnableAFAreaPoint</v>
      </c>
      <c r="H132" s="7" t="str">
        <f ca="1"/>
        <v>EnableAFAreaPoint</v>
      </c>
      <c r="I132" s="7" t="str">
        <f ca="1"/>
        <v>EnableAFAreaPoint</v>
      </c>
      <c r="J132" s="7" t="str">
        <f ca="1"/>
        <v>EnableAFAreaPoint</v>
      </c>
      <c r="K132" s="7" t="str">
        <f ca="1"/>
        <v>EnableAFAreaPoint</v>
      </c>
      <c r="L132" s="7" t="str">
        <f ca="1"/>
        <v>EnableAFAreaPoint</v>
      </c>
      <c r="M132" s="7" t="str">
        <f ca="1"/>
        <v>EnableAFAreaPoint</v>
      </c>
      <c r="N132" s="7" t="str">
        <f ca="1"/>
        <v>EnableAFAreaPoint</v>
      </c>
      <c r="O132" s="7" t="str">
        <f ca="1"/>
        <v>EnableAFAreaPoint</v>
      </c>
      <c r="P132" s="7" t="str">
        <f ca="1"/>
        <v>EnableAFAreaPoint</v>
      </c>
      <c r="Q132" s="7" t="str">
        <f ca="1"/>
        <v>EnableAFAreaPoint</v>
      </c>
      <c r="T132" s="7" t="str">
        <f ca="1"/>
        <v>Z8</v>
      </c>
      <c r="U132" s="7" t="str">
        <f ca="1"/>
        <v>0xD0E4</v>
      </c>
      <c r="V132" s="7" t="str">
        <f ca="1"/>
        <v>LensFocalMax</v>
      </c>
      <c r="X132" s="8" t="s">
        <v>519</v>
      </c>
      <c r="Y132" s="8" t="s">
        <v>519</v>
      </c>
      <c r="Z132" s="8" t="s">
        <v>543</v>
      </c>
      <c r="AA132" s="8" t="s">
        <v>543</v>
      </c>
      <c r="AB132" s="7" t="s">
        <v>545</v>
      </c>
      <c r="AC132" s="7" t="s">
        <v>537</v>
      </c>
      <c r="AD132" s="7" t="s">
        <v>537</v>
      </c>
      <c r="AE132" s="7" t="s">
        <v>537</v>
      </c>
      <c r="AF132" s="7" t="s">
        <v>511</v>
      </c>
      <c r="AG132" s="7" t="s">
        <v>507</v>
      </c>
      <c r="AH132" s="7" t="s">
        <v>509</v>
      </c>
      <c r="AI132" s="7" t="s">
        <v>523</v>
      </c>
      <c r="AJ132" s="7" t="s">
        <v>1730</v>
      </c>
      <c r="AK132" s="7" t="s">
        <v>519</v>
      </c>
    </row>
    <row r="133" spans="1:37" x14ac:dyDescent="0.25">
      <c r="A133" s="13" t="str">
        <f ca="1"/>
        <v>0xD08E</v>
      </c>
      <c r="B133" s="14" t="str">
        <f ca="1"/>
        <v>NomalAF</v>
      </c>
      <c r="D133" s="8" t="str">
        <f ca="1"/>
        <v/>
      </c>
      <c r="E133" s="8" t="str">
        <f ca="1"/>
        <v/>
      </c>
      <c r="F133" s="8" t="str">
        <f ca="1"/>
        <v/>
      </c>
      <c r="G133" s="8" t="str">
        <f ca="1"/>
        <v/>
      </c>
      <c r="H133" s="7" t="str">
        <f ca="1"/>
        <v/>
      </c>
      <c r="I133" s="7" t="str">
        <f ca="1"/>
        <v/>
      </c>
      <c r="J133" s="7" t="str">
        <f ca="1"/>
        <v/>
      </c>
      <c r="K133" s="7" t="str">
        <f ca="1"/>
        <v/>
      </c>
      <c r="L133" s="7" t="str">
        <f ca="1"/>
        <v/>
      </c>
      <c r="M133" s="7" t="str">
        <f ca="1"/>
        <v/>
      </c>
      <c r="N133" s="7" t="str">
        <f ca="1"/>
        <v/>
      </c>
      <c r="O133" s="7" t="str">
        <f ca="1"/>
        <v/>
      </c>
      <c r="P133" s="7" t="str">
        <f ca="1"/>
        <v>NomalAF</v>
      </c>
      <c r="Q133" s="7" t="str">
        <f ca="1"/>
        <v>NomalAF</v>
      </c>
      <c r="T133" s="7" t="str">
        <f ca="1"/>
        <v>Z8</v>
      </c>
      <c r="U133" s="7" t="str">
        <f ca="1"/>
        <v>0xD0E5</v>
      </c>
      <c r="V133" s="7" t="str">
        <f ca="1"/>
        <v>LensApatureMin</v>
      </c>
      <c r="X133" s="8" t="s">
        <v>520</v>
      </c>
      <c r="Y133" s="8" t="s">
        <v>520</v>
      </c>
      <c r="Z133" s="8" t="s">
        <v>544</v>
      </c>
      <c r="AA133" s="8" t="s">
        <v>544</v>
      </c>
      <c r="AB133" s="7" t="s">
        <v>546</v>
      </c>
      <c r="AC133" s="7" t="s">
        <v>538</v>
      </c>
      <c r="AD133" s="7" t="s">
        <v>538</v>
      </c>
      <c r="AE133" s="7" t="s">
        <v>538</v>
      </c>
      <c r="AF133" s="7" t="s">
        <v>512</v>
      </c>
      <c r="AG133" s="7" t="s">
        <v>508</v>
      </c>
      <c r="AH133" s="7" t="s">
        <v>510</v>
      </c>
      <c r="AI133" s="7" t="s">
        <v>524</v>
      </c>
      <c r="AJ133" s="7" t="s">
        <v>514</v>
      </c>
      <c r="AK133" s="7" t="s">
        <v>520</v>
      </c>
    </row>
    <row r="134" spans="1:37" x14ac:dyDescent="0.25">
      <c r="A134" s="13" t="str">
        <f ca="1"/>
        <v>0xD08F</v>
      </c>
      <c r="B134" s="14" t="str">
        <f ca="1"/>
        <v>ImageSensorCleaning</v>
      </c>
      <c r="D134" s="8" t="str">
        <f ca="1"/>
        <v>ImageSensorCleaning</v>
      </c>
      <c r="E134" s="8" t="str">
        <f ca="1"/>
        <v>ImageSensorCleaning</v>
      </c>
      <c r="F134" s="8" t="str">
        <f ca="1"/>
        <v>ImageSensorCleaning</v>
      </c>
      <c r="G134" s="8" t="str">
        <f ca="1"/>
        <v>ImageSensorCleaning</v>
      </c>
      <c r="H134" s="7" t="str">
        <f ca="1"/>
        <v/>
      </c>
      <c r="I134" s="7" t="str">
        <f ca="1"/>
        <v>ImageSensorCleaning</v>
      </c>
      <c r="J134" s="7" t="str">
        <f ca="1"/>
        <v>ImageSensorCleaning</v>
      </c>
      <c r="K134" s="7" t="str">
        <f ca="1"/>
        <v>ImageSensorCleaning</v>
      </c>
      <c r="L134" s="7" t="str">
        <f ca="1"/>
        <v>ImageSensorCleaning</v>
      </c>
      <c r="M134" s="7" t="str">
        <f ca="1"/>
        <v>ImageSensorCleaning</v>
      </c>
      <c r="N134" s="7" t="str">
        <f ca="1"/>
        <v>ImageSensorCleaning</v>
      </c>
      <c r="O134" s="7" t="str">
        <f ca="1"/>
        <v>ImageSensorCleaning</v>
      </c>
      <c r="P134" s="7" t="str">
        <f ca="1"/>
        <v/>
      </c>
      <c r="Q134" s="7" t="str">
        <f ca="1"/>
        <v/>
      </c>
      <c r="T134" s="7" t="str">
        <f ca="1"/>
        <v>Z8</v>
      </c>
      <c r="U134" s="7" t="str">
        <f ca="1"/>
        <v>0xD0E6</v>
      </c>
      <c r="V134" s="7" t="str">
        <f ca="1"/>
        <v>LensApatureMax</v>
      </c>
      <c r="X134" s="8" t="s">
        <v>521</v>
      </c>
      <c r="Y134" s="8" t="s">
        <v>521</v>
      </c>
      <c r="Z134" s="8" t="s">
        <v>545</v>
      </c>
      <c r="AA134" s="8" t="s">
        <v>545</v>
      </c>
      <c r="AB134" s="7" t="s">
        <v>547</v>
      </c>
      <c r="AC134" s="7" t="s">
        <v>1197</v>
      </c>
      <c r="AD134" s="7" t="s">
        <v>1197</v>
      </c>
      <c r="AE134" s="7" t="s">
        <v>1197</v>
      </c>
      <c r="AF134" s="7" t="s">
        <v>513</v>
      </c>
      <c r="AG134" s="7" t="s">
        <v>509</v>
      </c>
      <c r="AH134" s="7" t="s">
        <v>511</v>
      </c>
      <c r="AI134" s="7" t="s">
        <v>525</v>
      </c>
      <c r="AJ134" s="7" t="s">
        <v>515</v>
      </c>
      <c r="AK134" s="7" t="s">
        <v>521</v>
      </c>
    </row>
    <row r="135" spans="1:37" x14ac:dyDescent="0.25">
      <c r="A135" s="13" t="str">
        <f ca="1"/>
        <v>0xD090</v>
      </c>
      <c r="B135" s="14" t="str">
        <f ca="1"/>
        <v>CommentString</v>
      </c>
      <c r="D135" s="8" t="str">
        <f ca="1"/>
        <v>CommentString</v>
      </c>
      <c r="E135" s="8" t="str">
        <f ca="1"/>
        <v>CommentString</v>
      </c>
      <c r="F135" s="8" t="str">
        <f ca="1"/>
        <v>CommentString</v>
      </c>
      <c r="G135" s="8" t="str">
        <f ca="1"/>
        <v>CommentString</v>
      </c>
      <c r="H135" s="7" t="str">
        <f ca="1"/>
        <v>CommentString</v>
      </c>
      <c r="I135" s="7" t="str">
        <f ca="1"/>
        <v>CommentString</v>
      </c>
      <c r="J135" s="7" t="str">
        <f ca="1"/>
        <v>CommentString</v>
      </c>
      <c r="K135" s="7" t="str">
        <f ca="1"/>
        <v>CommentString</v>
      </c>
      <c r="L135" s="7" t="str">
        <f ca="1"/>
        <v>CommentString</v>
      </c>
      <c r="M135" s="7" t="str">
        <f ca="1"/>
        <v>CommentString</v>
      </c>
      <c r="N135" s="7" t="str">
        <f ca="1"/>
        <v>CommentString</v>
      </c>
      <c r="O135" s="7" t="str">
        <f ca="1"/>
        <v>CommentString</v>
      </c>
      <c r="P135" s="7" t="str">
        <f ca="1"/>
        <v>CommentString</v>
      </c>
      <c r="Q135" s="7" t="str">
        <f ca="1"/>
        <v>CommentString</v>
      </c>
      <c r="T135" s="7" t="str">
        <f ca="1"/>
        <v>Z8</v>
      </c>
      <c r="U135" s="7" t="str">
        <f ca="1"/>
        <v>0xD0E7</v>
      </c>
      <c r="V135" s="7" t="str">
        <f ca="1"/>
        <v>LensTypeML</v>
      </c>
      <c r="X135" s="8" t="s">
        <v>522</v>
      </c>
      <c r="Y135" s="8" t="s">
        <v>522</v>
      </c>
      <c r="Z135" s="8" t="s">
        <v>546</v>
      </c>
      <c r="AA135" s="8" t="s">
        <v>546</v>
      </c>
      <c r="AB135" s="7" t="s">
        <v>548</v>
      </c>
      <c r="AC135" s="7" t="s">
        <v>540</v>
      </c>
      <c r="AD135" s="7" t="s">
        <v>540</v>
      </c>
      <c r="AE135" s="7" t="s">
        <v>540</v>
      </c>
      <c r="AF135" s="7" t="s">
        <v>514</v>
      </c>
      <c r="AG135" s="7" t="s">
        <v>510</v>
      </c>
      <c r="AH135" s="7" t="s">
        <v>512</v>
      </c>
      <c r="AI135" s="7" t="s">
        <v>526</v>
      </c>
      <c r="AJ135" s="7" t="s">
        <v>516</v>
      </c>
      <c r="AK135" s="7" t="s">
        <v>1661</v>
      </c>
    </row>
    <row r="136" spans="1:37" x14ac:dyDescent="0.25">
      <c r="A136" s="13" t="str">
        <f ca="1"/>
        <v>0xD091</v>
      </c>
      <c r="B136" s="14" t="str">
        <f ca="1"/>
        <v>EnableComment</v>
      </c>
      <c r="D136" s="8" t="str">
        <f ca="1"/>
        <v>EnableComment</v>
      </c>
      <c r="E136" s="8" t="str">
        <f ca="1"/>
        <v>EnableComment</v>
      </c>
      <c r="F136" s="8" t="str">
        <f ca="1"/>
        <v>EnableComment</v>
      </c>
      <c r="G136" s="8" t="str">
        <f ca="1"/>
        <v>EnableComment</v>
      </c>
      <c r="H136" s="7" t="str">
        <f ca="1"/>
        <v>EnableComment</v>
      </c>
      <c r="I136" s="7" t="str">
        <f ca="1"/>
        <v>EnableComment</v>
      </c>
      <c r="J136" s="7" t="str">
        <f ca="1"/>
        <v>EnableComment</v>
      </c>
      <c r="K136" s="7" t="str">
        <f ca="1"/>
        <v>EnableComment</v>
      </c>
      <c r="L136" s="7" t="str">
        <f ca="1"/>
        <v>EnableComment</v>
      </c>
      <c r="M136" s="7" t="str">
        <f ca="1"/>
        <v>EnableComment</v>
      </c>
      <c r="N136" s="7" t="str">
        <f ca="1"/>
        <v>EnableComment</v>
      </c>
      <c r="O136" s="7" t="str">
        <f ca="1"/>
        <v>EnableComment</v>
      </c>
      <c r="P136" s="7" t="str">
        <f ca="1"/>
        <v>EnableComment</v>
      </c>
      <c r="Q136" s="7" t="str">
        <f ca="1"/>
        <v>EnableComment</v>
      </c>
      <c r="T136" s="7" t="str">
        <f ca="1"/>
        <v>Z8</v>
      </c>
      <c r="U136" s="7" t="str">
        <f ca="1"/>
        <v>0xD0F7</v>
      </c>
      <c r="V136" s="7" t="str">
        <f ca="1"/>
        <v>VignetteControl</v>
      </c>
      <c r="X136" s="8" t="s">
        <v>523</v>
      </c>
      <c r="Y136" s="8" t="s">
        <v>523</v>
      </c>
      <c r="Z136" s="8" t="s">
        <v>547</v>
      </c>
      <c r="AA136" s="8" t="s">
        <v>547</v>
      </c>
      <c r="AB136" s="7" t="s">
        <v>549</v>
      </c>
      <c r="AC136" s="7" t="s">
        <v>541</v>
      </c>
      <c r="AD136" s="7" t="s">
        <v>541</v>
      </c>
      <c r="AE136" s="7" t="s">
        <v>541</v>
      </c>
      <c r="AF136" s="7" t="s">
        <v>515</v>
      </c>
      <c r="AG136" s="7" t="s">
        <v>511</v>
      </c>
      <c r="AH136" s="7" t="s">
        <v>513</v>
      </c>
      <c r="AI136" s="7" t="s">
        <v>527</v>
      </c>
      <c r="AJ136" s="7" t="s">
        <v>517</v>
      </c>
      <c r="AK136" s="7" t="s">
        <v>1662</v>
      </c>
    </row>
    <row r="137" spans="1:37" x14ac:dyDescent="0.25">
      <c r="A137" s="13" t="str">
        <f ca="1"/>
        <v>0xD092</v>
      </c>
      <c r="B137" s="14" t="str">
        <f ca="1"/>
        <v>OrientationSensorMode</v>
      </c>
      <c r="D137" s="8" t="str">
        <f ca="1"/>
        <v>OrientationSensorMode</v>
      </c>
      <c r="E137" s="8" t="str">
        <f ca="1"/>
        <v>OrientationSensorMode</v>
      </c>
      <c r="F137" s="8" t="str">
        <f ca="1"/>
        <v/>
      </c>
      <c r="G137" s="8" t="str">
        <f ca="1"/>
        <v/>
      </c>
      <c r="H137" s="7" t="str">
        <f ca="1"/>
        <v/>
      </c>
      <c r="I137" s="7" t="str">
        <f ca="1"/>
        <v/>
      </c>
      <c r="J137" s="7" t="str">
        <f ca="1"/>
        <v/>
      </c>
      <c r="K137" s="7" t="str">
        <f ca="1"/>
        <v/>
      </c>
      <c r="L137" s="7" t="str">
        <f ca="1"/>
        <v/>
      </c>
      <c r="M137" s="7" t="str">
        <f ca="1"/>
        <v>OrientationSensorMode</v>
      </c>
      <c r="N137" s="7" t="str">
        <f ca="1"/>
        <v>OrientationSensorMode</v>
      </c>
      <c r="O137" s="7" t="str">
        <f ca="1"/>
        <v>OrientationSensorMode</v>
      </c>
      <c r="P137" s="7" t="str">
        <f ca="1"/>
        <v>OrientationSensorMode</v>
      </c>
      <c r="Q137" s="7" t="str">
        <f ca="1"/>
        <v>OrientationSensorMode</v>
      </c>
      <c r="T137" s="7" t="str">
        <f ca="1"/>
        <v>Z8</v>
      </c>
      <c r="U137" s="7" t="str">
        <f ca="1"/>
        <v>0xD0F8</v>
      </c>
      <c r="V137" s="7" t="str">
        <f ca="1"/>
        <v>AutoDistortion</v>
      </c>
      <c r="X137" s="8" t="s">
        <v>524</v>
      </c>
      <c r="Y137" s="8" t="s">
        <v>524</v>
      </c>
      <c r="Z137" s="8" t="s">
        <v>548</v>
      </c>
      <c r="AA137" s="8" t="s">
        <v>548</v>
      </c>
      <c r="AB137" s="7" t="s">
        <v>550</v>
      </c>
      <c r="AC137" s="7" t="s">
        <v>542</v>
      </c>
      <c r="AD137" s="7" t="s">
        <v>542</v>
      </c>
      <c r="AE137" s="7" t="s">
        <v>542</v>
      </c>
      <c r="AF137" s="7" t="s">
        <v>516</v>
      </c>
      <c r="AG137" s="7" t="s">
        <v>512</v>
      </c>
      <c r="AH137" s="7" t="s">
        <v>1729</v>
      </c>
      <c r="AI137" s="7" t="s">
        <v>528</v>
      </c>
      <c r="AJ137" s="7" t="s">
        <v>518</v>
      </c>
      <c r="AK137" s="7" t="s">
        <v>1760</v>
      </c>
    </row>
    <row r="138" spans="1:37" x14ac:dyDescent="0.25">
      <c r="A138" s="13" t="str">
        <f ca="1"/>
        <v>0xD093</v>
      </c>
      <c r="B138" s="14" t="str">
        <f ca="1"/>
        <v>ManualSettingLensNo</v>
      </c>
      <c r="D138" s="8" t="str">
        <f ca="1"/>
        <v>ManualSettingLensNo</v>
      </c>
      <c r="E138" s="8" t="str">
        <f ca="1"/>
        <v>ManualSettingLensNo</v>
      </c>
      <c r="F138" s="8" t="str">
        <f ca="1"/>
        <v>ManualSettingLensNo</v>
      </c>
      <c r="G138" s="8" t="str">
        <f ca="1"/>
        <v>ManualSettingLensNo</v>
      </c>
      <c r="H138" s="7" t="str">
        <f ca="1"/>
        <v/>
      </c>
      <c r="I138" s="7" t="str">
        <f ca="1"/>
        <v>ManualSettingLensNo</v>
      </c>
      <c r="J138" s="7" t="str">
        <f ca="1"/>
        <v>ManualSettingLensNo</v>
      </c>
      <c r="K138" s="7" t="str">
        <f ca="1"/>
        <v>ManualSettingLensNo</v>
      </c>
      <c r="L138" s="7" t="str">
        <f ca="1"/>
        <v>ManualSettingLensNo</v>
      </c>
      <c r="M138" s="7" t="str">
        <f ca="1"/>
        <v>ManualSettingLensNo</v>
      </c>
      <c r="N138" s="7" t="str">
        <f ca="1"/>
        <v>ManualSettingLensNo</v>
      </c>
      <c r="O138" s="7" t="str">
        <f ca="1"/>
        <v>ManualSettingLensNo</v>
      </c>
      <c r="P138" s="7" t="str">
        <f ca="1"/>
        <v>ManualSettingLensNo</v>
      </c>
      <c r="Q138" s="7" t="str">
        <f ca="1"/>
        <v>ManualSettingLensNo</v>
      </c>
      <c r="T138" s="7" t="str">
        <f ca="1"/>
        <v>Z8</v>
      </c>
      <c r="U138" s="7" t="str">
        <f ca="1"/>
        <v>0xD100</v>
      </c>
      <c r="V138" s="7" t="str">
        <f ca="1"/>
        <v>ShutterSpeed</v>
      </c>
      <c r="X138" s="8" t="s">
        <v>525</v>
      </c>
      <c r="Y138" s="8" t="s">
        <v>525</v>
      </c>
      <c r="Z138" s="8" t="s">
        <v>549</v>
      </c>
      <c r="AA138" s="8" t="s">
        <v>549</v>
      </c>
      <c r="AB138" s="7" t="s">
        <v>551</v>
      </c>
      <c r="AC138" s="7" t="s">
        <v>543</v>
      </c>
      <c r="AD138" s="7" t="s">
        <v>543</v>
      </c>
      <c r="AE138" s="7" t="s">
        <v>543</v>
      </c>
      <c r="AF138" s="7" t="s">
        <v>517</v>
      </c>
      <c r="AG138" s="7" t="s">
        <v>513</v>
      </c>
      <c r="AH138" s="7" t="s">
        <v>1730</v>
      </c>
      <c r="AI138" s="7" t="s">
        <v>529</v>
      </c>
      <c r="AJ138" s="7" t="s">
        <v>519</v>
      </c>
      <c r="AK138" s="7" t="s">
        <v>1761</v>
      </c>
    </row>
    <row r="139" spans="1:37" x14ac:dyDescent="0.25">
      <c r="A139" s="13" t="str">
        <f ca="1"/>
        <v>0xD094</v>
      </c>
      <c r="B139" s="14" t="str">
        <f ca="1"/>
        <v>AfTuneEnable</v>
      </c>
      <c r="D139" s="8" t="str">
        <f ca="1"/>
        <v/>
      </c>
      <c r="E139" s="8" t="str">
        <f ca="1"/>
        <v/>
      </c>
      <c r="F139" s="8" t="str">
        <f ca="1"/>
        <v/>
      </c>
      <c r="G139" s="8" t="str">
        <f ca="1"/>
        <v/>
      </c>
      <c r="H139" s="7" t="str">
        <f ca="1"/>
        <v/>
      </c>
      <c r="I139" s="7" t="str">
        <f ca="1"/>
        <v/>
      </c>
      <c r="J139" s="7" t="str">
        <f ca="1"/>
        <v/>
      </c>
      <c r="K139" s="7" t="str">
        <f ca="1"/>
        <v/>
      </c>
      <c r="L139" s="7" t="str">
        <f ca="1"/>
        <v/>
      </c>
      <c r="M139" s="7" t="str">
        <f ca="1"/>
        <v/>
      </c>
      <c r="N139" s="7" t="str">
        <f ca="1"/>
        <v/>
      </c>
      <c r="O139" s="7" t="str">
        <f ca="1"/>
        <v/>
      </c>
      <c r="P139" s="7" t="str">
        <f ca="1"/>
        <v>AfTuneEnable</v>
      </c>
      <c r="Q139" s="7" t="str">
        <f ca="1"/>
        <v>AfTuneEnable</v>
      </c>
      <c r="T139" s="7" t="str">
        <f ca="1"/>
        <v>Z8</v>
      </c>
      <c r="U139" s="7" t="str">
        <f ca="1"/>
        <v>0xD101</v>
      </c>
      <c r="V139" s="7" t="str">
        <f ca="1"/>
        <v>ExternalDC</v>
      </c>
      <c r="X139" s="8" t="s">
        <v>526</v>
      </c>
      <c r="Y139" s="8" t="s">
        <v>526</v>
      </c>
      <c r="Z139" s="8" t="s">
        <v>550</v>
      </c>
      <c r="AA139" s="8" t="s">
        <v>550</v>
      </c>
      <c r="AB139" s="7" t="s">
        <v>552</v>
      </c>
      <c r="AC139" s="7" t="s">
        <v>544</v>
      </c>
      <c r="AD139" s="7" t="s">
        <v>544</v>
      </c>
      <c r="AE139" s="7" t="s">
        <v>544</v>
      </c>
      <c r="AF139" s="7" t="s">
        <v>518</v>
      </c>
      <c r="AG139" s="7" t="s">
        <v>514</v>
      </c>
      <c r="AH139" s="7" t="s">
        <v>514</v>
      </c>
      <c r="AI139" s="7" t="s">
        <v>530</v>
      </c>
      <c r="AJ139" s="7" t="s">
        <v>520</v>
      </c>
      <c r="AK139" s="7" t="s">
        <v>522</v>
      </c>
    </row>
    <row r="140" spans="1:37" x14ac:dyDescent="0.25">
      <c r="A140" s="13" t="str">
        <f ca="1"/>
        <v>0xD095</v>
      </c>
      <c r="B140" s="14" t="str">
        <f ca="1"/>
        <v>AfTuneUnregistryLens</v>
      </c>
      <c r="D140" s="8" t="str">
        <f ca="1"/>
        <v/>
      </c>
      <c r="E140" s="8" t="str">
        <f ca="1"/>
        <v/>
      </c>
      <c r="F140" s="8" t="str">
        <f ca="1"/>
        <v/>
      </c>
      <c r="G140" s="8" t="str">
        <f ca="1"/>
        <v/>
      </c>
      <c r="H140" s="7" t="str">
        <f ca="1"/>
        <v/>
      </c>
      <c r="I140" s="7" t="str">
        <f ca="1"/>
        <v/>
      </c>
      <c r="J140" s="7" t="str">
        <f ca="1"/>
        <v/>
      </c>
      <c r="K140" s="7" t="str">
        <f ca="1"/>
        <v/>
      </c>
      <c r="L140" s="7" t="str">
        <f ca="1"/>
        <v/>
      </c>
      <c r="M140" s="7" t="str">
        <f ca="1"/>
        <v/>
      </c>
      <c r="N140" s="7" t="str">
        <f ca="1"/>
        <v/>
      </c>
      <c r="O140" s="7" t="str">
        <f ca="1"/>
        <v/>
      </c>
      <c r="P140" s="7" t="str">
        <f ca="1"/>
        <v>AfTuneUnregistryLens</v>
      </c>
      <c r="Q140" s="7" t="str">
        <f ca="1"/>
        <v>AfTuneUnregistryLens</v>
      </c>
      <c r="T140" s="7" t="str">
        <f ca="1"/>
        <v>Z8</v>
      </c>
      <c r="U140" s="7" t="str">
        <f ca="1"/>
        <v>0xD102</v>
      </c>
      <c r="V140" s="7" t="str">
        <f ca="1"/>
        <v>WarningStatus</v>
      </c>
      <c r="X140" s="8" t="s">
        <v>527</v>
      </c>
      <c r="Y140" s="8" t="s">
        <v>527</v>
      </c>
      <c r="Z140" s="8" t="s">
        <v>551</v>
      </c>
      <c r="AA140" s="8" t="s">
        <v>551</v>
      </c>
      <c r="AB140" s="7" t="s">
        <v>553</v>
      </c>
      <c r="AC140" s="7" t="s">
        <v>545</v>
      </c>
      <c r="AD140" s="7" t="s">
        <v>545</v>
      </c>
      <c r="AE140" s="7" t="s">
        <v>545</v>
      </c>
      <c r="AF140" s="7" t="s">
        <v>519</v>
      </c>
      <c r="AG140" s="7" t="s">
        <v>515</v>
      </c>
      <c r="AH140" s="7" t="s">
        <v>515</v>
      </c>
      <c r="AI140" s="7" t="s">
        <v>1707</v>
      </c>
      <c r="AJ140" s="7" t="s">
        <v>521</v>
      </c>
      <c r="AK140" s="7" t="s">
        <v>523</v>
      </c>
    </row>
    <row r="141" spans="1:37" x14ac:dyDescent="0.25">
      <c r="A141" s="13" t="str">
        <f ca="1"/>
        <v>0xD096</v>
      </c>
      <c r="B141" s="14" t="str">
        <f ca="1"/>
        <v>AfTuneRegistryLens</v>
      </c>
      <c r="D141" s="8" t="str">
        <f ca="1"/>
        <v/>
      </c>
      <c r="E141" s="8" t="str">
        <f ca="1"/>
        <v/>
      </c>
      <c r="F141" s="8" t="str">
        <f ca="1"/>
        <v/>
      </c>
      <c r="G141" s="8" t="str">
        <f ca="1"/>
        <v/>
      </c>
      <c r="H141" s="7" t="str">
        <f ca="1"/>
        <v/>
      </c>
      <c r="I141" s="7" t="str">
        <f ca="1"/>
        <v/>
      </c>
      <c r="J141" s="7" t="str">
        <f ca="1"/>
        <v/>
      </c>
      <c r="K141" s="7" t="str">
        <f ca="1"/>
        <v/>
      </c>
      <c r="L141" s="7" t="str">
        <f ca="1"/>
        <v/>
      </c>
      <c r="M141" s="7" t="str">
        <f ca="1"/>
        <v/>
      </c>
      <c r="N141" s="7" t="str">
        <f ca="1"/>
        <v/>
      </c>
      <c r="O141" s="7" t="str">
        <f ca="1"/>
        <v/>
      </c>
      <c r="P141" s="7" t="str">
        <f ca="1"/>
        <v>AfTuneRegistryLens</v>
      </c>
      <c r="Q141" s="7" t="str">
        <f ca="1"/>
        <v>AfTuneRegistryLens</v>
      </c>
      <c r="T141" s="7" t="str">
        <f ca="1"/>
        <v>Z8</v>
      </c>
      <c r="U141" s="7" t="str">
        <f ca="1"/>
        <v>0xD104</v>
      </c>
      <c r="V141" s="7" t="str">
        <f ca="1"/>
        <v>AFLockStatus</v>
      </c>
      <c r="X141" s="8" t="s">
        <v>528</v>
      </c>
      <c r="Y141" s="8" t="s">
        <v>528</v>
      </c>
      <c r="Z141" s="8" t="s">
        <v>552</v>
      </c>
      <c r="AA141" s="8" t="s">
        <v>552</v>
      </c>
      <c r="AB141" s="7" t="s">
        <v>554</v>
      </c>
      <c r="AC141" s="7" t="s">
        <v>546</v>
      </c>
      <c r="AD141" s="7" t="s">
        <v>546</v>
      </c>
      <c r="AE141" s="7" t="s">
        <v>546</v>
      </c>
      <c r="AF141" s="7" t="s">
        <v>520</v>
      </c>
      <c r="AG141" s="7" t="s">
        <v>516</v>
      </c>
      <c r="AH141" s="7" t="s">
        <v>516</v>
      </c>
      <c r="AI141" s="7" t="s">
        <v>534</v>
      </c>
      <c r="AJ141" s="7" t="s">
        <v>1661</v>
      </c>
      <c r="AK141" s="7" t="s">
        <v>524</v>
      </c>
    </row>
    <row r="142" spans="1:37" x14ac:dyDescent="0.25">
      <c r="A142" s="13" t="str">
        <f ca="1"/>
        <v>0xD097</v>
      </c>
      <c r="B142" s="14" t="str">
        <f ca="1"/>
        <v>AfTuneLensNoIndex</v>
      </c>
      <c r="D142" s="8" t="str">
        <f ca="1"/>
        <v/>
      </c>
      <c r="E142" s="8" t="str">
        <f ca="1"/>
        <v/>
      </c>
      <c r="F142" s="8" t="str">
        <f ca="1"/>
        <v/>
      </c>
      <c r="G142" s="8" t="str">
        <f ca="1"/>
        <v/>
      </c>
      <c r="H142" s="7" t="str">
        <f ca="1"/>
        <v/>
      </c>
      <c r="I142" s="7" t="str">
        <f ca="1"/>
        <v/>
      </c>
      <c r="J142" s="7" t="str">
        <f ca="1"/>
        <v/>
      </c>
      <c r="K142" s="7" t="str">
        <f ca="1"/>
        <v/>
      </c>
      <c r="L142" s="7" t="str">
        <f ca="1"/>
        <v/>
      </c>
      <c r="M142" s="7" t="str">
        <f ca="1"/>
        <v/>
      </c>
      <c r="N142" s="7" t="str">
        <f ca="1"/>
        <v/>
      </c>
      <c r="O142" s="7" t="str">
        <f ca="1"/>
        <v/>
      </c>
      <c r="P142" s="7" t="str">
        <f ca="1"/>
        <v>AfTuneLensNoIndex</v>
      </c>
      <c r="Q142" s="7" t="str">
        <f ca="1"/>
        <v>AfTuneLensNoIndex</v>
      </c>
      <c r="T142" s="7" t="str">
        <f ca="1"/>
        <v>Z8</v>
      </c>
      <c r="U142" s="7" t="str">
        <f ca="1"/>
        <v>0xD105</v>
      </c>
      <c r="V142" s="7" t="str">
        <f ca="1"/>
        <v>AELockStatus</v>
      </c>
      <c r="X142" s="8" t="s">
        <v>529</v>
      </c>
      <c r="Y142" s="8" t="s">
        <v>529</v>
      </c>
      <c r="Z142" s="8" t="s">
        <v>553</v>
      </c>
      <c r="AA142" s="8" t="s">
        <v>553</v>
      </c>
      <c r="AB142" s="7" t="s">
        <v>555</v>
      </c>
      <c r="AC142" s="7" t="s">
        <v>547</v>
      </c>
      <c r="AD142" s="7" t="s">
        <v>547</v>
      </c>
      <c r="AE142" s="7" t="s">
        <v>547</v>
      </c>
      <c r="AF142" s="7" t="s">
        <v>521</v>
      </c>
      <c r="AG142" s="7" t="s">
        <v>517</v>
      </c>
      <c r="AH142" s="7" t="s">
        <v>517</v>
      </c>
      <c r="AI142" s="7" t="s">
        <v>1520</v>
      </c>
      <c r="AJ142" s="7" t="s">
        <v>1662</v>
      </c>
      <c r="AK142" s="7" t="s">
        <v>525</v>
      </c>
    </row>
    <row r="143" spans="1:37" x14ac:dyDescent="0.25">
      <c r="A143" s="13" t="str">
        <f ca="1"/>
        <v>0xD098</v>
      </c>
      <c r="B143" s="14" t="str">
        <f ca="1"/>
        <v>AfTuneLensNo</v>
      </c>
      <c r="D143" s="8" t="str">
        <f ca="1"/>
        <v/>
      </c>
      <c r="E143" s="8" t="str">
        <f ca="1"/>
        <v/>
      </c>
      <c r="F143" s="8" t="str">
        <f ca="1"/>
        <v/>
      </c>
      <c r="G143" s="8" t="str">
        <f ca="1"/>
        <v/>
      </c>
      <c r="H143" s="7" t="str">
        <f ca="1"/>
        <v/>
      </c>
      <c r="I143" s="7" t="str">
        <f ca="1"/>
        <v/>
      </c>
      <c r="J143" s="7" t="str">
        <f ca="1"/>
        <v/>
      </c>
      <c r="K143" s="7" t="str">
        <f ca="1"/>
        <v/>
      </c>
      <c r="L143" s="7" t="str">
        <f ca="1"/>
        <v/>
      </c>
      <c r="M143" s="7" t="str">
        <f ca="1"/>
        <v/>
      </c>
      <c r="N143" s="7" t="str">
        <f ca="1"/>
        <v/>
      </c>
      <c r="O143" s="7" t="str">
        <f ca="1"/>
        <v/>
      </c>
      <c r="P143" s="7" t="str">
        <f ca="1"/>
        <v>AfTuneLensNo</v>
      </c>
      <c r="Q143" s="7" t="str">
        <f ca="1"/>
        <v>AfTuneLensNo</v>
      </c>
      <c r="T143" s="7" t="str">
        <f ca="1"/>
        <v>Z8</v>
      </c>
      <c r="U143" s="7" t="str">
        <f ca="1"/>
        <v>0xD106</v>
      </c>
      <c r="V143" s="7" t="str">
        <f ca="1"/>
        <v>FVLockStatus</v>
      </c>
      <c r="X143" s="8" t="s">
        <v>530</v>
      </c>
      <c r="Y143" s="8" t="s">
        <v>530</v>
      </c>
      <c r="Z143" s="8" t="s">
        <v>554</v>
      </c>
      <c r="AA143" s="8" t="s">
        <v>554</v>
      </c>
      <c r="AB143" s="7" t="s">
        <v>556</v>
      </c>
      <c r="AC143" s="7" t="s">
        <v>548</v>
      </c>
      <c r="AD143" s="7" t="s">
        <v>548</v>
      </c>
      <c r="AE143" s="7" t="s">
        <v>548</v>
      </c>
      <c r="AF143" s="7" t="s">
        <v>1661</v>
      </c>
      <c r="AG143" s="7" t="s">
        <v>518</v>
      </c>
      <c r="AH143" s="7" t="s">
        <v>518</v>
      </c>
      <c r="AI143" s="7" t="s">
        <v>536</v>
      </c>
      <c r="AJ143" s="7" t="s">
        <v>1760</v>
      </c>
      <c r="AK143" s="7" t="s">
        <v>526</v>
      </c>
    </row>
    <row r="144" spans="1:37" x14ac:dyDescent="0.25">
      <c r="A144" s="13" t="str">
        <f ca="1"/>
        <v>0xD099</v>
      </c>
      <c r="B144" s="14" t="str">
        <f ca="1"/>
        <v>AfTuneLensNoIndexNum</v>
      </c>
      <c r="D144" s="8" t="str">
        <f ca="1"/>
        <v/>
      </c>
      <c r="E144" s="8" t="str">
        <f ca="1"/>
        <v/>
      </c>
      <c r="F144" s="8" t="str">
        <f ca="1"/>
        <v/>
      </c>
      <c r="G144" s="8" t="str">
        <f ca="1"/>
        <v/>
      </c>
      <c r="H144" s="7" t="str">
        <f ca="1"/>
        <v/>
      </c>
      <c r="I144" s="7" t="str">
        <f ca="1"/>
        <v/>
      </c>
      <c r="J144" s="7" t="str">
        <f ca="1"/>
        <v/>
      </c>
      <c r="K144" s="7" t="str">
        <f ca="1"/>
        <v/>
      </c>
      <c r="L144" s="7" t="str">
        <f ca="1"/>
        <v/>
      </c>
      <c r="M144" s="7" t="str">
        <f ca="1"/>
        <v/>
      </c>
      <c r="N144" s="7" t="str">
        <f ca="1"/>
        <v/>
      </c>
      <c r="O144" s="7" t="str">
        <f ca="1"/>
        <v/>
      </c>
      <c r="P144" s="7" t="str">
        <f ca="1"/>
        <v>AfTuneLensNoIndexNum</v>
      </c>
      <c r="Q144" s="7" t="str">
        <f ca="1"/>
        <v>AfTuneLensNoIndexNum</v>
      </c>
      <c r="T144" s="7" t="str">
        <f ca="1"/>
        <v>Z8</v>
      </c>
      <c r="U144" s="7" t="str">
        <f ca="1"/>
        <v>0xD109</v>
      </c>
      <c r="V144" s="7" t="str">
        <f ca="1"/>
        <v>FlexibleProgram</v>
      </c>
      <c r="X144" s="8" t="s">
        <v>531</v>
      </c>
      <c r="Y144" s="8" t="s">
        <v>531</v>
      </c>
      <c r="Z144" s="8" t="s">
        <v>555</v>
      </c>
      <c r="AA144" s="8" t="s">
        <v>555</v>
      </c>
      <c r="AB144" s="7" t="s">
        <v>557</v>
      </c>
      <c r="AC144" s="7" t="s">
        <v>549</v>
      </c>
      <c r="AD144" s="7" t="s">
        <v>549</v>
      </c>
      <c r="AE144" s="7" t="s">
        <v>549</v>
      </c>
      <c r="AF144" s="7" t="s">
        <v>1662</v>
      </c>
      <c r="AG144" s="7" t="s">
        <v>519</v>
      </c>
      <c r="AH144" s="7" t="s">
        <v>519</v>
      </c>
      <c r="AI144" s="7" t="s">
        <v>537</v>
      </c>
      <c r="AJ144" s="7" t="s">
        <v>1761</v>
      </c>
      <c r="AK144" s="7" t="s">
        <v>527</v>
      </c>
    </row>
    <row r="145" spans="1:37" x14ac:dyDescent="0.25">
      <c r="A145" s="13" t="str">
        <f ca="1"/>
        <v>0xD09A</v>
      </c>
      <c r="B145" s="14" t="str">
        <f ca="1"/>
        <v>AfTuneLensNoIndexNow</v>
      </c>
      <c r="D145" s="8" t="str">
        <f ca="1"/>
        <v/>
      </c>
      <c r="E145" s="8" t="str">
        <f ca="1"/>
        <v/>
      </c>
      <c r="F145" s="8" t="str">
        <f ca="1"/>
        <v/>
      </c>
      <c r="G145" s="8" t="str">
        <f ca="1"/>
        <v/>
      </c>
      <c r="H145" s="7" t="str">
        <f ca="1"/>
        <v/>
      </c>
      <c r="I145" s="7" t="str">
        <f ca="1"/>
        <v/>
      </c>
      <c r="J145" s="7" t="str">
        <f ca="1"/>
        <v/>
      </c>
      <c r="K145" s="7" t="str">
        <f ca="1"/>
        <v/>
      </c>
      <c r="L145" s="7" t="str">
        <f ca="1"/>
        <v/>
      </c>
      <c r="M145" s="7" t="str">
        <f ca="1"/>
        <v/>
      </c>
      <c r="N145" s="7" t="str">
        <f ca="1"/>
        <v/>
      </c>
      <c r="O145" s="7" t="str">
        <f ca="1"/>
        <v/>
      </c>
      <c r="P145" s="7" t="str">
        <f ca="1"/>
        <v>AfTuneLensNoIndexNow</v>
      </c>
      <c r="Q145" s="7" t="str">
        <f ca="1"/>
        <v>AfTuneLensNoIndexNow</v>
      </c>
      <c r="T145" s="7" t="str">
        <f ca="1"/>
        <v>Z8</v>
      </c>
      <c r="U145" s="7" t="str">
        <f ca="1"/>
        <v>0xD10B</v>
      </c>
      <c r="V145" s="7" t="str">
        <f ca="1"/>
        <v>RecordingMedia</v>
      </c>
      <c r="X145" s="8" t="s">
        <v>532</v>
      </c>
      <c r="Y145" s="8" t="s">
        <v>532</v>
      </c>
      <c r="Z145" s="8" t="s">
        <v>556</v>
      </c>
      <c r="AA145" s="8" t="s">
        <v>556</v>
      </c>
      <c r="AB145" s="7" t="s">
        <v>558</v>
      </c>
      <c r="AC145" s="7" t="s">
        <v>550</v>
      </c>
      <c r="AD145" s="7" t="s">
        <v>550</v>
      </c>
      <c r="AE145" s="7" t="s">
        <v>550</v>
      </c>
      <c r="AF145" s="7" t="s">
        <v>522</v>
      </c>
      <c r="AG145" s="7" t="s">
        <v>520</v>
      </c>
      <c r="AH145" s="7" t="s">
        <v>520</v>
      </c>
      <c r="AI145" s="7" t="s">
        <v>538</v>
      </c>
      <c r="AJ145" s="7" t="s">
        <v>522</v>
      </c>
      <c r="AK145" s="7" t="s">
        <v>528</v>
      </c>
    </row>
    <row r="146" spans="1:37" x14ac:dyDescent="0.25">
      <c r="A146" s="13" t="str">
        <f ca="1"/>
        <v>0xD09B</v>
      </c>
      <c r="B146" s="14" t="str">
        <f ca="1"/>
        <v>AfTuneLensNoDelete</v>
      </c>
      <c r="D146" s="8" t="str">
        <f ca="1"/>
        <v/>
      </c>
      <c r="E146" s="8" t="str">
        <f ca="1"/>
        <v/>
      </c>
      <c r="F146" s="8" t="str">
        <f ca="1"/>
        <v/>
      </c>
      <c r="G146" s="8" t="str">
        <f ca="1"/>
        <v/>
      </c>
      <c r="H146" s="7" t="str">
        <f ca="1"/>
        <v/>
      </c>
      <c r="I146" s="7" t="str">
        <f ca="1"/>
        <v/>
      </c>
      <c r="J146" s="7" t="str">
        <f ca="1"/>
        <v/>
      </c>
      <c r="K146" s="7" t="str">
        <f ca="1"/>
        <v/>
      </c>
      <c r="L146" s="7" t="str">
        <f ca="1"/>
        <v/>
      </c>
      <c r="M146" s="7" t="str">
        <f ca="1"/>
        <v/>
      </c>
      <c r="N146" s="7" t="str">
        <f ca="1"/>
        <v/>
      </c>
      <c r="O146" s="7" t="str">
        <f ca="1"/>
        <v/>
      </c>
      <c r="P146" s="7" t="str">
        <f ca="1"/>
        <v>AfTuneLensNoDelete</v>
      </c>
      <c r="Q146" s="7" t="str">
        <f ca="1"/>
        <v>AfTuneLensNoDelete</v>
      </c>
      <c r="T146" s="7" t="str">
        <f ca="1"/>
        <v>Z8</v>
      </c>
      <c r="U146" s="7" t="str">
        <f ca="1"/>
        <v>0xD10C</v>
      </c>
      <c r="V146" s="7" t="str">
        <f ca="1"/>
        <v>USBSpeed</v>
      </c>
      <c r="X146" s="8" t="s">
        <v>533</v>
      </c>
      <c r="Y146" s="8" t="s">
        <v>533</v>
      </c>
      <c r="Z146" s="8" t="s">
        <v>557</v>
      </c>
      <c r="AA146" s="8" t="s">
        <v>557</v>
      </c>
      <c r="AB146" s="7" t="s">
        <v>559</v>
      </c>
      <c r="AC146" s="7" t="s">
        <v>551</v>
      </c>
      <c r="AD146" s="7" t="s">
        <v>551</v>
      </c>
      <c r="AE146" s="7" t="s">
        <v>551</v>
      </c>
      <c r="AF146" s="7" t="s">
        <v>523</v>
      </c>
      <c r="AG146" s="7" t="s">
        <v>521</v>
      </c>
      <c r="AH146" s="7" t="s">
        <v>521</v>
      </c>
      <c r="AI146" s="7" t="s">
        <v>1197</v>
      </c>
      <c r="AJ146" s="7" t="s">
        <v>523</v>
      </c>
      <c r="AK146" s="7" t="s">
        <v>529</v>
      </c>
    </row>
    <row r="147" spans="1:37" x14ac:dyDescent="0.25">
      <c r="A147" s="13" t="str">
        <f ca="1"/>
        <v>0xD09C</v>
      </c>
      <c r="B147" s="14" t="str">
        <f ca="1"/>
        <v>RetractableLensWarning</v>
      </c>
      <c r="D147" s="8" t="str">
        <f ca="1"/>
        <v>RetractableLensWarning</v>
      </c>
      <c r="E147" s="8" t="str">
        <f ca="1"/>
        <v>RetractableLensWarning</v>
      </c>
      <c r="F147" s="8" t="str">
        <f ca="1"/>
        <v>RetractableLensWarning</v>
      </c>
      <c r="G147" s="8" t="str">
        <f ca="1"/>
        <v>RetractableLensWarning</v>
      </c>
      <c r="H147" s="7" t="str">
        <f ca="1"/>
        <v>RetractableLensWarning</v>
      </c>
      <c r="I147" s="7" t="str">
        <f ca="1"/>
        <v>RetractableLensWarning</v>
      </c>
      <c r="J147" s="7" t="str">
        <f ca="1"/>
        <v>RetractableLensWarning</v>
      </c>
      <c r="K147" s="7" t="str">
        <f ca="1"/>
        <v>RetractableLensWarning</v>
      </c>
      <c r="L147" s="7" t="str">
        <f ca="1"/>
        <v>RetractableLensWarning</v>
      </c>
      <c r="M147" s="7" t="str">
        <f ca="1"/>
        <v>RetractableLensWarning</v>
      </c>
      <c r="N147" s="7" t="str">
        <f ca="1"/>
        <v>RetractableLensWarning</v>
      </c>
      <c r="O147" s="7" t="str">
        <f ca="1"/>
        <v/>
      </c>
      <c r="P147" s="7" t="str">
        <f ca="1"/>
        <v/>
      </c>
      <c r="Q147" s="7" t="str">
        <f ca="1"/>
        <v/>
      </c>
      <c r="T147" s="7" t="str">
        <f ca="1"/>
        <v>Z8</v>
      </c>
      <c r="U147" s="7" t="str">
        <f ca="1"/>
        <v>0xD10E</v>
      </c>
      <c r="V147" s="7" t="str">
        <f ca="1"/>
        <v>Orientation</v>
      </c>
      <c r="X147" s="8" t="s">
        <v>534</v>
      </c>
      <c r="Y147" s="8" t="s">
        <v>534</v>
      </c>
      <c r="Z147" s="8" t="s">
        <v>558</v>
      </c>
      <c r="AA147" s="8" t="s">
        <v>558</v>
      </c>
      <c r="AB147" s="7" t="s">
        <v>562</v>
      </c>
      <c r="AC147" s="7" t="s">
        <v>552</v>
      </c>
      <c r="AD147" s="7" t="s">
        <v>552</v>
      </c>
      <c r="AE147" s="7" t="s">
        <v>552</v>
      </c>
      <c r="AF147" s="7" t="s">
        <v>524</v>
      </c>
      <c r="AG147" s="7" t="s">
        <v>1661</v>
      </c>
      <c r="AH147" s="7" t="s">
        <v>1661</v>
      </c>
      <c r="AI147" s="7" t="s">
        <v>540</v>
      </c>
      <c r="AJ147" s="7" t="s">
        <v>524</v>
      </c>
      <c r="AK147" s="7" t="s">
        <v>1762</v>
      </c>
    </row>
    <row r="148" spans="1:37" x14ac:dyDescent="0.25">
      <c r="A148" s="13" t="str">
        <f ca="1"/>
        <v>0xD09D</v>
      </c>
      <c r="B148" s="14" t="str">
        <f ca="1"/>
        <v>FaceDetection</v>
      </c>
      <c r="D148" s="8" t="str">
        <f ca="1"/>
        <v/>
      </c>
      <c r="E148" s="8" t="str">
        <f ca="1"/>
        <v/>
      </c>
      <c r="F148" s="8" t="str">
        <f ca="1"/>
        <v/>
      </c>
      <c r="G148" s="8" t="str">
        <f ca="1"/>
        <v/>
      </c>
      <c r="H148" s="7" t="str">
        <f ca="1"/>
        <v>FaceDetection</v>
      </c>
      <c r="I148" s="7" t="str">
        <f ca="1"/>
        <v>FaceDetection</v>
      </c>
      <c r="J148" s="7" t="str">
        <f ca="1"/>
        <v>FaceDetection</v>
      </c>
      <c r="K148" s="7" t="str">
        <f ca="1"/>
        <v>FaceDetection</v>
      </c>
      <c r="L148" s="7" t="str">
        <f ca="1"/>
        <v>AutoAreaAfFaceDetection</v>
      </c>
      <c r="M148" s="7" t="str">
        <f ca="1"/>
        <v>FaceDetection</v>
      </c>
      <c r="N148" s="7" t="str">
        <f ca="1"/>
        <v/>
      </c>
      <c r="O148" s="7" t="str">
        <f ca="1"/>
        <v/>
      </c>
      <c r="P148" s="7" t="str">
        <f ca="1"/>
        <v/>
      </c>
      <c r="Q148" s="7" t="str">
        <f ca="1"/>
        <v/>
      </c>
      <c r="T148" s="7" t="str">
        <f ca="1"/>
        <v>Z8</v>
      </c>
      <c r="U148" s="7" t="str">
        <f ca="1"/>
        <v>0xD112</v>
      </c>
      <c r="V148" s="7" t="str">
        <f ca="1"/>
        <v>TVLockSetting</v>
      </c>
      <c r="X148" s="8" t="s">
        <v>535</v>
      </c>
      <c r="Y148" s="8" t="s">
        <v>535</v>
      </c>
      <c r="Z148" s="8" t="s">
        <v>559</v>
      </c>
      <c r="AA148" s="8" t="s">
        <v>559</v>
      </c>
      <c r="AB148" s="7" t="s">
        <v>563</v>
      </c>
      <c r="AC148" s="7" t="s">
        <v>553</v>
      </c>
      <c r="AD148" s="7" t="s">
        <v>553</v>
      </c>
      <c r="AE148" s="7" t="s">
        <v>553</v>
      </c>
      <c r="AF148" s="7" t="s">
        <v>525</v>
      </c>
      <c r="AG148" s="7" t="s">
        <v>1662</v>
      </c>
      <c r="AH148" s="7" t="s">
        <v>1662</v>
      </c>
      <c r="AI148" s="7" t="s">
        <v>541</v>
      </c>
      <c r="AJ148" s="7" t="s">
        <v>525</v>
      </c>
      <c r="AK148" s="7" t="s">
        <v>1763</v>
      </c>
    </row>
    <row r="149" spans="1:37" x14ac:dyDescent="0.25">
      <c r="A149" s="13" t="str">
        <f ca="1"/>
        <v>0xD09E</v>
      </c>
      <c r="B149" s="14" t="str">
        <f ca="1"/>
        <v>3DTrackingCaptuerArea</v>
      </c>
      <c r="D149" s="8" t="str">
        <f ca="1"/>
        <v/>
      </c>
      <c r="E149" s="8" t="str">
        <f ca="1"/>
        <v/>
      </c>
      <c r="F149" s="8" t="str">
        <f ca="1"/>
        <v/>
      </c>
      <c r="G149" s="8" t="str">
        <f ca="1"/>
        <v/>
      </c>
      <c r="H149" s="7" t="str">
        <f ca="1"/>
        <v/>
      </c>
      <c r="I149" s="7" t="str">
        <f ca="1"/>
        <v/>
      </c>
      <c r="J149" s="7" t="str">
        <f ca="1"/>
        <v/>
      </c>
      <c r="K149" s="7" t="str">
        <f ca="1"/>
        <v/>
      </c>
      <c r="L149" s="7" t="str">
        <f ca="1"/>
        <v/>
      </c>
      <c r="M149" s="7" t="str">
        <f ca="1"/>
        <v>3DTrackingCaptuerArea</v>
      </c>
      <c r="N149" s="7" t="str">
        <f ca="1"/>
        <v/>
      </c>
      <c r="O149" s="7" t="str">
        <f ca="1"/>
        <v/>
      </c>
      <c r="P149" s="7" t="str">
        <f ca="1"/>
        <v/>
      </c>
      <c r="Q149" s="7" t="str">
        <f ca="1"/>
        <v/>
      </c>
      <c r="T149" s="7" t="str">
        <f ca="1"/>
        <v>Z8</v>
      </c>
      <c r="U149" s="7" t="str">
        <f ca="1"/>
        <v>0xD113</v>
      </c>
      <c r="V149" s="7" t="str">
        <f ca="1"/>
        <v>AVLockSetting</v>
      </c>
      <c r="X149" s="8" t="s">
        <v>536</v>
      </c>
      <c r="Y149" s="8" t="s">
        <v>536</v>
      </c>
      <c r="Z149" s="8" t="s">
        <v>560</v>
      </c>
      <c r="AA149" s="8" t="s">
        <v>560</v>
      </c>
      <c r="AB149" s="7" t="s">
        <v>564</v>
      </c>
      <c r="AC149" s="7" t="s">
        <v>554</v>
      </c>
      <c r="AD149" s="7" t="s">
        <v>554</v>
      </c>
      <c r="AE149" s="7" t="s">
        <v>554</v>
      </c>
      <c r="AF149" s="7" t="s">
        <v>526</v>
      </c>
      <c r="AG149" s="7" t="s">
        <v>522</v>
      </c>
      <c r="AH149" s="7" t="s">
        <v>522</v>
      </c>
      <c r="AI149" s="7" t="s">
        <v>542</v>
      </c>
      <c r="AJ149" s="7" t="s">
        <v>526</v>
      </c>
      <c r="AK149" s="7" t="s">
        <v>1764</v>
      </c>
    </row>
    <row r="150" spans="1:37" x14ac:dyDescent="0.25">
      <c r="A150" s="13" t="str">
        <f ca="1"/>
        <v>0xD09F</v>
      </c>
      <c r="B150" s="14" t="str">
        <f ca="1"/>
        <v>MatrixMetering</v>
      </c>
      <c r="D150" s="8" t="str">
        <f ca="1"/>
        <v>MatrixMetering</v>
      </c>
      <c r="E150" s="8" t="str">
        <f ca="1"/>
        <v>MatrixMetering</v>
      </c>
      <c r="F150" s="8" t="str">
        <f ca="1"/>
        <v/>
      </c>
      <c r="G150" s="8" t="str">
        <f ca="1"/>
        <v/>
      </c>
      <c r="H150" s="7" t="str">
        <f ca="1"/>
        <v/>
      </c>
      <c r="I150" s="7" t="str">
        <f ca="1"/>
        <v/>
      </c>
      <c r="J150" s="7" t="str">
        <f ca="1"/>
        <v/>
      </c>
      <c r="K150" s="7" t="str">
        <f ca="1"/>
        <v/>
      </c>
      <c r="L150" s="7" t="str">
        <f ca="1"/>
        <v>MatrixMetering</v>
      </c>
      <c r="M150" s="7" t="str">
        <f ca="1"/>
        <v>MatrixMetering</v>
      </c>
      <c r="N150" s="7" t="str">
        <f ca="1"/>
        <v/>
      </c>
      <c r="O150" s="7" t="str">
        <f ca="1"/>
        <v/>
      </c>
      <c r="P150" s="7" t="str">
        <f ca="1"/>
        <v/>
      </c>
      <c r="Q150" s="7" t="str">
        <f ca="1"/>
        <v/>
      </c>
      <c r="T150" s="7" t="str">
        <f ca="1"/>
        <v>Z8</v>
      </c>
      <c r="U150" s="7" t="str">
        <f ca="1"/>
        <v>0xD118</v>
      </c>
      <c r="V150" s="7" t="str">
        <f ca="1"/>
        <v>ExposureCompFlashUsed</v>
      </c>
      <c r="X150" s="8" t="s">
        <v>537</v>
      </c>
      <c r="Y150" s="8" t="s">
        <v>537</v>
      </c>
      <c r="Z150" s="8" t="s">
        <v>561</v>
      </c>
      <c r="AA150" s="8" t="s">
        <v>561</v>
      </c>
      <c r="AB150" s="7" t="s">
        <v>565</v>
      </c>
      <c r="AC150" s="7" t="s">
        <v>555</v>
      </c>
      <c r="AD150" s="7" t="s">
        <v>555</v>
      </c>
      <c r="AE150" s="7" t="s">
        <v>555</v>
      </c>
      <c r="AF150" s="7" t="s">
        <v>527</v>
      </c>
      <c r="AG150" s="7" t="s">
        <v>523</v>
      </c>
      <c r="AH150" s="7" t="s">
        <v>523</v>
      </c>
      <c r="AI150" s="7" t="s">
        <v>543</v>
      </c>
      <c r="AJ150" s="7" t="s">
        <v>527</v>
      </c>
      <c r="AK150" s="7" t="s">
        <v>1765</v>
      </c>
    </row>
    <row r="151" spans="1:37" x14ac:dyDescent="0.25">
      <c r="A151" s="13" t="str">
        <f ca="1"/>
        <v>0xD0A0</v>
      </c>
      <c r="B151" s="14" t="str">
        <f ca="1"/>
        <v>MovieRecordScreenSize</v>
      </c>
      <c r="D151" s="8" t="str">
        <f ca="1"/>
        <v>MovieRecordScreenSize</v>
      </c>
      <c r="E151" s="8" t="str">
        <f ca="1"/>
        <v>MovieRecordScreenSize</v>
      </c>
      <c r="F151" s="8" t="str">
        <f ca="1"/>
        <v>MovieRecordScreenSize</v>
      </c>
      <c r="G151" s="8" t="str">
        <f ca="1"/>
        <v>MovieRecordScreenSize</v>
      </c>
      <c r="H151" s="7" t="str">
        <f ca="1"/>
        <v>MovieRecordScreenSize</v>
      </c>
      <c r="I151" s="7" t="str">
        <f ca="1"/>
        <v>MovieRecordScreenSize</v>
      </c>
      <c r="J151" s="7" t="str">
        <f ca="1"/>
        <v>MovieRecordScreenSize</v>
      </c>
      <c r="K151" s="7" t="str">
        <f ca="1"/>
        <v>MovieRecordScreenSize</v>
      </c>
      <c r="L151" s="7" t="str">
        <f ca="1"/>
        <v>MovieRecordScreenSize</v>
      </c>
      <c r="M151" s="7" t="str">
        <f ca="1"/>
        <v>MovieRecordScreenSize</v>
      </c>
      <c r="N151" s="7" t="str">
        <f ca="1"/>
        <v>MovieRecordScreenSize</v>
      </c>
      <c r="O151" s="7" t="str">
        <f ca="1"/>
        <v>MovieRecordScreenSize</v>
      </c>
      <c r="P151" s="7" t="str">
        <f ca="1"/>
        <v/>
      </c>
      <c r="Q151" s="7" t="str">
        <f ca="1"/>
        <v/>
      </c>
      <c r="T151" s="7" t="str">
        <f ca="1"/>
        <v>Z8</v>
      </c>
      <c r="U151" s="7" t="str">
        <f ca="1"/>
        <v>0xD119</v>
      </c>
      <c r="V151" s="7" t="str">
        <f ca="1"/>
        <v>Slot2JpegImageSize</v>
      </c>
      <c r="X151" s="8" t="s">
        <v>538</v>
      </c>
      <c r="Y151" s="8" t="s">
        <v>538</v>
      </c>
      <c r="Z151" s="8" t="s">
        <v>562</v>
      </c>
      <c r="AA151" s="8" t="s">
        <v>562</v>
      </c>
      <c r="AB151" s="7" t="s">
        <v>566</v>
      </c>
      <c r="AC151" s="7" t="s">
        <v>556</v>
      </c>
      <c r="AD151" s="7" t="s">
        <v>556</v>
      </c>
      <c r="AE151" s="7" t="s">
        <v>556</v>
      </c>
      <c r="AF151" s="7" t="s">
        <v>528</v>
      </c>
      <c r="AG151" s="7" t="s">
        <v>524</v>
      </c>
      <c r="AH151" s="7" t="s">
        <v>524</v>
      </c>
      <c r="AI151" s="7" t="s">
        <v>544</v>
      </c>
      <c r="AJ151" s="7" t="s">
        <v>528</v>
      </c>
      <c r="AK151" s="7" t="s">
        <v>1766</v>
      </c>
    </row>
    <row r="152" spans="1:37" x14ac:dyDescent="0.25">
      <c r="A152" s="13" t="str">
        <f ca="1"/>
        <v>0xD0A2</v>
      </c>
      <c r="B152" s="14" t="str">
        <f ca="1"/>
        <v>MovieRecordMicrophoneLevel</v>
      </c>
      <c r="D152" s="8" t="str">
        <f ca="1"/>
        <v>MovieRecordMicrophoneLevel</v>
      </c>
      <c r="E152" s="8" t="str">
        <f ca="1"/>
        <v>MovieRecordMicrophoneLevel</v>
      </c>
      <c r="F152" s="8" t="str">
        <f ca="1"/>
        <v>MovieRecordMicrophoneLevel</v>
      </c>
      <c r="G152" s="8" t="str">
        <f ca="1"/>
        <v>MovieRecordMicrophoneLevel</v>
      </c>
      <c r="H152" s="7" t="str">
        <f ca="1"/>
        <v>MovieRecordMicrophoneLevel</v>
      </c>
      <c r="I152" s="7" t="str">
        <f ca="1"/>
        <v>MovieRecordMicrophoneLevel</v>
      </c>
      <c r="J152" s="7" t="str">
        <f ca="1"/>
        <v>MovieRecordMicrophoneLevel</v>
      </c>
      <c r="K152" s="7" t="str">
        <f ca="1"/>
        <v>MovieRecordMicrophoneLevel</v>
      </c>
      <c r="L152" s="7" t="str">
        <f ca="1"/>
        <v>MovieRecordMicrophoneLevel</v>
      </c>
      <c r="M152" s="7" t="str">
        <f ca="1"/>
        <v>MovieRecordMicrophoneLevel</v>
      </c>
      <c r="N152" s="7" t="str">
        <f ca="1"/>
        <v>MovieRecordMicrophoneLevel</v>
      </c>
      <c r="O152" s="7" t="str">
        <f ca="1"/>
        <v>MovieRecordMicrophoneLevel</v>
      </c>
      <c r="P152" s="7" t="str">
        <f ca="1"/>
        <v/>
      </c>
      <c r="Q152" s="7" t="str">
        <f ca="1"/>
        <v/>
      </c>
      <c r="T152" s="7" t="str">
        <f ca="1"/>
        <v>Z8</v>
      </c>
      <c r="U152" s="7" t="str">
        <f ca="1"/>
        <v>0xD120</v>
      </c>
      <c r="V152" s="7" t="str">
        <f ca="1"/>
        <v>ExternalSpeedLightExist</v>
      </c>
      <c r="X152" s="8" t="s">
        <v>539</v>
      </c>
      <c r="Y152" s="8" t="s">
        <v>539</v>
      </c>
      <c r="Z152" s="8" t="s">
        <v>563</v>
      </c>
      <c r="AA152" s="8" t="s">
        <v>563</v>
      </c>
      <c r="AB152" s="7" t="s">
        <v>567</v>
      </c>
      <c r="AC152" s="7" t="s">
        <v>557</v>
      </c>
      <c r="AD152" s="7" t="s">
        <v>557</v>
      </c>
      <c r="AE152" s="7" t="s">
        <v>557</v>
      </c>
      <c r="AF152" s="7" t="s">
        <v>529</v>
      </c>
      <c r="AG152" s="7" t="s">
        <v>525</v>
      </c>
      <c r="AH152" s="7" t="s">
        <v>525</v>
      </c>
      <c r="AI152" s="7" t="s">
        <v>545</v>
      </c>
      <c r="AJ152" s="7" t="s">
        <v>529</v>
      </c>
      <c r="AK152" s="7" t="s">
        <v>1767</v>
      </c>
    </row>
    <row r="153" spans="1:37" x14ac:dyDescent="0.25">
      <c r="A153" s="13" t="str">
        <f ca="1"/>
        <v>0xD0A3</v>
      </c>
      <c r="B153" s="14" t="str">
        <f ca="1"/>
        <v>MovieRecordDestination</v>
      </c>
      <c r="D153" s="8" t="str">
        <f ca="1"/>
        <v>MovieRecordDestination</v>
      </c>
      <c r="E153" s="8" t="str">
        <f ca="1"/>
        <v>MovieRecordDestination</v>
      </c>
      <c r="F153" s="8" t="str">
        <f ca="1"/>
        <v>MovieRecordDestination</v>
      </c>
      <c r="G153" s="8" t="str">
        <f ca="1"/>
        <v>MovieRecordDestination</v>
      </c>
      <c r="H153" s="7" t="str">
        <f ca="1"/>
        <v/>
      </c>
      <c r="I153" s="7" t="str">
        <f ca="1"/>
        <v/>
      </c>
      <c r="J153" s="7" t="str">
        <f ca="1"/>
        <v/>
      </c>
      <c r="K153" s="7" t="str">
        <f ca="1"/>
        <v>MovieRecordDestination</v>
      </c>
      <c r="L153" s="7" t="str">
        <f ca="1"/>
        <v>MovieRecordDestination</v>
      </c>
      <c r="M153" s="7" t="str">
        <f ca="1"/>
        <v>MovieRecordDestination</v>
      </c>
      <c r="N153" s="7" t="str">
        <f ca="1"/>
        <v>MovieRecordDestination</v>
      </c>
      <c r="O153" s="7" t="str">
        <f ca="1"/>
        <v>MovieRecordDestination</v>
      </c>
      <c r="P153" s="7" t="str">
        <f ca="1"/>
        <v/>
      </c>
      <c r="Q153" s="7" t="str">
        <f ca="1"/>
        <v/>
      </c>
      <c r="T153" s="7" t="str">
        <f ca="1"/>
        <v>Z8</v>
      </c>
      <c r="U153" s="7" t="str">
        <f ca="1"/>
        <v>0xD121</v>
      </c>
      <c r="V153" s="7" t="str">
        <f ca="1"/>
        <v>ExternalSpeedLightStatus</v>
      </c>
      <c r="X153" s="8" t="s">
        <v>540</v>
      </c>
      <c r="Y153" s="8" t="s">
        <v>540</v>
      </c>
      <c r="Z153" s="8" t="s">
        <v>564</v>
      </c>
      <c r="AA153" s="8" t="s">
        <v>564</v>
      </c>
      <c r="AB153" s="7" t="s">
        <v>570</v>
      </c>
      <c r="AC153" s="7" t="s">
        <v>558</v>
      </c>
      <c r="AD153" s="7" t="s">
        <v>558</v>
      </c>
      <c r="AE153" s="7" t="s">
        <v>558</v>
      </c>
      <c r="AF153" s="7" t="s">
        <v>530</v>
      </c>
      <c r="AG153" s="7" t="s">
        <v>526</v>
      </c>
      <c r="AH153" s="7" t="s">
        <v>526</v>
      </c>
      <c r="AI153" s="7" t="s">
        <v>546</v>
      </c>
      <c r="AJ153" s="7" t="s">
        <v>1762</v>
      </c>
      <c r="AK153" s="7" t="s">
        <v>1768</v>
      </c>
    </row>
    <row r="154" spans="1:37" x14ac:dyDescent="0.25">
      <c r="A154" s="13" t="str">
        <f ca="1"/>
        <v>0xD0A4</v>
      </c>
      <c r="B154" s="14" t="str">
        <f ca="1"/>
        <v>MovieRecProhibitionCondition</v>
      </c>
      <c r="D154" s="8" t="str">
        <f ca="1"/>
        <v>MovieRecProhibitionCondition</v>
      </c>
      <c r="E154" s="8" t="str">
        <f ca="1"/>
        <v>MovieRecProhibitionCondition</v>
      </c>
      <c r="F154" s="8" t="str">
        <f ca="1"/>
        <v>MovieRecProhibitionCondition</v>
      </c>
      <c r="G154" s="8" t="str">
        <f ca="1"/>
        <v>MovieRecProhibitionCondition</v>
      </c>
      <c r="H154" s="7" t="str">
        <f ca="1"/>
        <v>MovieRecProhibitionCondition</v>
      </c>
      <c r="I154" s="7" t="str">
        <f ca="1"/>
        <v>MovieRecProhibitionCondition</v>
      </c>
      <c r="J154" s="7" t="str">
        <f ca="1"/>
        <v>MovieRecProhibitionCondition</v>
      </c>
      <c r="K154" s="7" t="str">
        <f ca="1"/>
        <v>MovieRecProhibitionCondition</v>
      </c>
      <c r="L154" s="7" t="str">
        <f ca="1"/>
        <v>MovieRecProhibitionCondition</v>
      </c>
      <c r="M154" s="7" t="str">
        <f ca="1"/>
        <v>MovieRecProhibitionCondition</v>
      </c>
      <c r="N154" s="7" t="str">
        <f ca="1"/>
        <v>MovieRecProhibitionCondition</v>
      </c>
      <c r="O154" s="7" t="str">
        <f ca="1"/>
        <v>MovieRecProhibitionCondition</v>
      </c>
      <c r="P154" s="7" t="str">
        <f ca="1"/>
        <v/>
      </c>
      <c r="Q154" s="7" t="str">
        <f ca="1"/>
        <v/>
      </c>
      <c r="T154" s="7" t="str">
        <f ca="1"/>
        <v>Z8</v>
      </c>
      <c r="U154" s="7" t="str">
        <f ca="1"/>
        <v>0xD122</v>
      </c>
      <c r="V154" s="7" t="str">
        <f ca="1"/>
        <v>ExternalSpeedLightSort</v>
      </c>
      <c r="X154" s="8" t="s">
        <v>541</v>
      </c>
      <c r="Y154" s="8" t="s">
        <v>541</v>
      </c>
      <c r="Z154" s="8" t="s">
        <v>565</v>
      </c>
      <c r="AA154" s="8" t="s">
        <v>565</v>
      </c>
      <c r="AB154" s="7" t="s">
        <v>571</v>
      </c>
      <c r="AC154" s="7" t="s">
        <v>559</v>
      </c>
      <c r="AD154" s="7" t="s">
        <v>559</v>
      </c>
      <c r="AE154" s="7" t="s">
        <v>559</v>
      </c>
      <c r="AF154" s="7" t="s">
        <v>531</v>
      </c>
      <c r="AG154" s="7" t="s">
        <v>527</v>
      </c>
      <c r="AH154" s="7" t="s">
        <v>527</v>
      </c>
      <c r="AI154" s="7" t="s">
        <v>547</v>
      </c>
      <c r="AJ154" s="7" t="s">
        <v>1763</v>
      </c>
      <c r="AK154" s="7" t="s">
        <v>1769</v>
      </c>
    </row>
    <row r="155" spans="1:37" x14ac:dyDescent="0.25">
      <c r="A155" s="13" t="str">
        <f ca="1"/>
        <v>0xD0A7</v>
      </c>
      <c r="B155" s="14" t="str">
        <f ca="1"/>
        <v>MovieRecordQuality</v>
      </c>
      <c r="D155" s="8" t="str">
        <f ca="1"/>
        <v/>
      </c>
      <c r="E155" s="8" t="str">
        <f ca="1"/>
        <v/>
      </c>
      <c r="F155" s="8" t="str">
        <f ca="1"/>
        <v>MovieRecordQuality</v>
      </c>
      <c r="G155" s="8" t="str">
        <f ca="1"/>
        <v>MovieRecordQuality</v>
      </c>
      <c r="H155" s="7" t="str">
        <f ca="1"/>
        <v>MovieRecordQuality</v>
      </c>
      <c r="I155" s="7" t="str">
        <f ca="1"/>
        <v>MovieRecordQuality</v>
      </c>
      <c r="J155" s="7" t="str">
        <f ca="1"/>
        <v>MovieRecordQuality</v>
      </c>
      <c r="K155" s="7" t="str">
        <f ca="1"/>
        <v>MovieRecordQuality</v>
      </c>
      <c r="L155" s="7" t="str">
        <f ca="1"/>
        <v>MovieRecordQuality</v>
      </c>
      <c r="M155" s="7" t="str">
        <f ca="1"/>
        <v>MovieRecordQuality</v>
      </c>
      <c r="N155" s="7" t="str">
        <f ca="1"/>
        <v>MovieRecordQuality</v>
      </c>
      <c r="O155" s="7" t="str">
        <f ca="1"/>
        <v>MovieRecordQuality</v>
      </c>
      <c r="P155" s="7" t="str">
        <f ca="1"/>
        <v/>
      </c>
      <c r="Q155" s="7" t="str">
        <f ca="1"/>
        <v/>
      </c>
      <c r="T155" s="7" t="str">
        <f ca="1"/>
        <v>Z8</v>
      </c>
      <c r="U155" s="7" t="str">
        <f ca="1"/>
        <v>0xD124</v>
      </c>
      <c r="V155" s="7" t="str">
        <f ca="1"/>
        <v>FlashCompensation</v>
      </c>
      <c r="X155" s="8" t="s">
        <v>542</v>
      </c>
      <c r="Y155" s="8" t="s">
        <v>542</v>
      </c>
      <c r="Z155" s="8" t="s">
        <v>566</v>
      </c>
      <c r="AA155" s="8" t="s">
        <v>566</v>
      </c>
      <c r="AB155" s="7" t="s">
        <v>572</v>
      </c>
      <c r="AC155" s="7" t="s">
        <v>560</v>
      </c>
      <c r="AD155" s="7" t="s">
        <v>560</v>
      </c>
      <c r="AE155" s="7" t="s">
        <v>560</v>
      </c>
      <c r="AF155" s="7" t="s">
        <v>532</v>
      </c>
      <c r="AG155" s="7" t="s">
        <v>528</v>
      </c>
      <c r="AH155" s="7" t="s">
        <v>528</v>
      </c>
      <c r="AI155" s="7" t="s">
        <v>548</v>
      </c>
      <c r="AJ155" s="7" t="s">
        <v>1764</v>
      </c>
      <c r="AK155" s="7" t="s">
        <v>1770</v>
      </c>
    </row>
    <row r="156" spans="1:37" x14ac:dyDescent="0.25">
      <c r="A156" s="13" t="str">
        <f ca="1"/>
        <v>0xD0A8</v>
      </c>
      <c r="B156" s="14" t="str">
        <f ca="1"/>
        <v>MovieRecordMicrophoneLevelValue</v>
      </c>
      <c r="D156" s="8" t="str">
        <f ca="1"/>
        <v>MovieRecordMicrophoneLevelValue</v>
      </c>
      <c r="E156" s="8" t="str">
        <f ca="1"/>
        <v>MovieRecordMicrophoneLevelValue</v>
      </c>
      <c r="F156" s="8" t="str">
        <f ca="1"/>
        <v>MovieRecordMicrophoneLevelValue</v>
      </c>
      <c r="G156" s="8" t="str">
        <f ca="1"/>
        <v>MovieRecordMicrophoneLevelValue</v>
      </c>
      <c r="H156" s="7" t="str">
        <f ca="1"/>
        <v>MovieRecordMicrophoneLevelValue</v>
      </c>
      <c r="I156" s="7" t="str">
        <f ca="1"/>
        <v>MovieRecordMicrophoneLevelValue</v>
      </c>
      <c r="J156" s="7" t="str">
        <f ca="1"/>
        <v>MovieRecordMicrophoneLevelValue</v>
      </c>
      <c r="K156" s="7" t="str">
        <f ca="1"/>
        <v>MovieRecordMicrophoneLevelValue</v>
      </c>
      <c r="L156" s="7" t="str">
        <f ca="1"/>
        <v>MovieRecordMicrophoneLevelValue</v>
      </c>
      <c r="M156" s="7" t="str">
        <f ca="1"/>
        <v>MovieRecordMicrophoneLevelValue</v>
      </c>
      <c r="N156" s="7" t="str">
        <f ca="1"/>
        <v>MovieRecordMicrophoneLevelValue</v>
      </c>
      <c r="O156" s="7" t="str">
        <f ca="1"/>
        <v>MovieRecordMicrophoneLevelValue</v>
      </c>
      <c r="P156" s="7" t="str">
        <f ca="1"/>
        <v/>
      </c>
      <c r="Q156" s="7" t="str">
        <f ca="1"/>
        <v/>
      </c>
      <c r="T156" s="7" t="str">
        <f ca="1"/>
        <v>Z8</v>
      </c>
      <c r="U156" s="7" t="str">
        <f ca="1"/>
        <v>0xD125</v>
      </c>
      <c r="V156" s="7" t="str">
        <f ca="1"/>
        <v>NewExternalSpeedLightMode</v>
      </c>
      <c r="X156" s="8" t="s">
        <v>543</v>
      </c>
      <c r="Y156" s="8" t="s">
        <v>543</v>
      </c>
      <c r="Z156" s="8" t="s">
        <v>567</v>
      </c>
      <c r="AA156" s="8" t="s">
        <v>567</v>
      </c>
      <c r="AB156" s="7" t="s">
        <v>573</v>
      </c>
      <c r="AC156" s="7" t="s">
        <v>561</v>
      </c>
      <c r="AD156" s="7" t="s">
        <v>561</v>
      </c>
      <c r="AE156" s="7" t="s">
        <v>561</v>
      </c>
      <c r="AF156" s="7" t="s">
        <v>533</v>
      </c>
      <c r="AG156" s="7" t="s">
        <v>529</v>
      </c>
      <c r="AH156" s="7" t="s">
        <v>529</v>
      </c>
      <c r="AI156" s="7" t="s">
        <v>549</v>
      </c>
      <c r="AJ156" s="7" t="s">
        <v>1765</v>
      </c>
      <c r="AK156" s="7" t="s">
        <v>1771</v>
      </c>
    </row>
    <row r="157" spans="1:37" x14ac:dyDescent="0.25">
      <c r="A157" s="13" t="str">
        <f ca="1"/>
        <v>0xD0A9</v>
      </c>
      <c r="B157" s="14" t="str">
        <f ca="1"/>
        <v>MovieIsoRange</v>
      </c>
      <c r="D157" s="8" t="str">
        <f ca="1"/>
        <v/>
      </c>
      <c r="E157" s="8" t="str">
        <f ca="1"/>
        <v/>
      </c>
      <c r="F157" s="8" t="str">
        <f ca="1"/>
        <v/>
      </c>
      <c r="G157" s="8" t="str">
        <f ca="1"/>
        <v/>
      </c>
      <c r="H157" s="7" t="str">
        <f ca="1"/>
        <v/>
      </c>
      <c r="I157" s="7" t="str">
        <f ca="1"/>
        <v/>
      </c>
      <c r="J157" s="7" t="str">
        <f ca="1"/>
        <v/>
      </c>
      <c r="K157" s="7" t="str">
        <f ca="1"/>
        <v/>
      </c>
      <c r="L157" s="7" t="str">
        <f ca="1"/>
        <v/>
      </c>
      <c r="M157" s="7" t="str">
        <f ca="1"/>
        <v/>
      </c>
      <c r="N157" s="7" t="str">
        <f ca="1"/>
        <v/>
      </c>
      <c r="O157" s="7" t="str">
        <f ca="1"/>
        <v>MovieIsoRange</v>
      </c>
      <c r="P157" s="7" t="str">
        <f ca="1"/>
        <v/>
      </c>
      <c r="Q157" s="7" t="str">
        <f ca="1"/>
        <v/>
      </c>
      <c r="T157" s="7" t="str">
        <f ca="1"/>
        <v>Z8</v>
      </c>
      <c r="U157" s="7" t="str">
        <f ca="1"/>
        <v>0xD126</v>
      </c>
      <c r="V157" s="7" t="str">
        <f ca="1"/>
        <v>InternalFlashCompensation</v>
      </c>
      <c r="X157" s="8" t="s">
        <v>544</v>
      </c>
      <c r="Y157" s="8" t="s">
        <v>544</v>
      </c>
      <c r="Z157" s="8" t="s">
        <v>570</v>
      </c>
      <c r="AA157" s="8" t="s">
        <v>570</v>
      </c>
      <c r="AB157" s="7" t="s">
        <v>576</v>
      </c>
      <c r="AC157" s="7" t="s">
        <v>562</v>
      </c>
      <c r="AD157" s="7" t="s">
        <v>562</v>
      </c>
      <c r="AE157" s="7" t="s">
        <v>562</v>
      </c>
      <c r="AF157" s="7" t="s">
        <v>534</v>
      </c>
      <c r="AG157" s="7" t="s">
        <v>530</v>
      </c>
      <c r="AH157" s="7" t="s">
        <v>530</v>
      </c>
      <c r="AI157" s="7" t="s">
        <v>550</v>
      </c>
      <c r="AJ157" s="7" t="s">
        <v>1766</v>
      </c>
      <c r="AK157" s="7" t="s">
        <v>538</v>
      </c>
    </row>
    <row r="158" spans="1:37" x14ac:dyDescent="0.25">
      <c r="A158" s="13" t="str">
        <f ca="1"/>
        <v>0xD0AA</v>
      </c>
      <c r="B158" s="14" t="str">
        <f ca="1"/>
        <v>MovieWindNoiseReduction</v>
      </c>
      <c r="D158" s="8" t="str">
        <f ca="1"/>
        <v>MovieWindNoiseReduction</v>
      </c>
      <c r="E158" s="8" t="str">
        <f ca="1"/>
        <v>MovieWindNoiseReduction</v>
      </c>
      <c r="F158" s="8" t="str">
        <f ca="1"/>
        <v>MovieWindNoiseReduction</v>
      </c>
      <c r="G158" s="8" t="str">
        <f ca="1"/>
        <v>MovieWindNoiseReduction</v>
      </c>
      <c r="H158" s="7" t="str">
        <f ca="1"/>
        <v>MovieWindNoiseReduction</v>
      </c>
      <c r="I158" s="7" t="str">
        <f ca="1"/>
        <v>MovieWindNoiseReduction</v>
      </c>
      <c r="J158" s="7" t="str">
        <f ca="1"/>
        <v>MovieWindNoiseReduction</v>
      </c>
      <c r="K158" s="7" t="str">
        <f ca="1"/>
        <v>MovieWindNoiseReduction</v>
      </c>
      <c r="L158" s="7" t="str">
        <f ca="1"/>
        <v>MovieWindNoiseReduction</v>
      </c>
      <c r="M158" s="7" t="str">
        <f ca="1"/>
        <v>MovieWindNoiseReduction</v>
      </c>
      <c r="N158" s="7" t="str">
        <f ca="1"/>
        <v>MovieWindNoiseReduction</v>
      </c>
      <c r="O158" s="7" t="str">
        <f ca="1"/>
        <v/>
      </c>
      <c r="P158" s="7" t="str">
        <f ca="1"/>
        <v/>
      </c>
      <c r="Q158" s="7" t="str">
        <f ca="1"/>
        <v/>
      </c>
      <c r="T158" s="7" t="str">
        <f ca="1"/>
        <v>Z8</v>
      </c>
      <c r="U158" s="7" t="str">
        <f ca="1"/>
        <v>0xD12D</v>
      </c>
      <c r="V158" s="7" t="str">
        <f ca="1"/>
        <v>ExternalSpeedLightMultiFlashMode</v>
      </c>
      <c r="X158" s="8" t="s">
        <v>545</v>
      </c>
      <c r="Y158" s="8" t="s">
        <v>545</v>
      </c>
      <c r="Z158" s="8" t="s">
        <v>571</v>
      </c>
      <c r="AA158" s="8" t="s">
        <v>571</v>
      </c>
      <c r="AB158" s="7" t="s">
        <v>577</v>
      </c>
      <c r="AC158" s="7" t="s">
        <v>563</v>
      </c>
      <c r="AD158" s="7" t="s">
        <v>563</v>
      </c>
      <c r="AE158" s="7" t="s">
        <v>563</v>
      </c>
      <c r="AF158" s="7" t="s">
        <v>535</v>
      </c>
      <c r="AG158" s="7" t="s">
        <v>1707</v>
      </c>
      <c r="AH158" s="7" t="s">
        <v>1707</v>
      </c>
      <c r="AI158" s="7" t="s">
        <v>551</v>
      </c>
      <c r="AJ158" s="7" t="s">
        <v>1767</v>
      </c>
      <c r="AK158" s="7" t="s">
        <v>539</v>
      </c>
    </row>
    <row r="159" spans="1:37" x14ac:dyDescent="0.25">
      <c r="A159" s="13" t="str">
        <f ca="1"/>
        <v>0xD0AC</v>
      </c>
      <c r="B159" s="14" t="str">
        <f ca="1"/>
        <v>MovieRecordingZone</v>
      </c>
      <c r="D159" s="8" t="str">
        <f ca="1"/>
        <v>MovieRecordingZone</v>
      </c>
      <c r="E159" s="8" t="str">
        <f ca="1"/>
        <v>MovieRecordingZone</v>
      </c>
      <c r="F159" s="8" t="str">
        <f ca="1"/>
        <v>MovieRecordingZone</v>
      </c>
      <c r="G159" s="8" t="str">
        <f ca="1"/>
        <v>MovieRecordingZone</v>
      </c>
      <c r="H159" s="7" t="str">
        <f ca="1"/>
        <v>MovieRecordingZone</v>
      </c>
      <c r="I159" s="7" t="str">
        <f ca="1"/>
        <v>MovieRecordingZone</v>
      </c>
      <c r="J159" s="7" t="str">
        <f ca="1"/>
        <v>MovieRecordingZone</v>
      </c>
      <c r="K159" s="7" t="str">
        <f ca="1"/>
        <v>MovieRecordingZone</v>
      </c>
      <c r="L159" s="7" t="str">
        <f ca="1"/>
        <v>MovieRecordingZone</v>
      </c>
      <c r="M159" s="7" t="str">
        <f ca="1"/>
        <v>MovieRecordingZone</v>
      </c>
      <c r="N159" s="7" t="str">
        <f ca="1"/>
        <v>MovieRecordingZone</v>
      </c>
      <c r="O159" s="7" t="str">
        <f ca="1"/>
        <v/>
      </c>
      <c r="P159" s="7" t="str">
        <f ca="1"/>
        <v/>
      </c>
      <c r="Q159" s="7" t="str">
        <f ca="1"/>
        <v/>
      </c>
      <c r="T159" s="7" t="str">
        <f ca="1"/>
        <v>Z8</v>
      </c>
      <c r="U159" s="7" t="str">
        <f ca="1"/>
        <v>0xD12E</v>
      </c>
      <c r="V159" s="7" t="str">
        <f ca="1"/>
        <v>ConnectionPath</v>
      </c>
      <c r="X159" s="8" t="s">
        <v>546</v>
      </c>
      <c r="Y159" s="8" t="s">
        <v>546</v>
      </c>
      <c r="Z159" s="8" t="s">
        <v>572</v>
      </c>
      <c r="AA159" s="8" t="s">
        <v>572</v>
      </c>
      <c r="AB159" s="7" t="s">
        <v>578</v>
      </c>
      <c r="AC159" s="7" t="s">
        <v>564</v>
      </c>
      <c r="AD159" s="7" t="s">
        <v>564</v>
      </c>
      <c r="AE159" s="7" t="s">
        <v>564</v>
      </c>
      <c r="AF159" s="7" t="s">
        <v>536</v>
      </c>
      <c r="AG159" s="7" t="s">
        <v>532</v>
      </c>
      <c r="AH159" s="7" t="s">
        <v>534</v>
      </c>
      <c r="AI159" s="7" t="s">
        <v>552</v>
      </c>
      <c r="AJ159" s="7" t="s">
        <v>1768</v>
      </c>
      <c r="AK159" s="7" t="s">
        <v>540</v>
      </c>
    </row>
    <row r="160" spans="1:37" x14ac:dyDescent="0.25">
      <c r="A160" s="13" t="str">
        <f ca="1"/>
        <v>0xD0AD</v>
      </c>
      <c r="B160" s="14" t="str">
        <f ca="1"/>
        <v>MovieISOAutoControl</v>
      </c>
      <c r="D160" s="8" t="str">
        <f ca="1"/>
        <v>MovieISOAutoControl</v>
      </c>
      <c r="E160" s="8" t="str">
        <f ca="1"/>
        <v>MovieISOAutoControl</v>
      </c>
      <c r="F160" s="8" t="str">
        <f ca="1"/>
        <v>MovieISOAutoControl</v>
      </c>
      <c r="G160" s="8" t="str">
        <f ca="1"/>
        <v>MovieISOAutoControl</v>
      </c>
      <c r="H160" s="7" t="str">
        <f ca="1"/>
        <v>MovieISOAutoControl</v>
      </c>
      <c r="I160" s="7" t="str">
        <f ca="1"/>
        <v>MovieISOAutoControl</v>
      </c>
      <c r="J160" s="7" t="str">
        <f ca="1"/>
        <v>MovieISOAutoControl</v>
      </c>
      <c r="K160" s="7" t="str">
        <f ca="1"/>
        <v>MovieISOAutoControl</v>
      </c>
      <c r="L160" s="7" t="str">
        <f ca="1"/>
        <v>MovieISOAutoControl</v>
      </c>
      <c r="M160" s="7" t="str">
        <f ca="1"/>
        <v>MovieISOAutoControl</v>
      </c>
      <c r="N160" s="7" t="str">
        <f ca="1"/>
        <v>MovieISOAutoControl</v>
      </c>
      <c r="O160" s="7" t="str">
        <f ca="1"/>
        <v/>
      </c>
      <c r="P160" s="7" t="str">
        <f ca="1"/>
        <v/>
      </c>
      <c r="Q160" s="7" t="str">
        <f ca="1"/>
        <v/>
      </c>
      <c r="T160" s="7" t="str">
        <f ca="1"/>
        <v>Z8</v>
      </c>
      <c r="U160" s="7" t="str">
        <f ca="1"/>
        <v>0xD12F</v>
      </c>
      <c r="V160" s="7" t="str">
        <f ca="1"/>
        <v>AWBLockStatus</v>
      </c>
      <c r="X160" s="8" t="s">
        <v>547</v>
      </c>
      <c r="Y160" s="8" t="s">
        <v>547</v>
      </c>
      <c r="Z160" s="8" t="s">
        <v>573</v>
      </c>
      <c r="AA160" s="8" t="s">
        <v>573</v>
      </c>
      <c r="AB160" s="7" t="s">
        <v>579</v>
      </c>
      <c r="AC160" s="7" t="s">
        <v>565</v>
      </c>
      <c r="AD160" s="7" t="s">
        <v>565</v>
      </c>
      <c r="AE160" s="7" t="s">
        <v>565</v>
      </c>
      <c r="AF160" s="7" t="s">
        <v>537</v>
      </c>
      <c r="AG160" s="7" t="s">
        <v>533</v>
      </c>
      <c r="AH160" s="7" t="s">
        <v>1520</v>
      </c>
      <c r="AI160" s="7" t="s">
        <v>553</v>
      </c>
      <c r="AJ160" s="7" t="s">
        <v>1769</v>
      </c>
      <c r="AK160" s="7" t="s">
        <v>541</v>
      </c>
    </row>
    <row r="161" spans="1:37" x14ac:dyDescent="0.25">
      <c r="A161" s="13" t="str">
        <f ca="1"/>
        <v>0xD0AE</v>
      </c>
      <c r="B161" s="14" t="str">
        <f ca="1"/>
        <v>MovieISOAutoHighLimit</v>
      </c>
      <c r="D161" s="8" t="str">
        <f ca="1"/>
        <v>MovieISOAutoHighLimit</v>
      </c>
      <c r="E161" s="8" t="str">
        <f ca="1"/>
        <v>MovieISOAutoHighLimit</v>
      </c>
      <c r="F161" s="8" t="str">
        <f ca="1"/>
        <v>MovieISOAutoHighLimit</v>
      </c>
      <c r="G161" s="8" t="str">
        <f ca="1"/>
        <v>MovieISOAutoHighLimit</v>
      </c>
      <c r="H161" s="7" t="str">
        <f ca="1"/>
        <v>MovieISOAutoHighLimit</v>
      </c>
      <c r="I161" s="7" t="str">
        <f ca="1"/>
        <v>MovieISOAutoHighLimit</v>
      </c>
      <c r="J161" s="7" t="str">
        <f ca="1"/>
        <v>MovieISOAutoHighLimit</v>
      </c>
      <c r="K161" s="7" t="str">
        <f ca="1"/>
        <v>MovieISOAutoHighLimit</v>
      </c>
      <c r="L161" s="7" t="str">
        <f ca="1"/>
        <v>MovieISOAutoHighLimit</v>
      </c>
      <c r="M161" s="7" t="str">
        <f ca="1"/>
        <v>MovieISOAutoHighLimit</v>
      </c>
      <c r="N161" s="7" t="str">
        <f ca="1"/>
        <v>MovieISOAutoHighLimit</v>
      </c>
      <c r="O161" s="7" t="str">
        <f ca="1"/>
        <v/>
      </c>
      <c r="P161" s="7" t="str">
        <f ca="1"/>
        <v/>
      </c>
      <c r="Q161" s="7" t="str">
        <f ca="1"/>
        <v/>
      </c>
      <c r="T161" s="7" t="str">
        <f ca="1"/>
        <v>Z8</v>
      </c>
      <c r="U161" s="7" t="str">
        <f ca="1"/>
        <v>0xD130</v>
      </c>
      <c r="V161" s="7" t="str">
        <f ca="1"/>
        <v>HDRMode</v>
      </c>
      <c r="X161" s="8" t="s">
        <v>548</v>
      </c>
      <c r="Y161" s="8" t="s">
        <v>548</v>
      </c>
      <c r="Z161" s="8" t="s">
        <v>574</v>
      </c>
      <c r="AA161" s="8" t="s">
        <v>574</v>
      </c>
      <c r="AB161" s="7" t="s">
        <v>584</v>
      </c>
      <c r="AC161" s="7" t="s">
        <v>566</v>
      </c>
      <c r="AD161" s="7" t="s">
        <v>566</v>
      </c>
      <c r="AE161" s="7" t="s">
        <v>566</v>
      </c>
      <c r="AF161" s="7" t="s">
        <v>538</v>
      </c>
      <c r="AG161" s="7" t="s">
        <v>534</v>
      </c>
      <c r="AH161" s="7" t="s">
        <v>536</v>
      </c>
      <c r="AI161" s="7" t="s">
        <v>554</v>
      </c>
      <c r="AJ161" s="7" t="s">
        <v>1770</v>
      </c>
      <c r="AK161" s="7" t="s">
        <v>542</v>
      </c>
    </row>
    <row r="162" spans="1:37" x14ac:dyDescent="0.25">
      <c r="A162" s="13" t="str">
        <f ca="1"/>
        <v>0xD0AF</v>
      </c>
      <c r="B162" s="14" t="str">
        <f ca="1"/>
        <v>MovieFileType</v>
      </c>
      <c r="D162" s="8" t="str">
        <f ca="1"/>
        <v>MovieFileType</v>
      </c>
      <c r="E162" s="8" t="str">
        <f ca="1"/>
        <v>MovieFileType</v>
      </c>
      <c r="F162" s="8" t="str">
        <f ca="1"/>
        <v>MovieFileType</v>
      </c>
      <c r="G162" s="8" t="str">
        <f ca="1"/>
        <v>MovieFileType</v>
      </c>
      <c r="H162" s="7" t="str">
        <f ca="1"/>
        <v>MovieFileType</v>
      </c>
      <c r="I162" s="7" t="str">
        <f ca="1"/>
        <v>MovieFileType</v>
      </c>
      <c r="J162" s="7" t="str">
        <f ca="1"/>
        <v>MovieFileType</v>
      </c>
      <c r="K162" s="7" t="str">
        <f ca="1"/>
        <v>MovieFileType</v>
      </c>
      <c r="L162" s="7" t="str">
        <f ca="1"/>
        <v>MovieFileType</v>
      </c>
      <c r="M162" s="7" t="str">
        <f ca="1"/>
        <v/>
      </c>
      <c r="N162" s="7" t="str">
        <f ca="1"/>
        <v/>
      </c>
      <c r="O162" s="7" t="str">
        <f ca="1"/>
        <v/>
      </c>
      <c r="P162" s="7" t="str">
        <f ca="1"/>
        <v/>
      </c>
      <c r="Q162" s="7" t="str">
        <f ca="1"/>
        <v/>
      </c>
      <c r="T162" s="7" t="str">
        <f ca="1"/>
        <v>Z8</v>
      </c>
      <c r="U162" s="7" t="str">
        <f ca="1"/>
        <v>0xD132</v>
      </c>
      <c r="V162" s="7" t="str">
        <f ca="1"/>
        <v>HDRStrength</v>
      </c>
      <c r="X162" s="8" t="s">
        <v>549</v>
      </c>
      <c r="Y162" s="8" t="s">
        <v>549</v>
      </c>
      <c r="Z162" s="8" t="s">
        <v>575</v>
      </c>
      <c r="AA162" s="8" t="s">
        <v>575</v>
      </c>
      <c r="AB162" s="7" t="s">
        <v>585</v>
      </c>
      <c r="AC162" s="7" t="s">
        <v>567</v>
      </c>
      <c r="AD162" s="7" t="s">
        <v>567</v>
      </c>
      <c r="AE162" s="7" t="s">
        <v>567</v>
      </c>
      <c r="AF162" s="7" t="s">
        <v>1197</v>
      </c>
      <c r="AG162" s="7" t="s">
        <v>1520</v>
      </c>
      <c r="AH162" s="7" t="s">
        <v>537</v>
      </c>
      <c r="AI162" s="7" t="s">
        <v>555</v>
      </c>
      <c r="AJ162" s="7" t="s">
        <v>1771</v>
      </c>
      <c r="AK162" s="7" t="s">
        <v>543</v>
      </c>
    </row>
    <row r="163" spans="1:37" x14ac:dyDescent="0.25">
      <c r="A163" s="13" t="str">
        <f ca="1"/>
        <v>0xD0B0</v>
      </c>
      <c r="B163" s="14" t="str">
        <f ca="1"/>
        <v>CenterButtonOnLiveViewMode</v>
      </c>
      <c r="D163" s="8" t="str">
        <f ca="1"/>
        <v/>
      </c>
      <c r="E163" s="8" t="str">
        <f ca="1"/>
        <v/>
      </c>
      <c r="F163" s="8" t="str">
        <f ca="1"/>
        <v/>
      </c>
      <c r="G163" s="8" t="str">
        <f ca="1"/>
        <v/>
      </c>
      <c r="H163" s="7" t="str">
        <f ca="1"/>
        <v/>
      </c>
      <c r="I163" s="7" t="str">
        <f ca="1"/>
        <v/>
      </c>
      <c r="J163" s="7" t="str">
        <f ca="1"/>
        <v/>
      </c>
      <c r="K163" s="7" t="str">
        <f ca="1"/>
        <v/>
      </c>
      <c r="L163" s="7" t="str">
        <f ca="1"/>
        <v/>
      </c>
      <c r="M163" s="7" t="str">
        <f ca="1"/>
        <v/>
      </c>
      <c r="N163" s="7" t="str">
        <f ca="1"/>
        <v/>
      </c>
      <c r="O163" s="7" t="str">
        <f ca="1"/>
        <v/>
      </c>
      <c r="P163" s="7" t="str">
        <f ca="1"/>
        <v>CenterButtonOnLiveViewMode</v>
      </c>
      <c r="Q163" s="7" t="str">
        <f ca="1"/>
        <v/>
      </c>
      <c r="T163" s="7" t="str">
        <f ca="1"/>
        <v>Z8</v>
      </c>
      <c r="U163" s="7" t="str">
        <f ca="1"/>
        <v>0xD133</v>
      </c>
      <c r="V163" s="7" t="str">
        <f ca="1"/>
        <v>HDRSaveIndividualImages</v>
      </c>
      <c r="X163" s="8" t="s">
        <v>550</v>
      </c>
      <c r="Y163" s="8" t="s">
        <v>550</v>
      </c>
      <c r="Z163" s="8" t="s">
        <v>576</v>
      </c>
      <c r="AA163" s="8" t="s">
        <v>576</v>
      </c>
      <c r="AB163" s="7" t="s">
        <v>1521</v>
      </c>
      <c r="AC163" s="7" t="s">
        <v>570</v>
      </c>
      <c r="AD163" s="7" t="s">
        <v>570</v>
      </c>
      <c r="AE163" s="7" t="s">
        <v>570</v>
      </c>
      <c r="AF163" s="7" t="s">
        <v>540</v>
      </c>
      <c r="AG163" s="7" t="s">
        <v>536</v>
      </c>
      <c r="AH163" s="7" t="s">
        <v>538</v>
      </c>
      <c r="AI163" s="7" t="s">
        <v>556</v>
      </c>
      <c r="AJ163" s="7" t="s">
        <v>536</v>
      </c>
      <c r="AK163" s="7" t="s">
        <v>544</v>
      </c>
    </row>
    <row r="164" spans="1:37" x14ac:dyDescent="0.25">
      <c r="A164" s="13" t="str">
        <f ca="1"/>
        <v>0xD0B1</v>
      </c>
      <c r="B164" s="14" t="str">
        <f ca="1"/>
        <v>AfZoomRatioInLiveView</v>
      </c>
      <c r="D164" s="8" t="str">
        <f ca="1"/>
        <v/>
      </c>
      <c r="E164" s="8" t="str">
        <f ca="1"/>
        <v/>
      </c>
      <c r="F164" s="8" t="str">
        <f ca="1"/>
        <v/>
      </c>
      <c r="G164" s="8" t="str">
        <f ca="1"/>
        <v/>
      </c>
      <c r="H164" s="7" t="str">
        <f ca="1"/>
        <v/>
      </c>
      <c r="I164" s="7" t="str">
        <f ca="1"/>
        <v/>
      </c>
      <c r="J164" s="7" t="str">
        <f ca="1"/>
        <v/>
      </c>
      <c r="K164" s="7" t="str">
        <f ca="1"/>
        <v/>
      </c>
      <c r="L164" s="7" t="str">
        <f ca="1"/>
        <v/>
      </c>
      <c r="M164" s="7" t="str">
        <f ca="1"/>
        <v/>
      </c>
      <c r="N164" s="7" t="str">
        <f ca="1"/>
        <v/>
      </c>
      <c r="O164" s="7" t="str">
        <f ca="1"/>
        <v/>
      </c>
      <c r="P164" s="7" t="str">
        <f ca="1"/>
        <v>AfZoomRatioInLiveView</v>
      </c>
      <c r="Q164" s="7" t="str">
        <f ca="1"/>
        <v/>
      </c>
      <c r="T164" s="7" t="str">
        <f ca="1"/>
        <v>Z8</v>
      </c>
      <c r="U164" s="7" t="str">
        <f ca="1"/>
        <v>0xD138</v>
      </c>
      <c r="V164" s="7" t="str">
        <f ca="1"/>
        <v>VibrationReduction</v>
      </c>
      <c r="X164" s="8" t="s">
        <v>551</v>
      </c>
      <c r="Y164" s="8" t="s">
        <v>551</v>
      </c>
      <c r="Z164" s="8" t="s">
        <v>577</v>
      </c>
      <c r="AA164" s="8" t="s">
        <v>577</v>
      </c>
      <c r="AB164" s="7" t="s">
        <v>1522</v>
      </c>
      <c r="AC164" s="7" t="s">
        <v>571</v>
      </c>
      <c r="AD164" s="7" t="s">
        <v>571</v>
      </c>
      <c r="AE164" s="7" t="s">
        <v>571</v>
      </c>
      <c r="AF164" s="7" t="s">
        <v>541</v>
      </c>
      <c r="AG164" s="7" t="s">
        <v>537</v>
      </c>
      <c r="AH164" s="7" t="s">
        <v>1197</v>
      </c>
      <c r="AI164" s="7" t="s">
        <v>557</v>
      </c>
      <c r="AJ164" s="7" t="s">
        <v>537</v>
      </c>
      <c r="AK164" s="7" t="s">
        <v>545</v>
      </c>
    </row>
    <row r="165" spans="1:37" x14ac:dyDescent="0.25">
      <c r="A165" s="13" t="str">
        <f ca="1"/>
        <v>0xD0B4</v>
      </c>
      <c r="B165" s="14" t="str">
        <f ca="1"/>
        <v>ExposureIndexEx</v>
      </c>
      <c r="D165" s="8" t="str">
        <f ca="1"/>
        <v>ExposureIndexEx</v>
      </c>
      <c r="E165" s="8" t="str">
        <f ca="1"/>
        <v>ExposureIndexEx</v>
      </c>
      <c r="F165" s="8" t="str">
        <f ca="1"/>
        <v>ExposureIndexEx</v>
      </c>
      <c r="G165" s="8" t="str">
        <f ca="1"/>
        <v>ExposureIndexEx</v>
      </c>
      <c r="H165" s="7" t="str">
        <f ca="1"/>
        <v>ExposureIndexEx</v>
      </c>
      <c r="I165" s="7" t="str">
        <f ca="1"/>
        <v>ExposureIndexEx</v>
      </c>
      <c r="J165" s="7" t="str">
        <f ca="1"/>
        <v>ExposureIndexEx</v>
      </c>
      <c r="K165" s="7" t="str">
        <f ca="1"/>
        <v>ExposureIndexEx</v>
      </c>
      <c r="L165" s="7" t="str">
        <f ca="1"/>
        <v>ExposureIndexEx</v>
      </c>
      <c r="M165" s="7" t="str">
        <f ca="1"/>
        <v>ExposureIndexEx</v>
      </c>
      <c r="N165" s="7" t="str">
        <f ca="1"/>
        <v>ExposureIndexEx</v>
      </c>
      <c r="O165" s="7" t="str">
        <f ca="1"/>
        <v>ExposureIndexEx</v>
      </c>
      <c r="P165" s="7" t="str">
        <f ca="1"/>
        <v/>
      </c>
      <c r="Q165" s="7" t="str">
        <f ca="1"/>
        <v/>
      </c>
      <c r="T165" s="7" t="str">
        <f ca="1"/>
        <v>Z8</v>
      </c>
      <c r="U165" s="7" t="str">
        <f ca="1"/>
        <v>0xD141</v>
      </c>
      <c r="V165" s="7" t="str">
        <f ca="1"/>
        <v>WbAutoType</v>
      </c>
      <c r="X165" s="8" t="s">
        <v>552</v>
      </c>
      <c r="Y165" s="8" t="s">
        <v>552</v>
      </c>
      <c r="Z165" s="8" t="s">
        <v>578</v>
      </c>
      <c r="AA165" s="8" t="s">
        <v>578</v>
      </c>
      <c r="AB165" s="7" t="s">
        <v>588</v>
      </c>
      <c r="AC165" s="7" t="s">
        <v>572</v>
      </c>
      <c r="AD165" s="7" t="s">
        <v>572</v>
      </c>
      <c r="AE165" s="7" t="s">
        <v>572</v>
      </c>
      <c r="AF165" s="7" t="s">
        <v>542</v>
      </c>
      <c r="AG165" s="7" t="s">
        <v>538</v>
      </c>
      <c r="AH165" s="7" t="s">
        <v>540</v>
      </c>
      <c r="AI165" s="7" t="s">
        <v>558</v>
      </c>
      <c r="AJ165" s="7" t="s">
        <v>538</v>
      </c>
      <c r="AK165" s="7" t="s">
        <v>546</v>
      </c>
    </row>
    <row r="166" spans="1:37" x14ac:dyDescent="0.25">
      <c r="A166" s="13" t="str">
        <f ca="1"/>
        <v>0xD0B5</v>
      </c>
      <c r="B166" s="14" t="str">
        <f ca="1"/>
        <v>ISOControlSensitivity</v>
      </c>
      <c r="D166" s="8" t="str">
        <f ca="1"/>
        <v>ISOControlSensitivity</v>
      </c>
      <c r="E166" s="8" t="str">
        <f ca="1"/>
        <v>ISOControlSensitivity</v>
      </c>
      <c r="F166" s="8" t="str">
        <f ca="1"/>
        <v>ISOControlSensitivity</v>
      </c>
      <c r="G166" s="8" t="str">
        <f ca="1"/>
        <v>ISOControlSensitivity</v>
      </c>
      <c r="H166" s="7" t="str">
        <f ca="1"/>
        <v>ISOControlSensitivity</v>
      </c>
      <c r="I166" s="7" t="str">
        <f ca="1"/>
        <v>ISOControlSensitivity</v>
      </c>
      <c r="J166" s="7" t="str">
        <f ca="1"/>
        <v>ISOControlSensitivity</v>
      </c>
      <c r="K166" s="7" t="str">
        <f ca="1"/>
        <v>ISOControlSensitivity</v>
      </c>
      <c r="L166" s="7" t="str">
        <f ca="1"/>
        <v>ISOControlSensitivity</v>
      </c>
      <c r="M166" s="7" t="str">
        <f ca="1"/>
        <v>ISOControlSensitivity</v>
      </c>
      <c r="N166" s="7" t="str">
        <f ca="1"/>
        <v>ISOControlSensitivity</v>
      </c>
      <c r="O166" s="7" t="str">
        <f ca="1"/>
        <v/>
      </c>
      <c r="P166" s="7" t="str">
        <f ca="1"/>
        <v/>
      </c>
      <c r="Q166" s="7" t="str">
        <f ca="1"/>
        <v/>
      </c>
      <c r="T166" s="7" t="str">
        <f ca="1"/>
        <v>Z8</v>
      </c>
      <c r="U166" s="7" t="str">
        <f ca="1"/>
        <v>0xD148</v>
      </c>
      <c r="V166" s="7" t="str">
        <f ca="1"/>
        <v>Slot2ImageSaveMode</v>
      </c>
      <c r="X166" s="8" t="s">
        <v>553</v>
      </c>
      <c r="Y166" s="8" t="s">
        <v>553</v>
      </c>
      <c r="Z166" s="8" t="s">
        <v>579</v>
      </c>
      <c r="AA166" s="8" t="s">
        <v>579</v>
      </c>
      <c r="AB166" s="7" t="s">
        <v>589</v>
      </c>
      <c r="AC166" s="7" t="s">
        <v>573</v>
      </c>
      <c r="AD166" s="7" t="s">
        <v>573</v>
      </c>
      <c r="AE166" s="7" t="s">
        <v>573</v>
      </c>
      <c r="AF166" s="7" t="s">
        <v>543</v>
      </c>
      <c r="AG166" s="7" t="s">
        <v>1197</v>
      </c>
      <c r="AH166" s="7" t="s">
        <v>541</v>
      </c>
      <c r="AI166" s="7" t="s">
        <v>559</v>
      </c>
      <c r="AJ166" s="7" t="s">
        <v>1197</v>
      </c>
      <c r="AK166" s="7" t="s">
        <v>547</v>
      </c>
    </row>
    <row r="167" spans="1:37" x14ac:dyDescent="0.25">
      <c r="A167" s="13" t="str">
        <f ca="1"/>
        <v>0xD0B6</v>
      </c>
      <c r="B167" s="14" t="str">
        <f ca="1"/>
        <v>RawImageSize</v>
      </c>
      <c r="D167" s="8" t="str">
        <f ca="1"/>
        <v/>
      </c>
      <c r="E167" s="8" t="str">
        <f ca="1"/>
        <v/>
      </c>
      <c r="F167" s="8" t="str">
        <f ca="1"/>
        <v>RawImageSize</v>
      </c>
      <c r="G167" s="8" t="str">
        <f ca="1"/>
        <v>RawImageSize</v>
      </c>
      <c r="H167" s="7" t="str">
        <f ca="1"/>
        <v/>
      </c>
      <c r="I167" s="7" t="str">
        <f ca="1"/>
        <v>RawImageSize</v>
      </c>
      <c r="J167" s="7" t="str">
        <f ca="1"/>
        <v>RawImageSize</v>
      </c>
      <c r="K167" s="7" t="str">
        <f ca="1"/>
        <v/>
      </c>
      <c r="L167" s="7" t="str">
        <f ca="1"/>
        <v>RawImageSize</v>
      </c>
      <c r="M167" s="7" t="str">
        <f ca="1"/>
        <v>RawImageSize</v>
      </c>
      <c r="N167" s="7" t="str">
        <f ca="1"/>
        <v>RawImageSize</v>
      </c>
      <c r="O167" s="7" t="str">
        <f ca="1"/>
        <v/>
      </c>
      <c r="P167" s="7" t="str">
        <f ca="1"/>
        <v/>
      </c>
      <c r="Q167" s="7" t="str">
        <f ca="1"/>
        <v/>
      </c>
      <c r="T167" s="7" t="str">
        <f ca="1"/>
        <v>Z8</v>
      </c>
      <c r="U167" s="7" t="str">
        <f ca="1"/>
        <v>0xD14E</v>
      </c>
      <c r="V167" s="7" t="str">
        <f ca="1"/>
        <v>Active</v>
      </c>
      <c r="X167" s="8" t="s">
        <v>554</v>
      </c>
      <c r="Y167" s="8" t="s">
        <v>554</v>
      </c>
      <c r="Z167" s="8" t="s">
        <v>582</v>
      </c>
      <c r="AA167" s="8" t="s">
        <v>582</v>
      </c>
      <c r="AB167" s="7" t="s">
        <v>590</v>
      </c>
      <c r="AC167" s="7" t="s">
        <v>574</v>
      </c>
      <c r="AD167" s="7" t="s">
        <v>574</v>
      </c>
      <c r="AE167" s="7" t="s">
        <v>574</v>
      </c>
      <c r="AF167" s="7" t="s">
        <v>544</v>
      </c>
      <c r="AG167" s="7" t="s">
        <v>540</v>
      </c>
      <c r="AH167" s="7" t="s">
        <v>542</v>
      </c>
      <c r="AI167" s="7" t="s">
        <v>560</v>
      </c>
      <c r="AJ167" s="7" t="s">
        <v>540</v>
      </c>
      <c r="AK167" s="7" t="s">
        <v>1772</v>
      </c>
    </row>
    <row r="168" spans="1:37" x14ac:dyDescent="0.25">
      <c r="A168" s="13" t="str">
        <f ca="1"/>
        <v>0xD0B7</v>
      </c>
      <c r="B168" s="14" t="str">
        <f ca="1"/>
        <v>FlickerReductionSetting</v>
      </c>
      <c r="D168" s="8" t="str">
        <f ca="1"/>
        <v>FlickerReductionSetting</v>
      </c>
      <c r="E168" s="8" t="str">
        <f ca="1"/>
        <v>FlickerReductionSetting</v>
      </c>
      <c r="F168" s="8" t="str">
        <f ca="1"/>
        <v>FlickerReductionSetting</v>
      </c>
      <c r="G168" s="8" t="str">
        <f ca="1"/>
        <v>FlickerReductionSetting</v>
      </c>
      <c r="H168" s="7" t="str">
        <f ca="1"/>
        <v>FlickerReductionSetting</v>
      </c>
      <c r="I168" s="7" t="str">
        <f ca="1"/>
        <v>FlickerReductionSetting</v>
      </c>
      <c r="J168" s="7" t="str">
        <f ca="1"/>
        <v>FlickerReductionSetting</v>
      </c>
      <c r="K168" s="7" t="str">
        <f ca="1"/>
        <v>FlickerReductionSetting</v>
      </c>
      <c r="L168" s="7" t="str">
        <f ca="1"/>
        <v>FlickerReductionSetting</v>
      </c>
      <c r="M168" s="7" t="str">
        <f ca="1"/>
        <v>FlickerReductionSetting</v>
      </c>
      <c r="N168" s="7" t="str">
        <f ca="1"/>
        <v/>
      </c>
      <c r="O168" s="7" t="str">
        <f ca="1"/>
        <v/>
      </c>
      <c r="P168" s="7" t="str">
        <f ca="1"/>
        <v/>
      </c>
      <c r="Q168" s="7" t="str">
        <f ca="1"/>
        <v/>
      </c>
      <c r="T168" s="7" t="str">
        <f ca="1"/>
        <v>Z8</v>
      </c>
      <c r="U168" s="7" t="str">
        <f ca="1"/>
        <v>0xD14F</v>
      </c>
      <c r="V168" s="7" t="str">
        <f ca="1"/>
        <v>WbFluorescentType</v>
      </c>
      <c r="X168" s="8" t="s">
        <v>555</v>
      </c>
      <c r="Y168" s="8" t="s">
        <v>555</v>
      </c>
      <c r="Z168" s="8" t="s">
        <v>583</v>
      </c>
      <c r="AA168" s="8" t="s">
        <v>583</v>
      </c>
      <c r="AB168" s="7" t="s">
        <v>591</v>
      </c>
      <c r="AC168" s="7" t="s">
        <v>575</v>
      </c>
      <c r="AD168" s="7" t="s">
        <v>575</v>
      </c>
      <c r="AE168" s="7" t="s">
        <v>575</v>
      </c>
      <c r="AF168" s="7" t="s">
        <v>545</v>
      </c>
      <c r="AG168" s="7" t="s">
        <v>541</v>
      </c>
      <c r="AH168" s="7" t="s">
        <v>543</v>
      </c>
      <c r="AI168" s="7" t="s">
        <v>561</v>
      </c>
      <c r="AJ168" s="7" t="s">
        <v>541</v>
      </c>
      <c r="AK168" s="7" t="s">
        <v>1773</v>
      </c>
    </row>
    <row r="169" spans="1:37" x14ac:dyDescent="0.25">
      <c r="A169" s="13" t="str">
        <f ca="1"/>
        <v>0xD0BA</v>
      </c>
      <c r="B169" s="14" t="str">
        <f ca="1"/>
        <v>DiffractionCompensation</v>
      </c>
      <c r="D169" s="8" t="str">
        <f ca="1"/>
        <v>DiffractionCompensation</v>
      </c>
      <c r="E169" s="8" t="str">
        <f ca="1"/>
        <v>DiffractionCompensation</v>
      </c>
      <c r="F169" s="8" t="str">
        <f ca="1"/>
        <v>DiffractionCompensation</v>
      </c>
      <c r="G169" s="8" t="str">
        <f ca="1"/>
        <v>DiffractionCompensation</v>
      </c>
      <c r="H169" s="7" t="str">
        <f ca="1"/>
        <v>DiffractionCompensation</v>
      </c>
      <c r="I169" s="7" t="str">
        <f ca="1"/>
        <v>DiffractionCompensation</v>
      </c>
      <c r="J169" s="7" t="str">
        <f ca="1"/>
        <v>DiffractionCompensation</v>
      </c>
      <c r="K169" s="7" t="str">
        <f ca="1"/>
        <v>DiffractionCompensation</v>
      </c>
      <c r="L169" s="7" t="str">
        <f ca="1"/>
        <v>DiffractionCompensation</v>
      </c>
      <c r="M169" s="7" t="str">
        <f ca="1"/>
        <v/>
      </c>
      <c r="N169" s="7" t="str">
        <f ca="1"/>
        <v/>
      </c>
      <c r="O169" s="7" t="str">
        <f ca="1"/>
        <v/>
      </c>
      <c r="P169" s="7" t="str">
        <f ca="1"/>
        <v/>
      </c>
      <c r="Q169" s="7" t="str">
        <f ca="1"/>
        <v/>
      </c>
      <c r="T169" s="7" t="str">
        <f ca="1"/>
        <v>Z8</v>
      </c>
      <c r="U169" s="7" t="str">
        <f ca="1"/>
        <v>0xD150</v>
      </c>
      <c r="V169" s="7" t="str">
        <f ca="1"/>
        <v>WbTuneColorTemp</v>
      </c>
      <c r="X169" s="8" t="s">
        <v>556</v>
      </c>
      <c r="Y169" s="8" t="s">
        <v>556</v>
      </c>
      <c r="Z169" s="8" t="s">
        <v>584</v>
      </c>
      <c r="AA169" s="8" t="s">
        <v>584</v>
      </c>
      <c r="AB169" s="7" t="s">
        <v>594</v>
      </c>
      <c r="AC169" s="7" t="s">
        <v>576</v>
      </c>
      <c r="AD169" s="7" t="s">
        <v>576</v>
      </c>
      <c r="AE169" s="7" t="s">
        <v>576</v>
      </c>
      <c r="AF169" s="7" t="s">
        <v>546</v>
      </c>
      <c r="AG169" s="7" t="s">
        <v>542</v>
      </c>
      <c r="AH169" s="7" t="s">
        <v>544</v>
      </c>
      <c r="AI169" s="7" t="s">
        <v>562</v>
      </c>
      <c r="AJ169" s="7" t="s">
        <v>542</v>
      </c>
      <c r="AK169" s="7" t="s">
        <v>1774</v>
      </c>
    </row>
    <row r="170" spans="1:37" x14ac:dyDescent="0.25">
      <c r="A170" s="13" t="str">
        <f ca="1"/>
        <v>0xD0BB</v>
      </c>
      <c r="B170" s="14" t="str">
        <f ca="1"/>
        <v>MovieLogOutput</v>
      </c>
      <c r="D170" s="8" t="str">
        <f ca="1"/>
        <v>MovieLogOutput</v>
      </c>
      <c r="E170" s="8" t="str">
        <f ca="1"/>
        <v>MovieLogOutput</v>
      </c>
      <c r="F170" s="8" t="str">
        <f ca="1"/>
        <v>MovieLogOutput</v>
      </c>
      <c r="G170" s="8" t="str">
        <f ca="1"/>
        <v>MovieLogOutput</v>
      </c>
      <c r="H170" s="7" t="str">
        <f ca="1"/>
        <v/>
      </c>
      <c r="I170" s="7" t="str">
        <f ca="1"/>
        <v>MovieLogOutput</v>
      </c>
      <c r="J170" s="7" t="str">
        <f ca="1"/>
        <v>MovieLogOutput</v>
      </c>
      <c r="K170" s="7" t="str">
        <f ca="1"/>
        <v/>
      </c>
      <c r="L170" s="7" t="str">
        <f ca="1"/>
        <v/>
      </c>
      <c r="M170" s="7" t="str">
        <f ca="1"/>
        <v/>
      </c>
      <c r="N170" s="7" t="str">
        <f ca="1"/>
        <v/>
      </c>
      <c r="O170" s="7" t="str">
        <f ca="1"/>
        <v/>
      </c>
      <c r="P170" s="7" t="str">
        <f ca="1"/>
        <v/>
      </c>
      <c r="Q170" s="7" t="str">
        <f ca="1"/>
        <v/>
      </c>
      <c r="T170" s="7" t="str">
        <f ca="1"/>
        <v>Z8</v>
      </c>
      <c r="U170" s="7" t="str">
        <f ca="1"/>
        <v>0xD152</v>
      </c>
      <c r="V170" s="7" t="str">
        <f ca="1"/>
        <v>WbTunePreset1</v>
      </c>
      <c r="X170" s="8" t="s">
        <v>557</v>
      </c>
      <c r="Y170" s="8" t="s">
        <v>557</v>
      </c>
      <c r="Z170" s="8" t="s">
        <v>585</v>
      </c>
      <c r="AA170" s="8" t="s">
        <v>585</v>
      </c>
      <c r="AB170" s="7" t="s">
        <v>595</v>
      </c>
      <c r="AC170" s="7" t="s">
        <v>577</v>
      </c>
      <c r="AD170" s="7" t="s">
        <v>577</v>
      </c>
      <c r="AE170" s="7" t="s">
        <v>577</v>
      </c>
      <c r="AF170" s="7" t="s">
        <v>547</v>
      </c>
      <c r="AG170" s="7" t="s">
        <v>543</v>
      </c>
      <c r="AH170" s="7" t="s">
        <v>545</v>
      </c>
      <c r="AI170" s="7" t="s">
        <v>563</v>
      </c>
      <c r="AJ170" s="7" t="s">
        <v>543</v>
      </c>
      <c r="AK170" s="7" t="s">
        <v>1775</v>
      </c>
    </row>
    <row r="171" spans="1:37" x14ac:dyDescent="0.25">
      <c r="A171" s="13" t="str">
        <f ca="1"/>
        <v>0xD0BC</v>
      </c>
      <c r="B171" s="14" t="str">
        <f ca="1"/>
        <v>MovieAutoDistortion</v>
      </c>
      <c r="D171" s="8" t="str">
        <f ca="1"/>
        <v>MovieAutoDistortion</v>
      </c>
      <c r="E171" s="8" t="str">
        <f ca="1"/>
        <v>MovieAutoDistortion</v>
      </c>
      <c r="F171" s="8" t="str">
        <f ca="1"/>
        <v>MovieAutoDistortion</v>
      </c>
      <c r="G171" s="8" t="str">
        <f ca="1"/>
        <v>MovieAutoDistortion</v>
      </c>
      <c r="H171" s="7" t="str">
        <f ca="1"/>
        <v>MovieAutoDistortion</v>
      </c>
      <c r="I171" s="7" t="str">
        <f ca="1"/>
        <v>MovieAutoDistortion</v>
      </c>
      <c r="J171" s="7" t="str">
        <f ca="1"/>
        <v>MovieAutoDistortion</v>
      </c>
      <c r="K171" s="7" t="str">
        <f ca="1"/>
        <v>MovieAutoDistortion</v>
      </c>
      <c r="L171" s="7" t="str">
        <f ca="1"/>
        <v/>
      </c>
      <c r="M171" s="7" t="str">
        <f ca="1"/>
        <v/>
      </c>
      <c r="N171" s="7" t="str">
        <f ca="1"/>
        <v/>
      </c>
      <c r="O171" s="7" t="str">
        <f ca="1"/>
        <v/>
      </c>
      <c r="P171" s="7" t="str">
        <f ca="1"/>
        <v/>
      </c>
      <c r="Q171" s="7" t="str">
        <f ca="1"/>
        <v/>
      </c>
      <c r="T171" s="7" t="str">
        <f ca="1"/>
        <v>Z8</v>
      </c>
      <c r="U171" s="7" t="str">
        <f ca="1"/>
        <v>0xD153</v>
      </c>
      <c r="V171" s="7" t="str">
        <f ca="1"/>
        <v>WbTunePreset2</v>
      </c>
      <c r="X171" s="8" t="s">
        <v>558</v>
      </c>
      <c r="Y171" s="8" t="s">
        <v>558</v>
      </c>
      <c r="Z171" s="8" t="s">
        <v>588</v>
      </c>
      <c r="AA171" s="8" t="s">
        <v>588</v>
      </c>
      <c r="AB171" s="7" t="s">
        <v>1198</v>
      </c>
      <c r="AC171" s="7" t="s">
        <v>578</v>
      </c>
      <c r="AD171" s="7" t="s">
        <v>578</v>
      </c>
      <c r="AE171" s="7" t="s">
        <v>578</v>
      </c>
      <c r="AF171" s="7" t="s">
        <v>548</v>
      </c>
      <c r="AG171" s="7" t="s">
        <v>544</v>
      </c>
      <c r="AH171" s="7" t="s">
        <v>546</v>
      </c>
      <c r="AI171" s="7" t="s">
        <v>564</v>
      </c>
      <c r="AJ171" s="7" t="s">
        <v>544</v>
      </c>
      <c r="AK171" s="7" t="s">
        <v>1776</v>
      </c>
    </row>
    <row r="172" spans="1:37" x14ac:dyDescent="0.25">
      <c r="A172" s="13" t="str">
        <f ca="1"/>
        <v>0xD0BE</v>
      </c>
      <c r="B172" s="14" t="str">
        <f ca="1"/>
        <v>RemainingExposureTime</v>
      </c>
      <c r="D172" s="8" t="str">
        <f ca="1"/>
        <v>RemainingExposureTime</v>
      </c>
      <c r="E172" s="8" t="str">
        <f ca="1"/>
        <v>RemainingExposureTime</v>
      </c>
      <c r="F172" s="8" t="str">
        <f ca="1"/>
        <v>RemainingExposureTime</v>
      </c>
      <c r="G172" s="8" t="str">
        <f ca="1"/>
        <v>RemainingExposureTime</v>
      </c>
      <c r="H172" s="7" t="str">
        <f ca="1"/>
        <v/>
      </c>
      <c r="I172" s="7" t="str">
        <f ca="1"/>
        <v/>
      </c>
      <c r="J172" s="7" t="str">
        <f ca="1"/>
        <v/>
      </c>
      <c r="K172" s="7" t="str">
        <f ca="1"/>
        <v/>
      </c>
      <c r="L172" s="7" t="str">
        <f ca="1"/>
        <v>RemainingExposureTime</v>
      </c>
      <c r="M172" s="7" t="str">
        <f ca="1"/>
        <v/>
      </c>
      <c r="N172" s="7" t="str">
        <f ca="1"/>
        <v/>
      </c>
      <c r="O172" s="7" t="str">
        <f ca="1"/>
        <v/>
      </c>
      <c r="P172" s="7" t="str">
        <f ca="1"/>
        <v/>
      </c>
      <c r="Q172" s="7" t="str">
        <f ca="1"/>
        <v/>
      </c>
      <c r="T172" s="7" t="str">
        <f ca="1"/>
        <v>Z8</v>
      </c>
      <c r="U172" s="7" t="str">
        <f ca="1"/>
        <v>0xD154</v>
      </c>
      <c r="V172" s="7" t="str">
        <f ca="1"/>
        <v>WbTunePreset3</v>
      </c>
      <c r="X172" s="8" t="s">
        <v>559</v>
      </c>
      <c r="Y172" s="8" t="s">
        <v>559</v>
      </c>
      <c r="Z172" s="8" t="s">
        <v>589</v>
      </c>
      <c r="AA172" s="8" t="s">
        <v>589</v>
      </c>
      <c r="AB172" s="7" t="s">
        <v>1199</v>
      </c>
      <c r="AC172" s="7" t="s">
        <v>579</v>
      </c>
      <c r="AD172" s="7" t="s">
        <v>579</v>
      </c>
      <c r="AE172" s="7" t="s">
        <v>579</v>
      </c>
      <c r="AF172" s="7" t="s">
        <v>549</v>
      </c>
      <c r="AG172" s="7" t="s">
        <v>545</v>
      </c>
      <c r="AH172" s="7" t="s">
        <v>547</v>
      </c>
      <c r="AI172" s="7" t="s">
        <v>565</v>
      </c>
      <c r="AJ172" s="7" t="s">
        <v>545</v>
      </c>
      <c r="AK172" s="7" t="s">
        <v>1777</v>
      </c>
    </row>
    <row r="173" spans="1:37" x14ac:dyDescent="0.25">
      <c r="A173" s="13" t="str">
        <f ca="1"/>
        <v>0xD0BF</v>
      </c>
      <c r="B173" s="14" t="str">
        <f ca="1"/>
        <v>MovieLogSetting</v>
      </c>
      <c r="D173" s="8" t="str">
        <f ca="1"/>
        <v/>
      </c>
      <c r="E173" s="8" t="str">
        <f ca="1"/>
        <v/>
      </c>
      <c r="F173" s="8" t="str">
        <f ca="1"/>
        <v>MovieLogSetting</v>
      </c>
      <c r="G173" s="8" t="str">
        <f ca="1"/>
        <v>MovieLogSetting</v>
      </c>
      <c r="H173" s="7" t="str">
        <f ca="1"/>
        <v/>
      </c>
      <c r="I173" s="7" t="str">
        <f ca="1"/>
        <v>MovieLogSetting</v>
      </c>
      <c r="J173" s="7" t="str">
        <f ca="1"/>
        <v>MovieLogSetting</v>
      </c>
      <c r="K173" s="7" t="str">
        <f ca="1"/>
        <v/>
      </c>
      <c r="L173" s="7" t="str">
        <f ca="1"/>
        <v/>
      </c>
      <c r="M173" s="7" t="str">
        <f ca="1"/>
        <v/>
      </c>
      <c r="N173" s="7" t="str">
        <f ca="1"/>
        <v/>
      </c>
      <c r="O173" s="7" t="str">
        <f ca="1"/>
        <v/>
      </c>
      <c r="P173" s="7" t="str">
        <f ca="1"/>
        <v/>
      </c>
      <c r="Q173" s="7" t="str">
        <f ca="1"/>
        <v/>
      </c>
      <c r="T173" s="7" t="str">
        <f ca="1"/>
        <v>Z8</v>
      </c>
      <c r="U173" s="7" t="str">
        <f ca="1"/>
        <v>0xD155</v>
      </c>
      <c r="V173" s="7" t="str">
        <f ca="1"/>
        <v>WbTunePreset4</v>
      </c>
      <c r="X173" s="8" t="s">
        <v>560</v>
      </c>
      <c r="Y173" s="8" t="s">
        <v>560</v>
      </c>
      <c r="Z173" s="8" t="s">
        <v>590</v>
      </c>
      <c r="AA173" s="8" t="s">
        <v>590</v>
      </c>
      <c r="AB173" s="7" t="s">
        <v>596</v>
      </c>
      <c r="AC173" s="7" t="s">
        <v>582</v>
      </c>
      <c r="AD173" s="7" t="s">
        <v>582</v>
      </c>
      <c r="AE173" s="7" t="s">
        <v>582</v>
      </c>
      <c r="AF173" s="7" t="s">
        <v>550</v>
      </c>
      <c r="AG173" s="7" t="s">
        <v>546</v>
      </c>
      <c r="AH173" s="7" t="s">
        <v>548</v>
      </c>
      <c r="AI173" s="7" t="s">
        <v>566</v>
      </c>
      <c r="AJ173" s="7" t="s">
        <v>546</v>
      </c>
      <c r="AK173" s="7" t="s">
        <v>548</v>
      </c>
    </row>
    <row r="174" spans="1:37" x14ac:dyDescent="0.25">
      <c r="A174" s="13" t="str">
        <f ca="1"/>
        <v>0xD0C0</v>
      </c>
      <c r="B174" s="14" t="str">
        <f ca="1"/>
        <v>EnableBracketing</v>
      </c>
      <c r="D174" s="8" t="str">
        <f ca="1"/>
        <v>EnableBracketing</v>
      </c>
      <c r="E174" s="8" t="str">
        <f ca="1"/>
        <v>EnableBracketing</v>
      </c>
      <c r="F174" s="8" t="str">
        <f ca="1"/>
        <v>EnableBracketing</v>
      </c>
      <c r="G174" s="8" t="str">
        <f ca="1"/>
        <v>EnableBracketing</v>
      </c>
      <c r="H174" s="7" t="str">
        <f ca="1"/>
        <v>EnableBracketing</v>
      </c>
      <c r="I174" s="7" t="str">
        <f ca="1"/>
        <v>EnableBracketing</v>
      </c>
      <c r="J174" s="7" t="str">
        <f ca="1"/>
        <v>EnableBracketing</v>
      </c>
      <c r="K174" s="7" t="str">
        <f ca="1"/>
        <v>EnableBracketing</v>
      </c>
      <c r="L174" s="7" t="str">
        <f ca="1"/>
        <v>EnableBracketing</v>
      </c>
      <c r="M174" s="7" t="str">
        <f ca="1"/>
        <v>EnableBracketing</v>
      </c>
      <c r="N174" s="7" t="str">
        <f ca="1"/>
        <v>EnableBracketing</v>
      </c>
      <c r="O174" s="7" t="str">
        <f ca="1"/>
        <v>EnableBracketing</v>
      </c>
      <c r="P174" s="7" t="str">
        <f ca="1"/>
        <v>EnableBracketing</v>
      </c>
      <c r="Q174" s="7" t="str">
        <f ca="1"/>
        <v>EnableBracketing</v>
      </c>
      <c r="T174" s="7" t="str">
        <f ca="1"/>
        <v>Z8</v>
      </c>
      <c r="U174" s="7" t="str">
        <f ca="1"/>
        <v>0xD156</v>
      </c>
      <c r="V174" s="7" t="str">
        <f ca="1"/>
        <v>PrimarySlot</v>
      </c>
      <c r="X174" s="8" t="s">
        <v>561</v>
      </c>
      <c r="Y174" s="8" t="s">
        <v>561</v>
      </c>
      <c r="Z174" s="8" t="s">
        <v>591</v>
      </c>
      <c r="AA174" s="8" t="s">
        <v>591</v>
      </c>
      <c r="AB174" s="7" t="s">
        <v>597</v>
      </c>
      <c r="AC174" s="7" t="s">
        <v>583</v>
      </c>
      <c r="AD174" s="7" t="s">
        <v>583</v>
      </c>
      <c r="AE174" s="7" t="s">
        <v>583</v>
      </c>
      <c r="AF174" s="7" t="s">
        <v>551</v>
      </c>
      <c r="AG174" s="7" t="s">
        <v>547</v>
      </c>
      <c r="AH174" s="7" t="s">
        <v>549</v>
      </c>
      <c r="AI174" s="7" t="s">
        <v>567</v>
      </c>
      <c r="AJ174" s="7" t="s">
        <v>547</v>
      </c>
      <c r="AK174" s="7" t="s">
        <v>549</v>
      </c>
    </row>
    <row r="175" spans="1:37" x14ac:dyDescent="0.25">
      <c r="A175" s="13" t="str">
        <f ca="1"/>
        <v>0xD0C1</v>
      </c>
      <c r="B175" s="14" t="str">
        <f ca="1"/>
        <v>AEBracketingStep</v>
      </c>
      <c r="D175" s="8" t="str">
        <f ca="1"/>
        <v>AEBracketingStep</v>
      </c>
      <c r="E175" s="8" t="str">
        <f ca="1"/>
        <v>AEBracketingStep</v>
      </c>
      <c r="F175" s="8" t="str">
        <f ca="1"/>
        <v>AEBracketingStep</v>
      </c>
      <c r="G175" s="8" t="str">
        <f ca="1"/>
        <v>AEBracketingStep</v>
      </c>
      <c r="H175" s="7" t="str">
        <f ca="1"/>
        <v>AEBracketingStep</v>
      </c>
      <c r="I175" s="7" t="str">
        <f ca="1"/>
        <v>AEBracketingStep</v>
      </c>
      <c r="J175" s="7" t="str">
        <f ca="1"/>
        <v>AEBracketingStep</v>
      </c>
      <c r="K175" s="7" t="str">
        <f ca="1"/>
        <v>AEBracketingStep</v>
      </c>
      <c r="L175" s="7" t="str">
        <f ca="1"/>
        <v>AEBracketingStep</v>
      </c>
      <c r="M175" s="7" t="str">
        <f ca="1"/>
        <v>AEBracketingStep</v>
      </c>
      <c r="N175" s="7" t="str">
        <f ca="1"/>
        <v>AEBracketingStep</v>
      </c>
      <c r="O175" s="7" t="str">
        <f ca="1"/>
        <v>AEBracketingStep</v>
      </c>
      <c r="P175" s="7" t="str">
        <f ca="1"/>
        <v>AEBracketingStep</v>
      </c>
      <c r="Q175" s="7" t="str">
        <f ca="1"/>
        <v>AEBracketingStep</v>
      </c>
      <c r="T175" s="7" t="str">
        <f ca="1"/>
        <v>Z8</v>
      </c>
      <c r="U175" s="7" t="str">
        <f ca="1"/>
        <v>0xD158</v>
      </c>
      <c r="V175" s="7" t="str">
        <f ca="1"/>
        <v>WbPresetProtect1</v>
      </c>
      <c r="X175" s="8" t="s">
        <v>562</v>
      </c>
      <c r="Y175" s="8" t="s">
        <v>562</v>
      </c>
      <c r="Z175" s="8" t="s">
        <v>592</v>
      </c>
      <c r="AA175" s="8" t="s">
        <v>592</v>
      </c>
      <c r="AB175" s="7" t="s">
        <v>598</v>
      </c>
      <c r="AC175" s="7" t="s">
        <v>584</v>
      </c>
      <c r="AD175" s="7" t="s">
        <v>584</v>
      </c>
      <c r="AE175" s="7" t="s">
        <v>584</v>
      </c>
      <c r="AF175" s="7" t="s">
        <v>552</v>
      </c>
      <c r="AG175" s="7" t="s">
        <v>548</v>
      </c>
      <c r="AH175" s="7" t="s">
        <v>550</v>
      </c>
      <c r="AI175" s="7" t="s">
        <v>568</v>
      </c>
      <c r="AJ175" s="7" t="s">
        <v>1772</v>
      </c>
      <c r="AK175" s="7" t="s">
        <v>554</v>
      </c>
    </row>
    <row r="176" spans="1:37" x14ac:dyDescent="0.25">
      <c r="A176" s="13" t="str">
        <f ca="1"/>
        <v>0xD0C2</v>
      </c>
      <c r="B176" s="14" t="str">
        <f ca="1"/>
        <v>AEBracketingPattern</v>
      </c>
      <c r="D176" s="8" t="str">
        <f ca="1"/>
        <v>AEBracketingPattern</v>
      </c>
      <c r="E176" s="8" t="str">
        <f ca="1"/>
        <v>AEBracketingPattern</v>
      </c>
      <c r="F176" s="8" t="str">
        <f ca="1"/>
        <v>AEBracketingPattern</v>
      </c>
      <c r="G176" s="8" t="str">
        <f ca="1"/>
        <v>AEBracketingPattern</v>
      </c>
      <c r="H176" s="7" t="str">
        <f ca="1"/>
        <v>AEBracketingPattern</v>
      </c>
      <c r="I176" s="7" t="str">
        <f ca="1"/>
        <v>AEBracketingPattern</v>
      </c>
      <c r="J176" s="7" t="str">
        <f ca="1"/>
        <v>AEBracketingPattern</v>
      </c>
      <c r="K176" s="7" t="str">
        <f ca="1"/>
        <v>AEBracketingPattern</v>
      </c>
      <c r="L176" s="7" t="str">
        <f ca="1"/>
        <v>AEBracketingPattern</v>
      </c>
      <c r="M176" s="7" t="str">
        <f ca="1"/>
        <v>AEBracketingPattern</v>
      </c>
      <c r="N176" s="7" t="str">
        <f ca="1"/>
        <v>AEBracketingPattern</v>
      </c>
      <c r="O176" s="7" t="str">
        <f ca="1"/>
        <v>AEBracketingPattern</v>
      </c>
      <c r="P176" s="7" t="str">
        <f ca="1"/>
        <v>AEBracketingPattern</v>
      </c>
      <c r="Q176" s="7" t="str">
        <f ca="1"/>
        <v>AEBracketingPattern</v>
      </c>
      <c r="T176" s="7" t="str">
        <f ca="1"/>
        <v>Z8</v>
      </c>
      <c r="U176" s="7" t="str">
        <f ca="1"/>
        <v>0xD159</v>
      </c>
      <c r="V176" s="7" t="str">
        <f ca="1"/>
        <v>WbPresetProtect2</v>
      </c>
      <c r="X176" s="8" t="s">
        <v>563</v>
      </c>
      <c r="Y176" s="8" t="s">
        <v>563</v>
      </c>
      <c r="Z176" s="8" t="s">
        <v>593</v>
      </c>
      <c r="AA176" s="8" t="s">
        <v>593</v>
      </c>
      <c r="AB176" s="7" t="s">
        <v>599</v>
      </c>
      <c r="AC176" s="7" t="s">
        <v>585</v>
      </c>
      <c r="AD176" s="7" t="s">
        <v>585</v>
      </c>
      <c r="AE176" s="7" t="s">
        <v>585</v>
      </c>
      <c r="AF176" s="7" t="s">
        <v>553</v>
      </c>
      <c r="AG176" s="7" t="s">
        <v>549</v>
      </c>
      <c r="AH176" s="7" t="s">
        <v>551</v>
      </c>
      <c r="AI176" s="7" t="s">
        <v>569</v>
      </c>
      <c r="AJ176" s="7" t="s">
        <v>1773</v>
      </c>
      <c r="AK176" s="7" t="s">
        <v>555</v>
      </c>
    </row>
    <row r="177" spans="1:37" x14ac:dyDescent="0.25">
      <c r="A177" s="13" t="str">
        <f ca="1"/>
        <v>0xD0C3</v>
      </c>
      <c r="B177" s="14" t="str">
        <f ca="1"/>
        <v>AEBracketingCount</v>
      </c>
      <c r="D177" s="8" t="str">
        <f ca="1"/>
        <v>AEBracketingCount</v>
      </c>
      <c r="E177" s="8" t="str">
        <f ca="1"/>
        <v>AEBracketingCount</v>
      </c>
      <c r="F177" s="8" t="str">
        <f ca="1"/>
        <v>AEBracketingCount</v>
      </c>
      <c r="G177" s="8" t="str">
        <f ca="1"/>
        <v>AEBracketingCount</v>
      </c>
      <c r="H177" s="7" t="str">
        <f ca="1"/>
        <v>AEBracketingCount</v>
      </c>
      <c r="I177" s="7" t="str">
        <f ca="1"/>
        <v>AEBracketingCount</v>
      </c>
      <c r="J177" s="7" t="str">
        <f ca="1"/>
        <v>AEBracketingCount</v>
      </c>
      <c r="K177" s="7" t="str">
        <f ca="1"/>
        <v>AEBracketingCount</v>
      </c>
      <c r="L177" s="7" t="str">
        <f ca="1"/>
        <v>AEBracketingCount</v>
      </c>
      <c r="M177" s="7" t="str">
        <f ca="1"/>
        <v>AEBracketingCount</v>
      </c>
      <c r="N177" s="7" t="str">
        <f ca="1"/>
        <v>AEBracketingCount</v>
      </c>
      <c r="O177" s="7" t="str">
        <f ca="1"/>
        <v>AEBracketingCount</v>
      </c>
      <c r="P177" s="7" t="str">
        <f ca="1"/>
        <v>AEBracketingCount</v>
      </c>
      <c r="Q177" s="7" t="str">
        <f ca="1"/>
        <v>AEBracketingCount</v>
      </c>
      <c r="T177" s="7" t="str">
        <f ca="1"/>
        <v>Z8</v>
      </c>
      <c r="U177" s="7" t="str">
        <f ca="1"/>
        <v>0xD15A</v>
      </c>
      <c r="V177" s="7" t="str">
        <f ca="1"/>
        <v>WbPresetProtect3</v>
      </c>
      <c r="X177" s="8" t="s">
        <v>564</v>
      </c>
      <c r="Y177" s="8" t="s">
        <v>564</v>
      </c>
      <c r="Z177" s="8" t="s">
        <v>594</v>
      </c>
      <c r="AA177" s="8" t="s">
        <v>594</v>
      </c>
      <c r="AB177" s="7" t="s">
        <v>600</v>
      </c>
      <c r="AC177" s="7" t="s">
        <v>1521</v>
      </c>
      <c r="AD177" s="7" t="s">
        <v>1521</v>
      </c>
      <c r="AE177" s="7" t="s">
        <v>1521</v>
      </c>
      <c r="AF177" s="7" t="s">
        <v>554</v>
      </c>
      <c r="AG177" s="7" t="s">
        <v>550</v>
      </c>
      <c r="AH177" s="7" t="s">
        <v>552</v>
      </c>
      <c r="AI177" s="7" t="s">
        <v>1708</v>
      </c>
      <c r="AJ177" s="7" t="s">
        <v>1774</v>
      </c>
      <c r="AK177" s="7" t="s">
        <v>556</v>
      </c>
    </row>
    <row r="178" spans="1:37" x14ac:dyDescent="0.25">
      <c r="A178" s="13" t="str">
        <f ca="1"/>
        <v>0xD0C4</v>
      </c>
      <c r="B178" s="14" t="str">
        <f ca="1"/>
        <v>WBBracketingStep</v>
      </c>
      <c r="D178" s="8" t="str">
        <f ca="1"/>
        <v>WBBracketingStep</v>
      </c>
      <c r="E178" s="8" t="str">
        <f ca="1"/>
        <v>WBBracketingStep</v>
      </c>
      <c r="F178" s="8" t="str">
        <f ca="1"/>
        <v>WBBracketingStep</v>
      </c>
      <c r="G178" s="8" t="str">
        <f ca="1"/>
        <v>WBBracketingStep</v>
      </c>
      <c r="H178" s="7" t="str">
        <f ca="1"/>
        <v>WBBracketingStep</v>
      </c>
      <c r="I178" s="7" t="str">
        <f ca="1"/>
        <v>WBBracketingStep</v>
      </c>
      <c r="J178" s="7" t="str">
        <f ca="1"/>
        <v>WBBracketingStep</v>
      </c>
      <c r="K178" s="7" t="str">
        <f ca="1"/>
        <v>WBBracketingStep</v>
      </c>
      <c r="L178" s="7" t="str">
        <f ca="1"/>
        <v>WBBracketingStep</v>
      </c>
      <c r="M178" s="7" t="str">
        <f ca="1"/>
        <v>WBBracketingStep</v>
      </c>
      <c r="N178" s="7" t="str">
        <f ca="1"/>
        <v>WBBracketingStep</v>
      </c>
      <c r="O178" s="7" t="str">
        <f ca="1"/>
        <v>WBBracketingStep</v>
      </c>
      <c r="P178" s="7" t="str">
        <f ca="1"/>
        <v>WBBracketingStep</v>
      </c>
      <c r="Q178" s="7" t="str">
        <f ca="1"/>
        <v>WBBracketingStep</v>
      </c>
      <c r="T178" s="7" t="str">
        <f ca="1"/>
        <v>Z8</v>
      </c>
      <c r="U178" s="7" t="str">
        <f ca="1"/>
        <v>0xD15B</v>
      </c>
      <c r="V178" s="7" t="str">
        <f ca="1"/>
        <v>ActiveFolder</v>
      </c>
      <c r="X178" s="8" t="s">
        <v>565</v>
      </c>
      <c r="Y178" s="8" t="s">
        <v>565</v>
      </c>
      <c r="Z178" s="8" t="s">
        <v>595</v>
      </c>
      <c r="AA178" s="8" t="s">
        <v>595</v>
      </c>
      <c r="AB178" s="7" t="s">
        <v>601</v>
      </c>
      <c r="AC178" s="7" t="s">
        <v>1522</v>
      </c>
      <c r="AD178" s="7" t="s">
        <v>1522</v>
      </c>
      <c r="AE178" s="7" t="s">
        <v>1522</v>
      </c>
      <c r="AF178" s="7" t="s">
        <v>555</v>
      </c>
      <c r="AG178" s="7" t="s">
        <v>551</v>
      </c>
      <c r="AH178" s="7" t="s">
        <v>553</v>
      </c>
      <c r="AI178" s="7" t="s">
        <v>1733</v>
      </c>
      <c r="AJ178" s="7" t="s">
        <v>1775</v>
      </c>
      <c r="AK178" s="7" t="s">
        <v>557</v>
      </c>
    </row>
    <row r="179" spans="1:37" x14ac:dyDescent="0.25">
      <c r="A179" s="13" t="str">
        <f ca="1"/>
        <v>0xD0C5</v>
      </c>
      <c r="B179" s="14" t="str">
        <f ca="1"/>
        <v>WBBracketingPattern</v>
      </c>
      <c r="D179" s="8" t="str">
        <f ca="1"/>
        <v>WBBracketingPattern</v>
      </c>
      <c r="E179" s="8" t="str">
        <f ca="1"/>
        <v>WBBracketingPattern</v>
      </c>
      <c r="F179" s="8" t="str">
        <f ca="1"/>
        <v>WBBracketingPattern</v>
      </c>
      <c r="G179" s="8" t="str">
        <f ca="1"/>
        <v>WBBracketingPattern</v>
      </c>
      <c r="H179" s="7" t="str">
        <f ca="1"/>
        <v>WBBracketingPattern</v>
      </c>
      <c r="I179" s="7" t="str">
        <f ca="1"/>
        <v>WBBracketingPattern</v>
      </c>
      <c r="J179" s="7" t="str">
        <f ca="1"/>
        <v>WBBracketingPattern</v>
      </c>
      <c r="K179" s="7" t="str">
        <f ca="1"/>
        <v>WBBracketingPattern</v>
      </c>
      <c r="L179" s="7" t="str">
        <f ca="1"/>
        <v>WBBracketingPattern</v>
      </c>
      <c r="M179" s="7" t="str">
        <f ca="1"/>
        <v>WBBracketingPattern</v>
      </c>
      <c r="N179" s="7" t="str">
        <f ca="1"/>
        <v>WBBracketingPattern</v>
      </c>
      <c r="O179" s="7" t="str">
        <f ca="1"/>
        <v>WBBracketingPattern</v>
      </c>
      <c r="P179" s="7" t="str">
        <f ca="1"/>
        <v>WBBracketingPattern</v>
      </c>
      <c r="Q179" s="7" t="str">
        <f ca="1"/>
        <v>WBBracketingPattern</v>
      </c>
      <c r="T179" s="7" t="str">
        <f ca="1"/>
        <v>Z8</v>
      </c>
      <c r="U179" s="7" t="str">
        <f ca="1"/>
        <v>0xD15C</v>
      </c>
      <c r="V179" s="7" t="str">
        <f ca="1"/>
        <v>WbPresetProtect4</v>
      </c>
      <c r="X179" s="8" t="s">
        <v>566</v>
      </c>
      <c r="Y179" s="8" t="s">
        <v>566</v>
      </c>
      <c r="Z179" s="8" t="s">
        <v>1198</v>
      </c>
      <c r="AA179" s="8" t="s">
        <v>1198</v>
      </c>
      <c r="AB179" s="7" t="s">
        <v>602</v>
      </c>
      <c r="AC179" s="7" t="s">
        <v>588</v>
      </c>
      <c r="AD179" s="7" t="s">
        <v>588</v>
      </c>
      <c r="AE179" s="7" t="s">
        <v>588</v>
      </c>
      <c r="AF179" s="7" t="s">
        <v>556</v>
      </c>
      <c r="AG179" s="7" t="s">
        <v>552</v>
      </c>
      <c r="AH179" s="7" t="s">
        <v>554</v>
      </c>
      <c r="AI179" s="7" t="s">
        <v>570</v>
      </c>
      <c r="AJ179" s="7" t="s">
        <v>1776</v>
      </c>
      <c r="AK179" s="7" t="s">
        <v>1778</v>
      </c>
    </row>
    <row r="180" spans="1:37" x14ac:dyDescent="0.25">
      <c r="A180" s="13" t="str">
        <f ca="1"/>
        <v>0xD0C6</v>
      </c>
      <c r="B180" s="14" t="str">
        <f ca="1"/>
        <v>ADLBracketingPattern</v>
      </c>
      <c r="D180" s="8" t="str">
        <f ca="1"/>
        <v>ADLBracketingPattern</v>
      </c>
      <c r="E180" s="8" t="str">
        <f ca="1"/>
        <v>ADLBracketingPattern</v>
      </c>
      <c r="F180" s="8" t="str">
        <f ca="1"/>
        <v>ADLBracketingPattern</v>
      </c>
      <c r="G180" s="8" t="str">
        <f ca="1"/>
        <v>ADLBracketingPattern</v>
      </c>
      <c r="H180" s="7" t="str">
        <f ca="1"/>
        <v>ADLBracketingPattern</v>
      </c>
      <c r="I180" s="7" t="str">
        <f ca="1"/>
        <v>ADLBracketingPattern</v>
      </c>
      <c r="J180" s="7" t="str">
        <f ca="1"/>
        <v>ADLBracketingPattern</v>
      </c>
      <c r="K180" s="7" t="str">
        <f ca="1"/>
        <v>ADLBracketingPattern</v>
      </c>
      <c r="L180" s="7" t="str">
        <f ca="1"/>
        <v>ADLBracketingPattern</v>
      </c>
      <c r="M180" s="7" t="str">
        <f ca="1"/>
        <v>ADLBracketingPattern</v>
      </c>
      <c r="N180" s="7" t="str">
        <f ca="1"/>
        <v>ADLBracketingPattern</v>
      </c>
      <c r="O180" s="7" t="str">
        <f ca="1"/>
        <v>ADLBracketingPattern</v>
      </c>
      <c r="P180" s="7" t="str">
        <f ca="1"/>
        <v/>
      </c>
      <c r="Q180" s="7" t="str">
        <f ca="1"/>
        <v/>
      </c>
      <c r="T180" s="7" t="str">
        <f ca="1"/>
        <v>Z8</v>
      </c>
      <c r="U180" s="7" t="str">
        <f ca="1"/>
        <v>0xD15E</v>
      </c>
      <c r="V180" s="7" t="str">
        <f ca="1"/>
        <v>WbTuneNatural</v>
      </c>
      <c r="X180" s="8" t="s">
        <v>567</v>
      </c>
      <c r="Y180" s="8" t="s">
        <v>567</v>
      </c>
      <c r="Z180" s="8" t="s">
        <v>1199</v>
      </c>
      <c r="AA180" s="8" t="s">
        <v>1199</v>
      </c>
      <c r="AB180" s="7" t="s">
        <v>603</v>
      </c>
      <c r="AC180" s="7" t="s">
        <v>589</v>
      </c>
      <c r="AD180" s="7" t="s">
        <v>589</v>
      </c>
      <c r="AE180" s="7" t="s">
        <v>589</v>
      </c>
      <c r="AF180" s="7" t="s">
        <v>557</v>
      </c>
      <c r="AG180" s="7" t="s">
        <v>553</v>
      </c>
      <c r="AH180" s="7" t="s">
        <v>555</v>
      </c>
      <c r="AI180" s="7" t="s">
        <v>571</v>
      </c>
      <c r="AJ180" s="7" t="s">
        <v>1777</v>
      </c>
      <c r="AK180" s="7" t="s">
        <v>1779</v>
      </c>
    </row>
    <row r="181" spans="1:37" x14ac:dyDescent="0.25">
      <c r="A181" s="13" t="str">
        <f ca="1"/>
        <v>0xD0C7</v>
      </c>
      <c r="B181" s="14" t="str">
        <f ca="1"/>
        <v>ADLBracketingStep</v>
      </c>
      <c r="D181" s="8" t="str">
        <f ca="1"/>
        <v>ADLBracketingStep</v>
      </c>
      <c r="E181" s="8" t="str">
        <f ca="1"/>
        <v>ADLBracketingStep</v>
      </c>
      <c r="F181" s="8" t="str">
        <f ca="1"/>
        <v>ADLBracketingStep</v>
      </c>
      <c r="G181" s="8" t="str">
        <f ca="1"/>
        <v>ADLBracketingStep</v>
      </c>
      <c r="H181" s="7" t="str">
        <f ca="1"/>
        <v>ADLBracketingStep</v>
      </c>
      <c r="I181" s="7" t="str">
        <f ca="1"/>
        <v>ADLBracketingStep</v>
      </c>
      <c r="J181" s="7" t="str">
        <f ca="1"/>
        <v>ADLBracketingStep</v>
      </c>
      <c r="K181" s="7" t="str">
        <f ca="1"/>
        <v>ADLBracketingStep</v>
      </c>
      <c r="L181" s="7" t="str">
        <f ca="1"/>
        <v>ADLBracketingStep</v>
      </c>
      <c r="M181" s="7" t="str">
        <f ca="1"/>
        <v>ADLBracketingStep</v>
      </c>
      <c r="N181" s="7" t="str">
        <f ca="1"/>
        <v>ADLBracketingStep</v>
      </c>
      <c r="O181" s="7" t="str">
        <f ca="1"/>
        <v>ADLBracketingStep</v>
      </c>
      <c r="P181" s="7" t="str">
        <f ca="1"/>
        <v/>
      </c>
      <c r="Q181" s="7" t="str">
        <f ca="1"/>
        <v/>
      </c>
      <c r="T181" s="7" t="str">
        <f ca="1"/>
        <v>Z8</v>
      </c>
      <c r="U181" s="7" t="str">
        <f ca="1"/>
        <v>0xD164</v>
      </c>
      <c r="V181" s="7" t="str">
        <f ca="1"/>
        <v>ISOAutoShutterTime</v>
      </c>
      <c r="X181" s="8" t="s">
        <v>568</v>
      </c>
      <c r="Y181" s="8" t="s">
        <v>568</v>
      </c>
      <c r="Z181" s="8" t="s">
        <v>596</v>
      </c>
      <c r="AA181" s="8" t="s">
        <v>596</v>
      </c>
      <c r="AB181" s="7" t="s">
        <v>604</v>
      </c>
      <c r="AC181" s="7" t="s">
        <v>590</v>
      </c>
      <c r="AD181" s="7" t="s">
        <v>590</v>
      </c>
      <c r="AE181" s="7" t="s">
        <v>590</v>
      </c>
      <c r="AF181" s="7" t="s">
        <v>558</v>
      </c>
      <c r="AG181" s="7" t="s">
        <v>554</v>
      </c>
      <c r="AH181" s="7" t="s">
        <v>556</v>
      </c>
      <c r="AI181" s="7" t="s">
        <v>572</v>
      </c>
      <c r="AJ181" s="7" t="s">
        <v>548</v>
      </c>
      <c r="AK181" s="7" t="s">
        <v>558</v>
      </c>
    </row>
    <row r="182" spans="1:37" x14ac:dyDescent="0.25">
      <c r="A182" s="13" t="str">
        <f ca="1"/>
        <v>0xD0CC</v>
      </c>
      <c r="B182" s="14" t="str">
        <f ca="1"/>
        <v>HDMIOutputDataDepth</v>
      </c>
      <c r="D182" s="8" t="str">
        <f ca="1"/>
        <v/>
      </c>
      <c r="E182" s="8" t="str">
        <f ca="1"/>
        <v/>
      </c>
      <c r="F182" s="8" t="str">
        <f ca="1"/>
        <v>HDMIOutputDataDepth</v>
      </c>
      <c r="G182" s="8" t="str">
        <f ca="1"/>
        <v>HDMIOutputDataDepth</v>
      </c>
      <c r="H182" s="7" t="str">
        <f ca="1"/>
        <v/>
      </c>
      <c r="I182" s="7" t="str">
        <f ca="1"/>
        <v>HDMIOutputDataDepth</v>
      </c>
      <c r="J182" s="7" t="str">
        <f ca="1"/>
        <v>HDMIOutputDataDepth</v>
      </c>
      <c r="K182" s="7" t="str">
        <f ca="1"/>
        <v/>
      </c>
      <c r="L182" s="7" t="str">
        <f ca="1"/>
        <v/>
      </c>
      <c r="M182" s="7" t="str">
        <f ca="1"/>
        <v/>
      </c>
      <c r="N182" s="7" t="str">
        <f ca="1"/>
        <v/>
      </c>
      <c r="O182" s="7" t="str">
        <f ca="1"/>
        <v/>
      </c>
      <c r="P182" s="7" t="str">
        <f ca="1"/>
        <v/>
      </c>
      <c r="Q182" s="7" t="str">
        <f ca="1"/>
        <v/>
      </c>
      <c r="T182" s="7" t="str">
        <f ca="1"/>
        <v>Z8</v>
      </c>
      <c r="U182" s="7" t="str">
        <f ca="1"/>
        <v>0xD16E</v>
      </c>
      <c r="V182" s="7" t="str">
        <f ca="1"/>
        <v>ExtendedShutterSpeedsManual</v>
      </c>
      <c r="X182" s="8" t="s">
        <v>569</v>
      </c>
      <c r="Y182" s="8" t="s">
        <v>569</v>
      </c>
      <c r="Z182" s="8" t="s">
        <v>597</v>
      </c>
      <c r="AA182" s="8" t="s">
        <v>597</v>
      </c>
      <c r="AB182" s="7" t="s">
        <v>605</v>
      </c>
      <c r="AC182" s="7" t="s">
        <v>591</v>
      </c>
      <c r="AD182" s="7" t="s">
        <v>591</v>
      </c>
      <c r="AE182" s="7" t="s">
        <v>591</v>
      </c>
      <c r="AF182" s="7" t="s">
        <v>559</v>
      </c>
      <c r="AG182" s="7" t="s">
        <v>555</v>
      </c>
      <c r="AH182" s="7" t="s">
        <v>557</v>
      </c>
      <c r="AI182" s="7" t="s">
        <v>573</v>
      </c>
      <c r="AJ182" s="7" t="s">
        <v>549</v>
      </c>
      <c r="AK182" s="7" t="s">
        <v>559</v>
      </c>
    </row>
    <row r="183" spans="1:37" x14ac:dyDescent="0.25">
      <c r="A183" s="13" t="str">
        <f ca="1"/>
        <v>0xD0CD</v>
      </c>
      <c r="B183" s="14" t="str">
        <f ca="1"/>
        <v>SaveFocusPosition</v>
      </c>
      <c r="D183" s="8" t="str">
        <f ca="1"/>
        <v>SaveFocusPosition</v>
      </c>
      <c r="E183" s="8" t="str">
        <f ca="1"/>
        <v>SaveFocusPosition</v>
      </c>
      <c r="F183" s="8" t="str">
        <f ca="1"/>
        <v>SaveFocusPosition</v>
      </c>
      <c r="G183" s="8" t="str">
        <f ca="1"/>
        <v>SaveFocusPosition</v>
      </c>
      <c r="H183" s="7" t="str">
        <f ca="1"/>
        <v>SaveFocusPosition</v>
      </c>
      <c r="I183" s="7" t="str">
        <f ca="1"/>
        <v>SaveFocusPosition</v>
      </c>
      <c r="J183" s="7" t="str">
        <f ca="1"/>
        <v>SaveFocusPosition</v>
      </c>
      <c r="K183" s="7" t="str">
        <f ca="1"/>
        <v>SaveFocusPosition</v>
      </c>
      <c r="L183" s="7" t="str">
        <f ca="1"/>
        <v/>
      </c>
      <c r="M183" s="7" t="str">
        <f ca="1"/>
        <v/>
      </c>
      <c r="N183" s="7" t="str">
        <f ca="1"/>
        <v/>
      </c>
      <c r="O183" s="7" t="str">
        <f ca="1"/>
        <v/>
      </c>
      <c r="P183" s="7" t="str">
        <f ca="1"/>
        <v/>
      </c>
      <c r="Q183" s="7" t="str">
        <f ca="1"/>
        <v/>
      </c>
      <c r="T183" s="7" t="str">
        <f ca="1"/>
        <v>Z8</v>
      </c>
      <c r="U183" s="7" t="str">
        <f ca="1"/>
        <v>0xD177</v>
      </c>
      <c r="V183" s="7" t="str">
        <f ca="1"/>
        <v>FocusModeRestrictions</v>
      </c>
      <c r="X183" s="8" t="s">
        <v>570</v>
      </c>
      <c r="Y183" s="8" t="s">
        <v>570</v>
      </c>
      <c r="Z183" s="8" t="s">
        <v>598</v>
      </c>
      <c r="AA183" s="8" t="s">
        <v>598</v>
      </c>
      <c r="AB183" s="7" t="s">
        <v>606</v>
      </c>
      <c r="AC183" s="7" t="s">
        <v>594</v>
      </c>
      <c r="AD183" s="7" t="s">
        <v>594</v>
      </c>
      <c r="AE183" s="7" t="s">
        <v>592</v>
      </c>
      <c r="AF183" s="7" t="s">
        <v>560</v>
      </c>
      <c r="AG183" s="7" t="s">
        <v>556</v>
      </c>
      <c r="AH183" s="7" t="s">
        <v>558</v>
      </c>
      <c r="AI183" s="7" t="s">
        <v>574</v>
      </c>
      <c r="AJ183" s="7" t="s">
        <v>550</v>
      </c>
      <c r="AK183" s="7" t="s">
        <v>560</v>
      </c>
    </row>
    <row r="184" spans="1:37" x14ac:dyDescent="0.25">
      <c r="A184" s="13" t="str">
        <f ca="1"/>
        <v>0xD0E0</v>
      </c>
      <c r="B184" s="14" t="str">
        <f ca="1"/>
        <v>LensID</v>
      </c>
      <c r="D184" s="8" t="str">
        <f ca="1"/>
        <v>LensID</v>
      </c>
      <c r="E184" s="8" t="str">
        <f ca="1"/>
        <v>LensID</v>
      </c>
      <c r="F184" s="8" t="str">
        <f ca="1"/>
        <v>LensID</v>
      </c>
      <c r="G184" s="8" t="str">
        <f ca="1"/>
        <v>LensID</v>
      </c>
      <c r="H184" s="7" t="str">
        <f ca="1"/>
        <v>LensID</v>
      </c>
      <c r="I184" s="7" t="str">
        <f ca="1"/>
        <v>LensID</v>
      </c>
      <c r="J184" s="7" t="str">
        <f ca="1"/>
        <v>LensID</v>
      </c>
      <c r="K184" s="7" t="str">
        <f ca="1"/>
        <v>LensID</v>
      </c>
      <c r="L184" s="7" t="str">
        <f ca="1"/>
        <v>LensID</v>
      </c>
      <c r="M184" s="7" t="str">
        <f ca="1"/>
        <v>LensID</v>
      </c>
      <c r="N184" s="7" t="str">
        <f ca="1"/>
        <v>LensID</v>
      </c>
      <c r="O184" s="7" t="str">
        <f ca="1"/>
        <v>LensID</v>
      </c>
      <c r="P184" s="7" t="str">
        <f ca="1"/>
        <v>LensID</v>
      </c>
      <c r="Q184" s="7" t="str">
        <f ca="1"/>
        <v>LensID</v>
      </c>
      <c r="T184" s="7" t="str">
        <f ca="1"/>
        <v>Z8</v>
      </c>
      <c r="U184" s="7" t="str">
        <f ca="1"/>
        <v>0xD17B</v>
      </c>
      <c r="V184" s="7" t="str">
        <f ca="1"/>
        <v>ViewMode</v>
      </c>
      <c r="X184" s="8" t="s">
        <v>571</v>
      </c>
      <c r="Y184" s="8" t="s">
        <v>571</v>
      </c>
      <c r="Z184" s="8" t="s">
        <v>599</v>
      </c>
      <c r="AA184" s="8" t="s">
        <v>599</v>
      </c>
      <c r="AB184" s="7" t="s">
        <v>607</v>
      </c>
      <c r="AC184" s="7" t="s">
        <v>595</v>
      </c>
      <c r="AD184" s="7" t="s">
        <v>595</v>
      </c>
      <c r="AE184" s="7" t="s">
        <v>593</v>
      </c>
      <c r="AF184" s="7" t="s">
        <v>561</v>
      </c>
      <c r="AG184" s="7" t="s">
        <v>557</v>
      </c>
      <c r="AH184" s="7" t="s">
        <v>559</v>
      </c>
      <c r="AI184" s="7" t="s">
        <v>575</v>
      </c>
      <c r="AJ184" s="7" t="s">
        <v>551</v>
      </c>
      <c r="AK184" s="7" t="s">
        <v>561</v>
      </c>
    </row>
    <row r="185" spans="1:37" x14ac:dyDescent="0.25">
      <c r="A185" s="13" t="str">
        <f ca="1"/>
        <v>0xD0E1</v>
      </c>
      <c r="B185" s="14" t="str">
        <f ca="1"/>
        <v>LensSort</v>
      </c>
      <c r="D185" s="8" t="str">
        <f ca="1"/>
        <v>LensSort</v>
      </c>
      <c r="E185" s="8" t="str">
        <f ca="1"/>
        <v>LensSort</v>
      </c>
      <c r="F185" s="8" t="str">
        <f ca="1"/>
        <v>LensSort</v>
      </c>
      <c r="G185" s="8" t="str">
        <f ca="1"/>
        <v>LensSort</v>
      </c>
      <c r="H185" s="7" t="str">
        <f ca="1"/>
        <v>LensSort</v>
      </c>
      <c r="I185" s="7" t="str">
        <f ca="1"/>
        <v>LensSort</v>
      </c>
      <c r="J185" s="7" t="str">
        <f ca="1"/>
        <v>LensSort</v>
      </c>
      <c r="K185" s="7" t="str">
        <f ca="1"/>
        <v>LensSort</v>
      </c>
      <c r="L185" s="7" t="str">
        <f ca="1"/>
        <v>LensSort</v>
      </c>
      <c r="M185" s="7" t="str">
        <f ca="1"/>
        <v>LensSort</v>
      </c>
      <c r="N185" s="7" t="str">
        <f ca="1"/>
        <v>LensSort</v>
      </c>
      <c r="O185" s="7" t="str">
        <f ca="1"/>
        <v>LensSort</v>
      </c>
      <c r="P185" s="7" t="str">
        <f ca="1"/>
        <v>LensSort</v>
      </c>
      <c r="Q185" s="7" t="str">
        <f ca="1"/>
        <v>LensSort</v>
      </c>
      <c r="T185" s="7" t="str">
        <f ca="1"/>
        <v>Z8</v>
      </c>
      <c r="U185" s="7" t="str">
        <f ca="1"/>
        <v>0xD17C</v>
      </c>
      <c r="V185" s="7" t="str">
        <f ca="1"/>
        <v>MovieAfSpeed</v>
      </c>
      <c r="X185" s="8" t="s">
        <v>572</v>
      </c>
      <c r="Y185" s="8" t="s">
        <v>572</v>
      </c>
      <c r="Z185" s="8" t="s">
        <v>600</v>
      </c>
      <c r="AA185" s="8" t="s">
        <v>600</v>
      </c>
      <c r="AB185" s="7" t="s">
        <v>608</v>
      </c>
      <c r="AC185" s="7" t="s">
        <v>1198</v>
      </c>
      <c r="AD185" s="7" t="s">
        <v>1198</v>
      </c>
      <c r="AE185" s="7" t="s">
        <v>594</v>
      </c>
      <c r="AF185" s="7" t="s">
        <v>562</v>
      </c>
      <c r="AG185" s="7" t="s">
        <v>558</v>
      </c>
      <c r="AH185" s="7" t="s">
        <v>560</v>
      </c>
      <c r="AI185" s="7" t="s">
        <v>576</v>
      </c>
      <c r="AJ185" s="7" t="s">
        <v>552</v>
      </c>
      <c r="AK185" s="7" t="s">
        <v>562</v>
      </c>
    </row>
    <row r="186" spans="1:37" x14ac:dyDescent="0.25">
      <c r="A186" s="13" t="str">
        <f ca="1"/>
        <v>0xD0E2</v>
      </c>
      <c r="B186" s="14" t="str">
        <f ca="1"/>
        <v>LensTypeF</v>
      </c>
      <c r="D186" s="8" t="str">
        <f ca="1"/>
        <v>LensTypeF</v>
      </c>
      <c r="E186" s="8" t="str">
        <f ca="1"/>
        <v>LensTypeF</v>
      </c>
      <c r="F186" s="8" t="str">
        <f ca="1"/>
        <v>LensTypeF</v>
      </c>
      <c r="G186" s="8" t="str">
        <f ca="1"/>
        <v>LensTypeF</v>
      </c>
      <c r="H186" s="7" t="str">
        <f ca="1"/>
        <v>LensTypeF</v>
      </c>
      <c r="I186" s="7" t="str">
        <f ca="1"/>
        <v>LensTypeF</v>
      </c>
      <c r="J186" s="7" t="str">
        <f ca="1"/>
        <v>LensTypeF</v>
      </c>
      <c r="K186" s="7" t="str">
        <f ca="1"/>
        <v>LensTypeF</v>
      </c>
      <c r="L186" s="7" t="str">
        <f ca="1"/>
        <v>LensTypeF</v>
      </c>
      <c r="M186" s="7" t="str">
        <f ca="1"/>
        <v>LensType</v>
      </c>
      <c r="N186" s="7" t="str">
        <f ca="1"/>
        <v>LensType</v>
      </c>
      <c r="O186" s="7" t="str">
        <f ca="1"/>
        <v>LensType</v>
      </c>
      <c r="P186" s="7" t="str">
        <f ca="1"/>
        <v>LensType</v>
      </c>
      <c r="Q186" s="7" t="str">
        <f ca="1"/>
        <v>LensType</v>
      </c>
      <c r="T186" s="7" t="str">
        <f ca="1"/>
        <v>Z8</v>
      </c>
      <c r="U186" s="7" t="str">
        <f ca="1"/>
        <v>0xD17D</v>
      </c>
      <c r="V186" s="7" t="str">
        <f ca="1"/>
        <v>MovieAfSpeedWhenToApply</v>
      </c>
      <c r="X186" s="8" t="s">
        <v>573</v>
      </c>
      <c r="Y186" s="8" t="s">
        <v>573</v>
      </c>
      <c r="Z186" s="8" t="s">
        <v>601</v>
      </c>
      <c r="AA186" s="8" t="s">
        <v>601</v>
      </c>
      <c r="AB186" s="7" t="s">
        <v>609</v>
      </c>
      <c r="AC186" s="7" t="s">
        <v>1199</v>
      </c>
      <c r="AD186" s="7" t="s">
        <v>1199</v>
      </c>
      <c r="AE186" s="7" t="s">
        <v>595</v>
      </c>
      <c r="AF186" s="7" t="s">
        <v>563</v>
      </c>
      <c r="AG186" s="7" t="s">
        <v>559</v>
      </c>
      <c r="AH186" s="7" t="s">
        <v>561</v>
      </c>
      <c r="AI186" s="7" t="s">
        <v>577</v>
      </c>
      <c r="AJ186" s="7" t="s">
        <v>553</v>
      </c>
      <c r="AK186" s="7" t="s">
        <v>563</v>
      </c>
    </row>
    <row r="187" spans="1:37" x14ac:dyDescent="0.25">
      <c r="A187" s="13" t="str">
        <f ca="1"/>
        <v>0xD0E3</v>
      </c>
      <c r="B187" s="14" t="str">
        <f ca="1"/>
        <v>LensFocalMin</v>
      </c>
      <c r="D187" s="8" t="str">
        <f ca="1"/>
        <v>LensFocalMin</v>
      </c>
      <c r="E187" s="8" t="str">
        <f ca="1"/>
        <v>LensFocalMin</v>
      </c>
      <c r="F187" s="8" t="str">
        <f ca="1"/>
        <v>LensFocalMin</v>
      </c>
      <c r="G187" s="8" t="str">
        <f ca="1"/>
        <v>LensFocalMin</v>
      </c>
      <c r="H187" s="7" t="str">
        <f ca="1"/>
        <v>LensFocalMin</v>
      </c>
      <c r="I187" s="7" t="str">
        <f ca="1"/>
        <v>LensFocalMin</v>
      </c>
      <c r="J187" s="7" t="str">
        <f ca="1"/>
        <v>LensFocalMin</v>
      </c>
      <c r="K187" s="7" t="str">
        <f ca="1"/>
        <v>LensFocalMin</v>
      </c>
      <c r="L187" s="7" t="str">
        <f ca="1"/>
        <v>LensFocalMin</v>
      </c>
      <c r="M187" s="7" t="str">
        <f ca="1"/>
        <v>LensFocalMin</v>
      </c>
      <c r="N187" s="7" t="str">
        <f ca="1"/>
        <v>LensFocalMin</v>
      </c>
      <c r="O187" s="7" t="str">
        <f ca="1"/>
        <v>LensFocalMin</v>
      </c>
      <c r="P187" s="7" t="str">
        <f ca="1"/>
        <v>LensFocalMin</v>
      </c>
      <c r="Q187" s="7" t="str">
        <f ca="1"/>
        <v>LensFocalMin</v>
      </c>
      <c r="T187" s="7" t="str">
        <f ca="1"/>
        <v>Z8</v>
      </c>
      <c r="U187" s="7" t="str">
        <f ca="1"/>
        <v>0xD17E</v>
      </c>
      <c r="V187" s="7" t="str">
        <f ca="1"/>
        <v>MovieAfTrackingSensitivity</v>
      </c>
      <c r="X187" s="8" t="s">
        <v>574</v>
      </c>
      <c r="Y187" s="8" t="s">
        <v>574</v>
      </c>
      <c r="Z187" s="8" t="s">
        <v>602</v>
      </c>
      <c r="AA187" s="8" t="s">
        <v>602</v>
      </c>
      <c r="AB187" s="7" t="s">
        <v>610</v>
      </c>
      <c r="AC187" s="7" t="s">
        <v>596</v>
      </c>
      <c r="AD187" s="7" t="s">
        <v>596</v>
      </c>
      <c r="AE187" s="7" t="s">
        <v>1198</v>
      </c>
      <c r="AF187" s="7" t="s">
        <v>564</v>
      </c>
      <c r="AG187" s="7" t="s">
        <v>560</v>
      </c>
      <c r="AH187" s="7" t="s">
        <v>562</v>
      </c>
      <c r="AI187" s="7" t="s">
        <v>578</v>
      </c>
      <c r="AJ187" s="7" t="s">
        <v>554</v>
      </c>
      <c r="AK187" s="7" t="s">
        <v>1780</v>
      </c>
    </row>
    <row r="188" spans="1:37" x14ac:dyDescent="0.25">
      <c r="A188" s="13" t="str">
        <f ca="1"/>
        <v>0xD0E4</v>
      </c>
      <c r="B188" s="14" t="str">
        <f ca="1"/>
        <v>LensFocalMax</v>
      </c>
      <c r="D188" s="8" t="str">
        <f ca="1"/>
        <v>LensFocalMax</v>
      </c>
      <c r="E188" s="8" t="str">
        <f ca="1"/>
        <v>LensFocalMax</v>
      </c>
      <c r="F188" s="8" t="str">
        <f ca="1"/>
        <v>LensFocalMax</v>
      </c>
      <c r="G188" s="8" t="str">
        <f ca="1"/>
        <v>LensFocalMax</v>
      </c>
      <c r="H188" s="7" t="str">
        <f ca="1"/>
        <v>LensFocalMax</v>
      </c>
      <c r="I188" s="7" t="str">
        <f ca="1"/>
        <v>LensFocalMax</v>
      </c>
      <c r="J188" s="7" t="str">
        <f ca="1"/>
        <v>LensFocalMax</v>
      </c>
      <c r="K188" s="7" t="str">
        <f ca="1"/>
        <v>LensFocalMax</v>
      </c>
      <c r="L188" s="7" t="str">
        <f ca="1"/>
        <v>LensFocalMax</v>
      </c>
      <c r="M188" s="7" t="str">
        <f ca="1"/>
        <v>LensFocalMax</v>
      </c>
      <c r="N188" s="7" t="str">
        <f ca="1"/>
        <v>LensFocalMax</v>
      </c>
      <c r="O188" s="7" t="str">
        <f ca="1"/>
        <v>LensFocalMax</v>
      </c>
      <c r="P188" s="7" t="str">
        <f ca="1"/>
        <v>LensFocalMax</v>
      </c>
      <c r="Q188" s="7" t="str">
        <f ca="1"/>
        <v>LensFocalMax</v>
      </c>
      <c r="T188" s="7" t="str">
        <f ca="1"/>
        <v>Z8</v>
      </c>
      <c r="U188" s="7" t="str">
        <f ca="1"/>
        <v>0xD180</v>
      </c>
      <c r="V188" s="7" t="str">
        <f ca="1"/>
        <v>FlushBurstPrioritize</v>
      </c>
      <c r="X188" s="8" t="s">
        <v>575</v>
      </c>
      <c r="Y188" s="8" t="s">
        <v>575</v>
      </c>
      <c r="Z188" s="8" t="s">
        <v>603</v>
      </c>
      <c r="AA188" s="8" t="s">
        <v>603</v>
      </c>
      <c r="AB188" s="7" t="s">
        <v>611</v>
      </c>
      <c r="AC188" s="7" t="s">
        <v>597</v>
      </c>
      <c r="AD188" s="7" t="s">
        <v>597</v>
      </c>
      <c r="AE188" s="7" t="s">
        <v>1199</v>
      </c>
      <c r="AF188" s="7" t="s">
        <v>565</v>
      </c>
      <c r="AG188" s="7" t="s">
        <v>561</v>
      </c>
      <c r="AH188" s="7" t="s">
        <v>563</v>
      </c>
      <c r="AI188" s="7" t="s">
        <v>579</v>
      </c>
      <c r="AJ188" s="7" t="s">
        <v>555</v>
      </c>
      <c r="AK188" s="7" t="s">
        <v>1781</v>
      </c>
    </row>
    <row r="189" spans="1:37" x14ac:dyDescent="0.25">
      <c r="A189" s="13" t="str">
        <f ca="1"/>
        <v>0xD0E5</v>
      </c>
      <c r="B189" s="14" t="str">
        <f ca="1"/>
        <v>LensApatureMin</v>
      </c>
      <c r="D189" s="8" t="str">
        <f ca="1"/>
        <v>LensApatureMin</v>
      </c>
      <c r="E189" s="8" t="str">
        <f ca="1"/>
        <v>LensApatureMin</v>
      </c>
      <c r="F189" s="8" t="str">
        <f ca="1"/>
        <v>LensApatureMin</v>
      </c>
      <c r="G189" s="8" t="str">
        <f ca="1"/>
        <v>LensApatureMin</v>
      </c>
      <c r="H189" s="7" t="str">
        <f ca="1"/>
        <v>LensApatureMin</v>
      </c>
      <c r="I189" s="7" t="str">
        <f ca="1"/>
        <v>LensApatureMin</v>
      </c>
      <c r="J189" s="7" t="str">
        <f ca="1"/>
        <v>LensApatureMin</v>
      </c>
      <c r="K189" s="7" t="str">
        <f ca="1"/>
        <v>LensApatureMin</v>
      </c>
      <c r="L189" s="7" t="str">
        <f ca="1"/>
        <v>LensApatureMin</v>
      </c>
      <c r="M189" s="7" t="str">
        <f ca="1"/>
        <v>LensApatureMin</v>
      </c>
      <c r="N189" s="7" t="str">
        <f ca="1"/>
        <v>LensApatureMin</v>
      </c>
      <c r="O189" s="7" t="str">
        <f ca="1"/>
        <v>LensApatureMin</v>
      </c>
      <c r="P189" s="7" t="str">
        <f ca="1"/>
        <v>LensApatureMin</v>
      </c>
      <c r="Q189" s="7" t="str">
        <f ca="1"/>
        <v>LensApatureMin</v>
      </c>
      <c r="T189" s="7" t="str">
        <f ca="1"/>
        <v>Z8</v>
      </c>
      <c r="U189" s="7" t="str">
        <f ca="1"/>
        <v>0xD183</v>
      </c>
      <c r="V189" s="7" t="str">
        <f ca="1"/>
        <v>ISOAutoHighLimit</v>
      </c>
      <c r="X189" s="8" t="s">
        <v>576</v>
      </c>
      <c r="Y189" s="8" t="s">
        <v>576</v>
      </c>
      <c r="Z189" s="8" t="s">
        <v>604</v>
      </c>
      <c r="AA189" s="8" t="s">
        <v>604</v>
      </c>
      <c r="AB189" s="7" t="s">
        <v>612</v>
      </c>
      <c r="AC189" s="7" t="s">
        <v>598</v>
      </c>
      <c r="AD189" s="7" t="s">
        <v>598</v>
      </c>
      <c r="AE189" s="7" t="s">
        <v>596</v>
      </c>
      <c r="AF189" s="7" t="s">
        <v>566</v>
      </c>
      <c r="AG189" s="7" t="s">
        <v>562</v>
      </c>
      <c r="AH189" s="7" t="s">
        <v>564</v>
      </c>
      <c r="AI189" s="7" t="s">
        <v>580</v>
      </c>
      <c r="AJ189" s="7" t="s">
        <v>556</v>
      </c>
      <c r="AK189" s="7" t="s">
        <v>1782</v>
      </c>
    </row>
    <row r="190" spans="1:37" x14ac:dyDescent="0.25">
      <c r="A190" s="13" t="str">
        <f ca="1"/>
        <v>0xD0E6</v>
      </c>
      <c r="B190" s="14" t="str">
        <f ca="1"/>
        <v>LensApatureMax</v>
      </c>
      <c r="D190" s="8" t="str">
        <f ca="1"/>
        <v>LensApatureMax</v>
      </c>
      <c r="E190" s="8" t="str">
        <f ca="1"/>
        <v>LensApatureMax</v>
      </c>
      <c r="F190" s="8" t="str">
        <f ca="1"/>
        <v>LensApatureMax</v>
      </c>
      <c r="G190" s="8" t="str">
        <f ca="1"/>
        <v>LensApatureMax</v>
      </c>
      <c r="H190" s="7" t="str">
        <f ca="1"/>
        <v>LensApatureMax</v>
      </c>
      <c r="I190" s="7" t="str">
        <f ca="1"/>
        <v>LensApatureMax</v>
      </c>
      <c r="J190" s="7" t="str">
        <f ca="1"/>
        <v>LensApatureMax</v>
      </c>
      <c r="K190" s="7" t="str">
        <f ca="1"/>
        <v>LensApatureMax</v>
      </c>
      <c r="L190" s="7" t="str">
        <f ca="1"/>
        <v>LensApatureMax</v>
      </c>
      <c r="M190" s="7" t="str">
        <f ca="1"/>
        <v>LensApatureMax</v>
      </c>
      <c r="N190" s="7" t="str">
        <f ca="1"/>
        <v>LensApatureMax</v>
      </c>
      <c r="O190" s="7" t="str">
        <f ca="1"/>
        <v>LensApatureMax</v>
      </c>
      <c r="P190" s="7" t="str">
        <f ca="1"/>
        <v>LensApatureMax</v>
      </c>
      <c r="Q190" s="7" t="str">
        <f ca="1"/>
        <v>LensApatureMax</v>
      </c>
      <c r="T190" s="7" t="str">
        <f ca="1"/>
        <v>Z8</v>
      </c>
      <c r="U190" s="7" t="str">
        <f ca="1"/>
        <v>0xD186</v>
      </c>
      <c r="V190" s="7" t="str">
        <f ca="1"/>
        <v>CSpeedHigh</v>
      </c>
      <c r="X190" s="8" t="s">
        <v>577</v>
      </c>
      <c r="Y190" s="8" t="s">
        <v>577</v>
      </c>
      <c r="Z190" s="8" t="s">
        <v>605</v>
      </c>
      <c r="AA190" s="8" t="s">
        <v>605</v>
      </c>
      <c r="AB190" s="7" t="s">
        <v>613</v>
      </c>
      <c r="AC190" s="7" t="s">
        <v>599</v>
      </c>
      <c r="AD190" s="7" t="s">
        <v>599</v>
      </c>
      <c r="AE190" s="7" t="s">
        <v>597</v>
      </c>
      <c r="AF190" s="7" t="s">
        <v>567</v>
      </c>
      <c r="AG190" s="7" t="s">
        <v>563</v>
      </c>
      <c r="AH190" s="7" t="s">
        <v>565</v>
      </c>
      <c r="AI190" s="7" t="s">
        <v>581</v>
      </c>
      <c r="AJ190" s="7" t="s">
        <v>557</v>
      </c>
      <c r="AK190" s="7" t="s">
        <v>1783</v>
      </c>
    </row>
    <row r="191" spans="1:37" x14ac:dyDescent="0.25">
      <c r="A191" s="13" t="str">
        <f ca="1"/>
        <v>0xD0E7</v>
      </c>
      <c r="B191" s="14" t="str">
        <f ca="1"/>
        <v>LensTypeML</v>
      </c>
      <c r="D191" s="8" t="str">
        <f ca="1"/>
        <v>LensTypeML</v>
      </c>
      <c r="E191" s="8" t="str">
        <f ca="1"/>
        <v>LensTypeML</v>
      </c>
      <c r="F191" s="8" t="str">
        <f ca="1"/>
        <v>LensTypeML</v>
      </c>
      <c r="G191" s="8" t="str">
        <f ca="1"/>
        <v>LensTypeML</v>
      </c>
      <c r="H191" s="7" t="str">
        <f ca="1"/>
        <v>LensTypeML</v>
      </c>
      <c r="I191" s="7" t="str">
        <f ca="1"/>
        <v>LensTypeML</v>
      </c>
      <c r="J191" s="7" t="str">
        <f ca="1"/>
        <v>LensTypeML</v>
      </c>
      <c r="K191" s="7" t="str">
        <f ca="1"/>
        <v>LensTypeML</v>
      </c>
      <c r="L191" s="7" t="str">
        <f ca="1"/>
        <v/>
      </c>
      <c r="M191" s="7" t="str">
        <f ca="1"/>
        <v/>
      </c>
      <c r="N191" s="7" t="str">
        <f ca="1"/>
        <v/>
      </c>
      <c r="O191" s="7" t="str">
        <f ca="1"/>
        <v/>
      </c>
      <c r="P191" s="7" t="str">
        <f ca="1"/>
        <v/>
      </c>
      <c r="Q191" s="7" t="str">
        <f ca="1"/>
        <v/>
      </c>
      <c r="T191" s="7" t="str">
        <f ca="1"/>
        <v>Z8</v>
      </c>
      <c r="U191" s="7" t="str">
        <f ca="1"/>
        <v>0xD199</v>
      </c>
      <c r="V191" s="7" t="str">
        <f ca="1"/>
        <v>FlashISOAutoHighLimit</v>
      </c>
      <c r="X191" s="8" t="s">
        <v>578</v>
      </c>
      <c r="Y191" s="8" t="s">
        <v>578</v>
      </c>
      <c r="Z191" s="8" t="s">
        <v>606</v>
      </c>
      <c r="AA191" s="8" t="s">
        <v>606</v>
      </c>
      <c r="AB191" s="7" t="s">
        <v>614</v>
      </c>
      <c r="AC191" s="7" t="s">
        <v>600</v>
      </c>
      <c r="AD191" s="7" t="s">
        <v>600</v>
      </c>
      <c r="AE191" s="7" t="s">
        <v>598</v>
      </c>
      <c r="AF191" s="7" t="s">
        <v>568</v>
      </c>
      <c r="AG191" s="7" t="s">
        <v>564</v>
      </c>
      <c r="AH191" s="7" t="s">
        <v>566</v>
      </c>
      <c r="AI191" s="7" t="s">
        <v>582</v>
      </c>
      <c r="AJ191" s="7" t="s">
        <v>1778</v>
      </c>
      <c r="AK191" s="7" t="s">
        <v>1784</v>
      </c>
    </row>
    <row r="192" spans="1:37" x14ac:dyDescent="0.25">
      <c r="A192" s="13" t="str">
        <f ca="1"/>
        <v>0xD0EB</v>
      </c>
      <c r="B192" s="14" t="str">
        <f ca="1"/>
        <v>CustomGroupingsC2</v>
      </c>
      <c r="D192" s="8" t="str">
        <f ca="1"/>
        <v/>
      </c>
      <c r="E192" s="8" t="str">
        <f ca="1"/>
        <v/>
      </c>
      <c r="F192" s="8" t="str">
        <f ca="1"/>
        <v/>
      </c>
      <c r="G192" s="8" t="str">
        <f ca="1"/>
        <v/>
      </c>
      <c r="H192" s="7" t="str">
        <f ca="1"/>
        <v/>
      </c>
      <c r="I192" s="7" t="str">
        <f ca="1"/>
        <v/>
      </c>
      <c r="J192" s="7" t="str">
        <f ca="1"/>
        <v/>
      </c>
      <c r="K192" s="7" t="str">
        <f ca="1"/>
        <v/>
      </c>
      <c r="L192" s="7" t="str">
        <f ca="1"/>
        <v>CustomGroupingsC2</v>
      </c>
      <c r="M192" s="7" t="str">
        <f ca="1"/>
        <v/>
      </c>
      <c r="N192" s="7" t="str">
        <f ca="1"/>
        <v/>
      </c>
      <c r="O192" s="7" t="str">
        <f ca="1"/>
        <v/>
      </c>
      <c r="P192" s="7" t="str">
        <f ca="1"/>
        <v/>
      </c>
      <c r="Q192" s="7" t="str">
        <f ca="1"/>
        <v/>
      </c>
      <c r="T192" s="7" t="str">
        <f ca="1"/>
        <v>Z8</v>
      </c>
      <c r="U192" s="7" t="str">
        <f ca="1"/>
        <v>0xD1A2</v>
      </c>
      <c r="V192" s="7" t="str">
        <f ca="1"/>
        <v>RemoteLiveViewStatus</v>
      </c>
      <c r="X192" s="8" t="s">
        <v>579</v>
      </c>
      <c r="Y192" s="8" t="s">
        <v>579</v>
      </c>
      <c r="Z192" s="8" t="s">
        <v>607</v>
      </c>
      <c r="AA192" s="8" t="s">
        <v>607</v>
      </c>
      <c r="AB192" s="7" t="s">
        <v>615</v>
      </c>
      <c r="AC192" s="7" t="s">
        <v>601</v>
      </c>
      <c r="AD192" s="7" t="s">
        <v>601</v>
      </c>
      <c r="AE192" s="7" t="s">
        <v>599</v>
      </c>
      <c r="AF192" s="7" t="s">
        <v>569</v>
      </c>
      <c r="AG192" s="7" t="s">
        <v>565</v>
      </c>
      <c r="AH192" s="7" t="s">
        <v>567</v>
      </c>
      <c r="AI192" s="7" t="s">
        <v>583</v>
      </c>
      <c r="AJ192" s="7" t="s">
        <v>1779</v>
      </c>
      <c r="AK192" s="7" t="s">
        <v>1785</v>
      </c>
    </row>
    <row r="193" spans="1:37" x14ac:dyDescent="0.25">
      <c r="A193" s="13" t="str">
        <f ca="1"/>
        <v>0xD0EC</v>
      </c>
      <c r="B193" s="14" t="str">
        <f ca="1"/>
        <v>AutoAreaAfStartingPoint</v>
      </c>
      <c r="D193" s="8" t="str">
        <f ca="1"/>
        <v/>
      </c>
      <c r="E193" s="8" t="str">
        <f ca="1"/>
        <v/>
      </c>
      <c r="F193" s="8" t="str">
        <f ca="1"/>
        <v/>
      </c>
      <c r="G193" s="8" t="str">
        <f ca="1"/>
        <v/>
      </c>
      <c r="H193" s="7" t="str">
        <f ca="1"/>
        <v/>
      </c>
      <c r="I193" s="7" t="str">
        <f ca="1"/>
        <v/>
      </c>
      <c r="J193" s="7" t="str">
        <f ca="1"/>
        <v/>
      </c>
      <c r="K193" s="7" t="str">
        <f ca="1"/>
        <v/>
      </c>
      <c r="L193" s="7" t="str">
        <f ca="1"/>
        <v>AutoAreaAfStartingPoint</v>
      </c>
      <c r="M193" s="7" t="str">
        <f ca="1"/>
        <v/>
      </c>
      <c r="N193" s="7" t="str">
        <f ca="1"/>
        <v/>
      </c>
      <c r="O193" s="7" t="str">
        <f ca="1"/>
        <v/>
      </c>
      <c r="P193" s="7" t="str">
        <f ca="1"/>
        <v/>
      </c>
      <c r="Q193" s="7" t="str">
        <f ca="1"/>
        <v/>
      </c>
      <c r="T193" s="7" t="str">
        <f ca="1"/>
        <v>Z8</v>
      </c>
      <c r="U193" s="7" t="str">
        <f ca="1"/>
        <v>0xD1A4</v>
      </c>
      <c r="V193" s="7" t="str">
        <f ca="1"/>
        <v>LiveViewProhibitionCondition</v>
      </c>
      <c r="X193" s="8" t="s">
        <v>580</v>
      </c>
      <c r="Y193" s="8" t="s">
        <v>580</v>
      </c>
      <c r="Z193" s="8" t="s">
        <v>608</v>
      </c>
      <c r="AA193" s="8" t="s">
        <v>608</v>
      </c>
      <c r="AB193" s="7" t="s">
        <v>618</v>
      </c>
      <c r="AC193" s="7" t="s">
        <v>602</v>
      </c>
      <c r="AD193" s="7" t="s">
        <v>602</v>
      </c>
      <c r="AE193" s="7" t="s">
        <v>600</v>
      </c>
      <c r="AF193" s="7" t="s">
        <v>570</v>
      </c>
      <c r="AG193" s="7" t="s">
        <v>566</v>
      </c>
      <c r="AH193" s="7" t="s">
        <v>568</v>
      </c>
      <c r="AI193" s="7" t="s">
        <v>588</v>
      </c>
      <c r="AJ193" s="7" t="s">
        <v>558</v>
      </c>
      <c r="AK193" s="7" t="s">
        <v>1786</v>
      </c>
    </row>
    <row r="194" spans="1:37" x14ac:dyDescent="0.25">
      <c r="A194" s="13" t="str">
        <f ca="1"/>
        <v>0xD0ED</v>
      </c>
      <c r="B194" s="14" t="str">
        <f ca="1"/>
        <v>CustomGroupingsC1</v>
      </c>
      <c r="D194" s="8" t="str">
        <f ca="1"/>
        <v/>
      </c>
      <c r="E194" s="8" t="str">
        <f ca="1"/>
        <v/>
      </c>
      <c r="F194" s="8" t="str">
        <f ca="1"/>
        <v/>
      </c>
      <c r="G194" s="8" t="str">
        <f ca="1"/>
        <v/>
      </c>
      <c r="H194" s="7" t="str">
        <f ca="1"/>
        <v/>
      </c>
      <c r="I194" s="7" t="str">
        <f ca="1"/>
        <v/>
      </c>
      <c r="J194" s="7" t="str">
        <f ca="1"/>
        <v/>
      </c>
      <c r="K194" s="7" t="str">
        <f ca="1"/>
        <v/>
      </c>
      <c r="L194" s="7" t="str">
        <f ca="1"/>
        <v>CustomGroupingsC1</v>
      </c>
      <c r="M194" s="7" t="str">
        <f ca="1"/>
        <v/>
      </c>
      <c r="N194" s="7" t="str">
        <f ca="1"/>
        <v/>
      </c>
      <c r="O194" s="7" t="str">
        <f ca="1"/>
        <v/>
      </c>
      <c r="P194" s="7" t="str">
        <f ca="1"/>
        <v/>
      </c>
      <c r="Q194" s="7" t="str">
        <f ca="1"/>
        <v/>
      </c>
      <c r="T194" s="7" t="str">
        <f ca="1"/>
        <v>Z8</v>
      </c>
      <c r="U194" s="7" t="str">
        <f ca="1"/>
        <v>0xD1A6</v>
      </c>
      <c r="V194" s="7" t="str">
        <f ca="1"/>
        <v>LiveViewSelector</v>
      </c>
      <c r="X194" s="8" t="s">
        <v>581</v>
      </c>
      <c r="Y194" s="8" t="s">
        <v>581</v>
      </c>
      <c r="Z194" s="8" t="s">
        <v>609</v>
      </c>
      <c r="AA194" s="8" t="s">
        <v>609</v>
      </c>
      <c r="AB194" s="7" t="s">
        <v>619</v>
      </c>
      <c r="AC194" s="7" t="s">
        <v>603</v>
      </c>
      <c r="AD194" s="7" t="s">
        <v>603</v>
      </c>
      <c r="AE194" s="7" t="s">
        <v>601</v>
      </c>
      <c r="AF194" s="7" t="s">
        <v>571</v>
      </c>
      <c r="AG194" s="7" t="s">
        <v>567</v>
      </c>
      <c r="AH194" s="7" t="s">
        <v>569</v>
      </c>
      <c r="AI194" s="7" t="s">
        <v>589</v>
      </c>
      <c r="AJ194" s="7" t="s">
        <v>559</v>
      </c>
      <c r="AK194" s="7" t="s">
        <v>1787</v>
      </c>
    </row>
    <row r="195" spans="1:37" x14ac:dyDescent="0.25">
      <c r="A195" s="13" t="str">
        <f ca="1"/>
        <v>0xD0EE</v>
      </c>
      <c r="B195" s="14" t="str">
        <f ca="1"/>
        <v>SinglePointAfWatchArea</v>
      </c>
      <c r="D195" s="8" t="str">
        <f ca="1"/>
        <v/>
      </c>
      <c r="E195" s="8" t="str">
        <f ca="1"/>
        <v/>
      </c>
      <c r="F195" s="8" t="str">
        <f ca="1"/>
        <v/>
      </c>
      <c r="G195" s="8" t="str">
        <f ca="1"/>
        <v/>
      </c>
      <c r="H195" s="7" t="str">
        <f ca="1"/>
        <v/>
      </c>
      <c r="I195" s="7" t="str">
        <f ca="1"/>
        <v/>
      </c>
      <c r="J195" s="7" t="str">
        <f ca="1"/>
        <v/>
      </c>
      <c r="K195" s="7" t="str">
        <f ca="1"/>
        <v/>
      </c>
      <c r="L195" s="7" t="str">
        <f ca="1"/>
        <v>SinglePointAfWatchArea</v>
      </c>
      <c r="M195" s="7" t="str">
        <f ca="1"/>
        <v/>
      </c>
      <c r="N195" s="7" t="str">
        <f ca="1"/>
        <v/>
      </c>
      <c r="O195" s="7" t="str">
        <f ca="1"/>
        <v/>
      </c>
      <c r="P195" s="7" t="str">
        <f ca="1"/>
        <v/>
      </c>
      <c r="Q195" s="7" t="str">
        <f ca="1"/>
        <v/>
      </c>
      <c r="T195" s="7" t="str">
        <f ca="1"/>
        <v>Z8</v>
      </c>
      <c r="U195" s="7" t="str">
        <f ca="1"/>
        <v>0xD1A8</v>
      </c>
      <c r="V195" s="7" t="str">
        <f ca="1"/>
        <v>MovieShutterSpeed</v>
      </c>
      <c r="X195" s="8" t="s">
        <v>582</v>
      </c>
      <c r="Y195" s="8" t="s">
        <v>582</v>
      </c>
      <c r="Z195" s="8" t="s">
        <v>610</v>
      </c>
      <c r="AA195" s="8" t="s">
        <v>610</v>
      </c>
      <c r="AB195" s="7" t="s">
        <v>622</v>
      </c>
      <c r="AC195" s="7" t="s">
        <v>604</v>
      </c>
      <c r="AD195" s="7" t="s">
        <v>604</v>
      </c>
      <c r="AE195" s="7" t="s">
        <v>602</v>
      </c>
      <c r="AF195" s="7" t="s">
        <v>572</v>
      </c>
      <c r="AG195" s="7" t="s">
        <v>568</v>
      </c>
      <c r="AH195" s="7" t="s">
        <v>1708</v>
      </c>
      <c r="AI195" s="7" t="s">
        <v>590</v>
      </c>
      <c r="AJ195" s="7" t="s">
        <v>560</v>
      </c>
      <c r="AK195" s="7" t="s">
        <v>1788</v>
      </c>
    </row>
    <row r="196" spans="1:37" x14ac:dyDescent="0.25">
      <c r="A196" s="13" t="str">
        <f ca="1"/>
        <v>0xD0EF</v>
      </c>
      <c r="B196" s="14" t="str">
        <f ca="1"/>
        <v>GroupAreaFaceDetection</v>
      </c>
      <c r="D196" s="8" t="str">
        <f ca="1"/>
        <v/>
      </c>
      <c r="E196" s="8" t="str">
        <f ca="1"/>
        <v/>
      </c>
      <c r="F196" s="8" t="str">
        <f ca="1"/>
        <v/>
      </c>
      <c r="G196" s="8" t="str">
        <f ca="1"/>
        <v/>
      </c>
      <c r="H196" s="7" t="str">
        <f ca="1"/>
        <v/>
      </c>
      <c r="I196" s="7" t="str">
        <f ca="1"/>
        <v/>
      </c>
      <c r="J196" s="7" t="str">
        <f ca="1"/>
        <v/>
      </c>
      <c r="K196" s="7" t="str">
        <f ca="1"/>
        <v/>
      </c>
      <c r="L196" s="7" t="str">
        <f ca="1"/>
        <v>GroupAreaFaceDetection</v>
      </c>
      <c r="M196" s="7" t="str">
        <f ca="1"/>
        <v/>
      </c>
      <c r="N196" s="7" t="str">
        <f ca="1"/>
        <v/>
      </c>
      <c r="O196" s="7" t="str">
        <f ca="1"/>
        <v/>
      </c>
      <c r="P196" s="7" t="str">
        <f ca="1"/>
        <v/>
      </c>
      <c r="Q196" s="7" t="str">
        <f ca="1"/>
        <v/>
      </c>
      <c r="T196" s="7" t="str">
        <f ca="1"/>
        <v>Z8</v>
      </c>
      <c r="U196" s="7" t="str">
        <f ca="1"/>
        <v>0xD1A9</v>
      </c>
      <c r="V196" s="7" t="str">
        <f ca="1"/>
        <v>MovieFnumber</v>
      </c>
      <c r="X196" s="8" t="s">
        <v>583</v>
      </c>
      <c r="Y196" s="8" t="s">
        <v>583</v>
      </c>
      <c r="Z196" s="8" t="s">
        <v>611</v>
      </c>
      <c r="AA196" s="8" t="s">
        <v>611</v>
      </c>
      <c r="AB196" s="7" t="s">
        <v>623</v>
      </c>
      <c r="AC196" s="7" t="s">
        <v>605</v>
      </c>
      <c r="AD196" s="7" t="s">
        <v>605</v>
      </c>
      <c r="AE196" s="7" t="s">
        <v>603</v>
      </c>
      <c r="AF196" s="7" t="s">
        <v>573</v>
      </c>
      <c r="AG196" s="7" t="s">
        <v>569</v>
      </c>
      <c r="AH196" s="7" t="s">
        <v>1709</v>
      </c>
      <c r="AI196" s="7" t="s">
        <v>591</v>
      </c>
      <c r="AJ196" s="7" t="s">
        <v>561</v>
      </c>
      <c r="AK196" s="7" t="s">
        <v>1789</v>
      </c>
    </row>
    <row r="197" spans="1:37" x14ac:dyDescent="0.25">
      <c r="A197" s="13" t="str">
        <f ca="1"/>
        <v>0xD0F1</v>
      </c>
      <c r="B197" s="14" t="str">
        <f ca="1"/>
        <v>QuietShutterRelease</v>
      </c>
      <c r="D197" s="8" t="str">
        <f ca="1"/>
        <v/>
      </c>
      <c r="E197" s="8" t="str">
        <f ca="1"/>
        <v/>
      </c>
      <c r="F197" s="8" t="str">
        <f ca="1"/>
        <v/>
      </c>
      <c r="G197" s="8" t="str">
        <f ca="1"/>
        <v/>
      </c>
      <c r="H197" s="7" t="str">
        <f ca="1"/>
        <v/>
      </c>
      <c r="I197" s="7" t="str">
        <f ca="1"/>
        <v/>
      </c>
      <c r="J197" s="7" t="str">
        <f ca="1"/>
        <v/>
      </c>
      <c r="K197" s="7" t="str">
        <f ca="1"/>
        <v/>
      </c>
      <c r="L197" s="7" t="str">
        <f ca="1"/>
        <v>QuietShutterRelease</v>
      </c>
      <c r="M197" s="7" t="str">
        <f ca="1"/>
        <v>QuietReleaseMode</v>
      </c>
      <c r="N197" s="7" t="str">
        <f ca="1"/>
        <v/>
      </c>
      <c r="O197" s="7" t="str">
        <f ca="1"/>
        <v/>
      </c>
      <c r="P197" s="7" t="str">
        <f ca="1"/>
        <v/>
      </c>
      <c r="Q197" s="7" t="str">
        <f ca="1"/>
        <v/>
      </c>
      <c r="T197" s="7" t="str">
        <f ca="1"/>
        <v>Z8</v>
      </c>
      <c r="U197" s="7" t="str">
        <f ca="1"/>
        <v>0xD1AA</v>
      </c>
      <c r="V197" s="7" t="str">
        <f ca="1"/>
        <v>MovieExposureIndex</v>
      </c>
      <c r="X197" s="8" t="s">
        <v>584</v>
      </c>
      <c r="Y197" s="8" t="s">
        <v>584</v>
      </c>
      <c r="Z197" s="8" t="s">
        <v>1200</v>
      </c>
      <c r="AA197" s="8" t="s">
        <v>1200</v>
      </c>
      <c r="AB197" s="7" t="s">
        <v>624</v>
      </c>
      <c r="AC197" s="7" t="s">
        <v>606</v>
      </c>
      <c r="AD197" s="7" t="s">
        <v>606</v>
      </c>
      <c r="AE197" s="7" t="s">
        <v>604</v>
      </c>
      <c r="AF197" s="7" t="s">
        <v>574</v>
      </c>
      <c r="AG197" s="7" t="s">
        <v>1708</v>
      </c>
      <c r="AH197" s="7" t="s">
        <v>570</v>
      </c>
      <c r="AI197" s="7" t="s">
        <v>592</v>
      </c>
      <c r="AJ197" s="7" t="s">
        <v>562</v>
      </c>
      <c r="AK197" s="7" t="s">
        <v>1790</v>
      </c>
    </row>
    <row r="198" spans="1:37" x14ac:dyDescent="0.25">
      <c r="A198" s="13" t="str">
        <f ca="1"/>
        <v>0xD0F6</v>
      </c>
      <c r="B198" s="14" t="str">
        <f ca="1"/>
        <v>StillCaptureModeQuick</v>
      </c>
      <c r="D198" s="8" t="str">
        <f ca="1"/>
        <v/>
      </c>
      <c r="E198" s="8" t="str">
        <f ca="1"/>
        <v>StillCaptureModeQuick</v>
      </c>
      <c r="F198" s="8" t="str">
        <f ca="1"/>
        <v/>
      </c>
      <c r="G198" s="8" t="str">
        <f ca="1"/>
        <v/>
      </c>
      <c r="H198" s="7" t="str">
        <f ca="1"/>
        <v/>
      </c>
      <c r="I198" s="7" t="str">
        <f ca="1"/>
        <v/>
      </c>
      <c r="J198" s="7" t="str">
        <f ca="1"/>
        <v/>
      </c>
      <c r="K198" s="7" t="str">
        <f ca="1"/>
        <v/>
      </c>
      <c r="L198" s="7" t="str">
        <f ca="1"/>
        <v>StillCaptureModeQuick</v>
      </c>
      <c r="M198" s="7" t="str">
        <f ca="1"/>
        <v>CustomStillCaptureMode</v>
      </c>
      <c r="N198" s="7" t="str">
        <f ca="1"/>
        <v/>
      </c>
      <c r="O198" s="7" t="str">
        <f ca="1"/>
        <v/>
      </c>
      <c r="P198" s="7" t="str">
        <f ca="1"/>
        <v/>
      </c>
      <c r="Q198" s="7" t="str">
        <f ca="1"/>
        <v/>
      </c>
      <c r="T198" s="7" t="str">
        <f ca="1"/>
        <v>Z8</v>
      </c>
      <c r="U198" s="7" t="str">
        <f ca="1"/>
        <v>0xD1AB</v>
      </c>
      <c r="V198" s="7" t="str">
        <f ca="1"/>
        <v>MovieExposureBiasCompensation</v>
      </c>
      <c r="X198" s="8" t="s">
        <v>585</v>
      </c>
      <c r="Y198" s="8" t="s">
        <v>585</v>
      </c>
      <c r="Z198" s="8" t="s">
        <v>1201</v>
      </c>
      <c r="AA198" s="8" t="s">
        <v>1201</v>
      </c>
      <c r="AB198" s="7" t="s">
        <v>625</v>
      </c>
      <c r="AC198" s="7" t="s">
        <v>607</v>
      </c>
      <c r="AD198" s="7" t="s">
        <v>607</v>
      </c>
      <c r="AE198" s="7" t="s">
        <v>605</v>
      </c>
      <c r="AF198" s="7" t="s">
        <v>575</v>
      </c>
      <c r="AG198" s="7" t="s">
        <v>1709</v>
      </c>
      <c r="AH198" s="7" t="s">
        <v>571</v>
      </c>
      <c r="AI198" s="7" t="s">
        <v>593</v>
      </c>
      <c r="AJ198" s="7" t="s">
        <v>563</v>
      </c>
      <c r="AK198" s="7" t="s">
        <v>1791</v>
      </c>
    </row>
    <row r="199" spans="1:37" x14ac:dyDescent="0.25">
      <c r="A199" s="13" t="str">
        <f ca="1"/>
        <v>0xD0F7</v>
      </c>
      <c r="B199" s="14" t="str">
        <f ca="1"/>
        <v>VignetteControl</v>
      </c>
      <c r="D199" s="8" t="str">
        <f ca="1"/>
        <v>VignetteControl</v>
      </c>
      <c r="E199" s="8" t="str">
        <f ca="1"/>
        <v>VignetteControl</v>
      </c>
      <c r="F199" s="8" t="str">
        <f ca="1"/>
        <v>VignetteControl</v>
      </c>
      <c r="G199" s="8" t="str">
        <f ca="1"/>
        <v>VignetteControl</v>
      </c>
      <c r="H199" s="7" t="str">
        <f ca="1"/>
        <v>VignetteControl</v>
      </c>
      <c r="I199" s="7" t="str">
        <f ca="1"/>
        <v>VignetteControl</v>
      </c>
      <c r="J199" s="7" t="str">
        <f ca="1"/>
        <v>VignetteControl</v>
      </c>
      <c r="K199" s="7" t="str">
        <f ca="1"/>
        <v>VignetteControl</v>
      </c>
      <c r="L199" s="7" t="str">
        <f ca="1"/>
        <v>VignetteControl</v>
      </c>
      <c r="M199" s="7" t="str">
        <f ca="1"/>
        <v>VignetteControl</v>
      </c>
      <c r="N199" s="7" t="str">
        <f ca="1"/>
        <v>VignetteControl</v>
      </c>
      <c r="O199" s="7" t="str">
        <f ca="1"/>
        <v>VignetteControl</v>
      </c>
      <c r="P199" s="7" t="str">
        <f ca="1"/>
        <v/>
      </c>
      <c r="Q199" s="7" t="str">
        <f ca="1"/>
        <v/>
      </c>
      <c r="T199" s="7" t="str">
        <f ca="1"/>
        <v>Z8</v>
      </c>
      <c r="U199" s="7" t="str">
        <f ca="1"/>
        <v>0xD1AC</v>
      </c>
      <c r="V199" s="7" t="str">
        <f ca="1"/>
        <v>LiveViewImageSize</v>
      </c>
      <c r="X199" s="8" t="s">
        <v>586</v>
      </c>
      <c r="Y199" s="8" t="s">
        <v>586</v>
      </c>
      <c r="Z199" s="8" t="s">
        <v>612</v>
      </c>
      <c r="AA199" s="8" t="s">
        <v>612</v>
      </c>
      <c r="AB199" s="7" t="s">
        <v>626</v>
      </c>
      <c r="AC199" s="7" t="s">
        <v>608</v>
      </c>
      <c r="AD199" s="7" t="s">
        <v>608</v>
      </c>
      <c r="AE199" s="7" t="s">
        <v>606</v>
      </c>
      <c r="AF199" s="7" t="s">
        <v>576</v>
      </c>
      <c r="AG199" s="7" t="s">
        <v>570</v>
      </c>
      <c r="AH199" s="7" t="s">
        <v>572</v>
      </c>
      <c r="AI199" s="7" t="s">
        <v>594</v>
      </c>
      <c r="AJ199" s="7" t="s">
        <v>1780</v>
      </c>
      <c r="AK199" s="7" t="s">
        <v>1792</v>
      </c>
    </row>
    <row r="200" spans="1:37" x14ac:dyDescent="0.25">
      <c r="A200" s="13" t="str">
        <f ca="1"/>
        <v>0xD0F8</v>
      </c>
      <c r="B200" s="14" t="str">
        <f ca="1"/>
        <v>AutoDistortion</v>
      </c>
      <c r="D200" s="8" t="str">
        <f ca="1"/>
        <v>AutoDistortion</v>
      </c>
      <c r="E200" s="8" t="str">
        <f ca="1"/>
        <v>AutoDistortion</v>
      </c>
      <c r="F200" s="8" t="str">
        <f ca="1"/>
        <v>AutoDistortion</v>
      </c>
      <c r="G200" s="8" t="str">
        <f ca="1"/>
        <v>AutoDistortion</v>
      </c>
      <c r="H200" s="7" t="str">
        <f ca="1"/>
        <v>AutoDistortion</v>
      </c>
      <c r="I200" s="7" t="str">
        <f ca="1"/>
        <v>AutoDistortion</v>
      </c>
      <c r="J200" s="7" t="str">
        <f ca="1"/>
        <v>AutoDistortion</v>
      </c>
      <c r="K200" s="7" t="str">
        <f ca="1"/>
        <v>AutoDistortion</v>
      </c>
      <c r="L200" s="7" t="str">
        <f ca="1"/>
        <v>AutoDistortion</v>
      </c>
      <c r="M200" s="7" t="str">
        <f ca="1"/>
        <v>AutoDistortion</v>
      </c>
      <c r="N200" s="7" t="str">
        <f ca="1"/>
        <v>AutoDistortion</v>
      </c>
      <c r="O200" s="7" t="str">
        <f ca="1"/>
        <v>AutoDistortion</v>
      </c>
      <c r="P200" s="7" t="str">
        <f ca="1"/>
        <v/>
      </c>
      <c r="Q200" s="7" t="str">
        <f ca="1"/>
        <v/>
      </c>
      <c r="T200" s="7" t="str">
        <f ca="1"/>
        <v>Z8</v>
      </c>
      <c r="U200" s="7" t="str">
        <f ca="1"/>
        <v>0xD1AF</v>
      </c>
      <c r="V200" s="7" t="str">
        <f ca="1"/>
        <v>MovieExposureMeteringMode</v>
      </c>
      <c r="X200" s="8" t="s">
        <v>587</v>
      </c>
      <c r="Y200" s="8" t="s">
        <v>587</v>
      </c>
      <c r="Z200" s="8" t="s">
        <v>613</v>
      </c>
      <c r="AA200" s="8" t="s">
        <v>613</v>
      </c>
      <c r="AB200" s="7" t="s">
        <v>627</v>
      </c>
      <c r="AC200" s="7" t="s">
        <v>609</v>
      </c>
      <c r="AD200" s="7" t="s">
        <v>609</v>
      </c>
      <c r="AE200" s="7" t="s">
        <v>607</v>
      </c>
      <c r="AF200" s="7" t="s">
        <v>577</v>
      </c>
      <c r="AG200" s="7" t="s">
        <v>571</v>
      </c>
      <c r="AH200" s="7" t="s">
        <v>573</v>
      </c>
      <c r="AI200" s="7" t="s">
        <v>595</v>
      </c>
      <c r="AJ200" s="7" t="s">
        <v>1781</v>
      </c>
      <c r="AK200" s="7" t="s">
        <v>1793</v>
      </c>
    </row>
    <row r="201" spans="1:37" x14ac:dyDescent="0.25">
      <c r="A201" s="13" t="str">
        <f ca="1"/>
        <v>0xD0F9</v>
      </c>
      <c r="B201" s="14" t="str">
        <f ca="1"/>
        <v>SceneMode</v>
      </c>
      <c r="D201" s="8" t="str">
        <f ca="1"/>
        <v/>
      </c>
      <c r="E201" s="8" t="str">
        <f ca="1"/>
        <v/>
      </c>
      <c r="F201" s="8" t="str">
        <f ca="1"/>
        <v/>
      </c>
      <c r="G201" s="8" t="str">
        <f ca="1"/>
        <v/>
      </c>
      <c r="H201" s="7" t="str">
        <f ca="1"/>
        <v>SceneMode</v>
      </c>
      <c r="I201" s="7" t="str">
        <f ca="1"/>
        <v/>
      </c>
      <c r="J201" s="7" t="str">
        <f ca="1"/>
        <v/>
      </c>
      <c r="K201" s="7" t="str">
        <f ca="1"/>
        <v/>
      </c>
      <c r="L201" s="7" t="str">
        <f ca="1"/>
        <v/>
      </c>
      <c r="M201" s="7" t="str">
        <f ca="1"/>
        <v/>
      </c>
      <c r="N201" s="7" t="str">
        <f ca="1"/>
        <v/>
      </c>
      <c r="O201" s="7" t="str">
        <f ca="1"/>
        <v/>
      </c>
      <c r="P201" s="7" t="str">
        <f ca="1"/>
        <v/>
      </c>
      <c r="Q201" s="7" t="str">
        <f ca="1"/>
        <v/>
      </c>
      <c r="T201" s="7" t="str">
        <f ca="1"/>
        <v>Z8</v>
      </c>
      <c r="U201" s="7" t="str">
        <f ca="1"/>
        <v>0xD1B0</v>
      </c>
      <c r="V201" s="7" t="str">
        <f ca="1"/>
        <v>ExposureDisplayStatus</v>
      </c>
      <c r="X201" s="8" t="s">
        <v>588</v>
      </c>
      <c r="Y201" s="8" t="s">
        <v>588</v>
      </c>
      <c r="Z201" s="8" t="s">
        <v>614</v>
      </c>
      <c r="AA201" s="8" t="s">
        <v>614</v>
      </c>
      <c r="AB201" s="7" t="s">
        <v>628</v>
      </c>
      <c r="AC201" s="7" t="s">
        <v>610</v>
      </c>
      <c r="AD201" s="7" t="s">
        <v>610</v>
      </c>
      <c r="AE201" s="7" t="s">
        <v>608</v>
      </c>
      <c r="AF201" s="7" t="s">
        <v>578</v>
      </c>
      <c r="AG201" s="7" t="s">
        <v>572</v>
      </c>
      <c r="AH201" s="7" t="s">
        <v>574</v>
      </c>
      <c r="AI201" s="7" t="s">
        <v>1198</v>
      </c>
      <c r="AJ201" s="7" t="s">
        <v>1782</v>
      </c>
      <c r="AK201" s="7" t="s">
        <v>1708</v>
      </c>
    </row>
    <row r="202" spans="1:37" x14ac:dyDescent="0.25">
      <c r="A202" s="13" t="str">
        <f ca="1"/>
        <v>0xD0FA</v>
      </c>
      <c r="B202" s="14" t="str">
        <f ca="1"/>
        <v>LiveViewWbColorTemp</v>
      </c>
      <c r="D202" s="8" t="str">
        <f ca="1"/>
        <v/>
      </c>
      <c r="E202" s="8" t="str">
        <f ca="1"/>
        <v/>
      </c>
      <c r="F202" s="8" t="str">
        <f ca="1"/>
        <v/>
      </c>
      <c r="G202" s="8" t="str">
        <f ca="1"/>
        <v/>
      </c>
      <c r="H202" s="7" t="str">
        <f ca="1"/>
        <v/>
      </c>
      <c r="I202" s="7" t="str">
        <f ca="1"/>
        <v/>
      </c>
      <c r="J202" s="7" t="str">
        <f ca="1"/>
        <v/>
      </c>
      <c r="K202" s="7" t="str">
        <f ca="1"/>
        <v/>
      </c>
      <c r="L202" s="7" t="str">
        <f ca="1"/>
        <v>LiveViewWbColorTemp</v>
      </c>
      <c r="M202" s="7" t="str">
        <f ca="1"/>
        <v/>
      </c>
      <c r="N202" s="7" t="str">
        <f ca="1"/>
        <v/>
      </c>
      <c r="O202" s="7" t="str">
        <f ca="1"/>
        <v/>
      </c>
      <c r="P202" s="7" t="str">
        <f ca="1"/>
        <v/>
      </c>
      <c r="Q202" s="7" t="str">
        <f ca="1"/>
        <v/>
      </c>
      <c r="T202" s="7" t="str">
        <f ca="1"/>
        <v>Z8</v>
      </c>
      <c r="U202" s="7" t="str">
        <f ca="1"/>
        <v>0xD1B1</v>
      </c>
      <c r="V202" s="7" t="str">
        <f ca="1"/>
        <v>ExposureIndicateStatus</v>
      </c>
      <c r="X202" s="8" t="s">
        <v>589</v>
      </c>
      <c r="Y202" s="8" t="s">
        <v>589</v>
      </c>
      <c r="Z202" s="8" t="s">
        <v>615</v>
      </c>
      <c r="AA202" s="8" t="s">
        <v>615</v>
      </c>
      <c r="AB202" s="7" t="s">
        <v>629</v>
      </c>
      <c r="AC202" s="7" t="s">
        <v>611</v>
      </c>
      <c r="AD202" s="7" t="s">
        <v>611</v>
      </c>
      <c r="AE202" s="7" t="s">
        <v>609</v>
      </c>
      <c r="AF202" s="7" t="s">
        <v>579</v>
      </c>
      <c r="AG202" s="7" t="s">
        <v>573</v>
      </c>
      <c r="AH202" s="7" t="s">
        <v>575</v>
      </c>
      <c r="AI202" s="7" t="s">
        <v>1199</v>
      </c>
      <c r="AJ202" s="7" t="s">
        <v>1783</v>
      </c>
      <c r="AK202" s="7" t="s">
        <v>1733</v>
      </c>
    </row>
    <row r="203" spans="1:37" x14ac:dyDescent="0.25">
      <c r="A203" s="13" t="str">
        <f ca="1"/>
        <v>0xD0FB</v>
      </c>
      <c r="B203" s="14" t="str">
        <f ca="1"/>
        <v>LiveViewWbTuneColorTemp</v>
      </c>
      <c r="D203" s="8" t="str">
        <f ca="1"/>
        <v/>
      </c>
      <c r="E203" s="8" t="str">
        <f ca="1"/>
        <v/>
      </c>
      <c r="F203" s="8" t="str">
        <f ca="1"/>
        <v/>
      </c>
      <c r="G203" s="8" t="str">
        <f ca="1"/>
        <v/>
      </c>
      <c r="H203" s="7" t="str">
        <f ca="1"/>
        <v/>
      </c>
      <c r="I203" s="7" t="str">
        <f ca="1"/>
        <v/>
      </c>
      <c r="J203" s="7" t="str">
        <f ca="1"/>
        <v/>
      </c>
      <c r="K203" s="7" t="str">
        <f ca="1"/>
        <v/>
      </c>
      <c r="L203" s="7" t="str">
        <f ca="1"/>
        <v>LiveViewWbTuneColorTemp</v>
      </c>
      <c r="M203" s="7" t="str">
        <f ca="1"/>
        <v/>
      </c>
      <c r="N203" s="7" t="str">
        <f ca="1"/>
        <v/>
      </c>
      <c r="O203" s="7" t="str">
        <f ca="1"/>
        <v/>
      </c>
      <c r="P203" s="7" t="str">
        <f ca="1"/>
        <v/>
      </c>
      <c r="Q203" s="7" t="str">
        <f ca="1"/>
        <v/>
      </c>
      <c r="T203" s="7" t="str">
        <f ca="1"/>
        <v>Z8</v>
      </c>
      <c r="U203" s="7" t="str">
        <f ca="1"/>
        <v>0xD1B2</v>
      </c>
      <c r="V203" s="7" t="str">
        <f ca="1"/>
        <v>InfoDisplayErrorStatus</v>
      </c>
      <c r="X203" s="8" t="s">
        <v>590</v>
      </c>
      <c r="Y203" s="8" t="s">
        <v>590</v>
      </c>
      <c r="Z203" s="8" t="s">
        <v>616</v>
      </c>
      <c r="AA203" s="8" t="s">
        <v>616</v>
      </c>
      <c r="AB203" s="7" t="s">
        <v>630</v>
      </c>
      <c r="AC203" s="7" t="s">
        <v>1200</v>
      </c>
      <c r="AD203" s="7" t="s">
        <v>1200</v>
      </c>
      <c r="AE203" s="7" t="s">
        <v>610</v>
      </c>
      <c r="AF203" s="7" t="s">
        <v>582</v>
      </c>
      <c r="AG203" s="7" t="s">
        <v>574</v>
      </c>
      <c r="AH203" s="7" t="s">
        <v>576</v>
      </c>
      <c r="AI203" s="7" t="s">
        <v>596</v>
      </c>
      <c r="AJ203" s="7" t="s">
        <v>1784</v>
      </c>
      <c r="AK203" s="7" t="s">
        <v>1794</v>
      </c>
    </row>
    <row r="204" spans="1:37" x14ac:dyDescent="0.25">
      <c r="A204" s="13" t="str">
        <f ca="1"/>
        <v>0xD0FC</v>
      </c>
      <c r="B204" s="14" t="str">
        <f ca="1"/>
        <v>UserMode</v>
      </c>
      <c r="D204" s="8" t="str">
        <f ca="1"/>
        <v/>
      </c>
      <c r="E204" s="8" t="str">
        <f ca="1"/>
        <v/>
      </c>
      <c r="F204" s="8" t="str">
        <f ca="1"/>
        <v>UserMode</v>
      </c>
      <c r="G204" s="8" t="str">
        <f ca="1"/>
        <v>UserMode</v>
      </c>
      <c r="H204" s="7" t="str">
        <f ca="1"/>
        <v>UserMode</v>
      </c>
      <c r="I204" s="7" t="str">
        <f ca="1"/>
        <v>UserMode</v>
      </c>
      <c r="J204" s="7" t="str">
        <f ca="1"/>
        <v>UserMode</v>
      </c>
      <c r="K204" s="7" t="str">
        <f ca="1"/>
        <v>UserMode</v>
      </c>
      <c r="L204" s="7" t="str">
        <f ca="1"/>
        <v/>
      </c>
      <c r="M204" s="7" t="str">
        <f ca="1"/>
        <v/>
      </c>
      <c r="N204" s="7" t="str">
        <f ca="1"/>
        <v/>
      </c>
      <c r="O204" s="7" t="str">
        <f ca="1"/>
        <v/>
      </c>
      <c r="P204" s="7" t="str">
        <f ca="1"/>
        <v/>
      </c>
      <c r="Q204" s="7" t="str">
        <f ca="1"/>
        <v/>
      </c>
      <c r="T204" s="7" t="str">
        <f ca="1"/>
        <v>Z8</v>
      </c>
      <c r="U204" s="7" t="str">
        <f ca="1"/>
        <v>0xD1B3</v>
      </c>
      <c r="V204" s="7" t="str">
        <f ca="1"/>
        <v>ExposureIndicateLightup</v>
      </c>
      <c r="X204" s="8" t="s">
        <v>591</v>
      </c>
      <c r="Y204" s="8" t="s">
        <v>591</v>
      </c>
      <c r="Z204" s="8" t="s">
        <v>617</v>
      </c>
      <c r="AA204" s="8" t="s">
        <v>617</v>
      </c>
      <c r="AB204" s="7" t="s">
        <v>631</v>
      </c>
      <c r="AC204" s="7" t="s">
        <v>1201</v>
      </c>
      <c r="AD204" s="7" t="s">
        <v>1201</v>
      </c>
      <c r="AE204" s="7" t="s">
        <v>611</v>
      </c>
      <c r="AF204" s="7" t="s">
        <v>583</v>
      </c>
      <c r="AG204" s="7" t="s">
        <v>575</v>
      </c>
      <c r="AH204" s="7" t="s">
        <v>577</v>
      </c>
      <c r="AI204" s="7" t="s">
        <v>597</v>
      </c>
      <c r="AJ204" s="7" t="s">
        <v>1785</v>
      </c>
      <c r="AK204" s="7" t="s">
        <v>1795</v>
      </c>
    </row>
    <row r="205" spans="1:37" x14ac:dyDescent="0.25">
      <c r="A205" s="13" t="str">
        <f ca="1"/>
        <v>0xD100</v>
      </c>
      <c r="B205" s="14" t="str">
        <f ca="1"/>
        <v>ShutterSpeed</v>
      </c>
      <c r="D205" s="8" t="str">
        <f ca="1"/>
        <v>ShutterSpeed</v>
      </c>
      <c r="E205" s="8" t="str">
        <f ca="1"/>
        <v>ShutterSpeed</v>
      </c>
      <c r="F205" s="8" t="str">
        <f ca="1"/>
        <v>ShutterSpeed</v>
      </c>
      <c r="G205" s="8" t="str">
        <f ca="1"/>
        <v>ShutterSpeed</v>
      </c>
      <c r="H205" s="7" t="str">
        <f ca="1"/>
        <v>ShutterSpeed</v>
      </c>
      <c r="I205" s="7" t="str">
        <f ca="1"/>
        <v>ShutterSpeed</v>
      </c>
      <c r="J205" s="7" t="str">
        <f ca="1"/>
        <v>ShutterSpeed</v>
      </c>
      <c r="K205" s="7" t="str">
        <f ca="1"/>
        <v>ShutterSpeed</v>
      </c>
      <c r="L205" s="7" t="str">
        <f ca="1"/>
        <v>ShutterSpeed</v>
      </c>
      <c r="M205" s="7" t="str">
        <f ca="1"/>
        <v>ShutterSpeed</v>
      </c>
      <c r="N205" s="7" t="str">
        <f ca="1"/>
        <v>ShutterSpeed</v>
      </c>
      <c r="O205" s="7" t="str">
        <f ca="1"/>
        <v>ShutterSpeed</v>
      </c>
      <c r="P205" s="7" t="str">
        <f ca="1"/>
        <v>ShutterSpeed</v>
      </c>
      <c r="Q205" s="7" t="str">
        <f ca="1"/>
        <v>ShutterSpeed</v>
      </c>
      <c r="T205" s="7" t="str">
        <f ca="1"/>
        <v>Z8</v>
      </c>
      <c r="U205" s="7" t="str">
        <f ca="1"/>
        <v>0xD1B4</v>
      </c>
      <c r="V205" s="7" t="str">
        <f ca="1"/>
        <v>ContinuousShootingCount</v>
      </c>
      <c r="X205" s="8" t="s">
        <v>592</v>
      </c>
      <c r="Y205" s="8" t="s">
        <v>592</v>
      </c>
      <c r="Z205" s="8" t="s">
        <v>618</v>
      </c>
      <c r="AA205" s="8" t="s">
        <v>618</v>
      </c>
      <c r="AB205" s="7" t="s">
        <v>632</v>
      </c>
      <c r="AC205" s="7" t="s">
        <v>612</v>
      </c>
      <c r="AD205" s="7" t="s">
        <v>612</v>
      </c>
      <c r="AE205" s="7" t="s">
        <v>612</v>
      </c>
      <c r="AF205" s="7" t="s">
        <v>584</v>
      </c>
      <c r="AG205" s="7" t="s">
        <v>576</v>
      </c>
      <c r="AH205" s="7" t="s">
        <v>578</v>
      </c>
      <c r="AI205" s="7" t="s">
        <v>1734</v>
      </c>
      <c r="AJ205" s="7" t="s">
        <v>1786</v>
      </c>
      <c r="AK205" s="7" t="s">
        <v>1796</v>
      </c>
    </row>
    <row r="206" spans="1:37" x14ac:dyDescent="0.25">
      <c r="A206" s="13" t="str">
        <f ca="1"/>
        <v>0xD101</v>
      </c>
      <c r="B206" s="14" t="str">
        <f ca="1"/>
        <v>ExternalDC</v>
      </c>
      <c r="D206" s="8" t="str">
        <f ca="1"/>
        <v>ExternalDC</v>
      </c>
      <c r="E206" s="8" t="str">
        <f ca="1"/>
        <v>ExternalDC</v>
      </c>
      <c r="F206" s="8" t="str">
        <f ca="1"/>
        <v>ExternalDC</v>
      </c>
      <c r="G206" s="8" t="str">
        <f ca="1"/>
        <v>ExternalDC</v>
      </c>
      <c r="H206" s="7" t="str">
        <f ca="1"/>
        <v>ExternalDC</v>
      </c>
      <c r="I206" s="7" t="str">
        <f ca="1"/>
        <v>ExternalDC</v>
      </c>
      <c r="J206" s="7" t="str">
        <f ca="1"/>
        <v>ExternalDC</v>
      </c>
      <c r="K206" s="7" t="str">
        <f ca="1"/>
        <v>ExternalDC</v>
      </c>
      <c r="L206" s="7" t="str">
        <f ca="1"/>
        <v>ExternalDC</v>
      </c>
      <c r="M206" s="7" t="str">
        <f ca="1"/>
        <v>ExternalDC</v>
      </c>
      <c r="N206" s="7" t="str">
        <f ca="1"/>
        <v>ExternalDC</v>
      </c>
      <c r="O206" s="7" t="str">
        <f ca="1"/>
        <v>ExternalDC</v>
      </c>
      <c r="P206" s="7" t="str">
        <f ca="1"/>
        <v>ExternalDC</v>
      </c>
      <c r="Q206" s="7" t="str">
        <f ca="1"/>
        <v>ExternalDC</v>
      </c>
      <c r="T206" s="7" t="str">
        <f ca="1"/>
        <v>Z8</v>
      </c>
      <c r="U206" s="7" t="str">
        <f ca="1"/>
        <v>0xD1B8</v>
      </c>
      <c r="V206" s="7" t="str">
        <f ca="1"/>
        <v>CameraLiveViewStatus</v>
      </c>
      <c r="X206" s="8" t="s">
        <v>593</v>
      </c>
      <c r="Y206" s="8" t="s">
        <v>593</v>
      </c>
      <c r="Z206" s="8" t="s">
        <v>619</v>
      </c>
      <c r="AA206" s="8" t="s">
        <v>619</v>
      </c>
      <c r="AB206" s="7" t="s">
        <v>633</v>
      </c>
      <c r="AC206" s="7" t="s">
        <v>613</v>
      </c>
      <c r="AD206" s="7" t="s">
        <v>613</v>
      </c>
      <c r="AE206" s="7" t="s">
        <v>613</v>
      </c>
      <c r="AF206" s="7" t="s">
        <v>585</v>
      </c>
      <c r="AG206" s="7" t="s">
        <v>577</v>
      </c>
      <c r="AH206" s="7" t="s">
        <v>579</v>
      </c>
      <c r="AI206" s="7" t="s">
        <v>1735</v>
      </c>
      <c r="AJ206" s="7" t="s">
        <v>1787</v>
      </c>
      <c r="AK206" s="7" t="s">
        <v>1797</v>
      </c>
    </row>
    <row r="207" spans="1:37" x14ac:dyDescent="0.25">
      <c r="A207" s="13" t="str">
        <f ca="1"/>
        <v>0xD102</v>
      </c>
      <c r="B207" s="14" t="str">
        <f ca="1"/>
        <v>WarningStatus</v>
      </c>
      <c r="D207" s="8" t="str">
        <f ca="1"/>
        <v>WarningStatus</v>
      </c>
      <c r="E207" s="8" t="str">
        <f ca="1"/>
        <v>WarningStatus</v>
      </c>
      <c r="F207" s="8" t="str">
        <f ca="1"/>
        <v>WarningStatus</v>
      </c>
      <c r="G207" s="8" t="str">
        <f ca="1"/>
        <v>WarningStatus</v>
      </c>
      <c r="H207" s="7" t="str">
        <f ca="1"/>
        <v>WarningStatus</v>
      </c>
      <c r="I207" s="7" t="str">
        <f ca="1"/>
        <v>WarningStatus</v>
      </c>
      <c r="J207" s="7" t="str">
        <f ca="1"/>
        <v>WarningStatus</v>
      </c>
      <c r="K207" s="7" t="str">
        <f ca="1"/>
        <v>WarningStatus</v>
      </c>
      <c r="L207" s="7" t="str">
        <f ca="1"/>
        <v>WarningStatus</v>
      </c>
      <c r="M207" s="7" t="str">
        <f ca="1"/>
        <v>WarningStatus</v>
      </c>
      <c r="N207" s="7" t="str">
        <f ca="1"/>
        <v>WarningStatus</v>
      </c>
      <c r="O207" s="7" t="str">
        <f ca="1"/>
        <v>WarningStatus</v>
      </c>
      <c r="P207" s="7" t="str">
        <f ca="1"/>
        <v>WarningStatus</v>
      </c>
      <c r="Q207" s="7" t="str">
        <f ca="1"/>
        <v>WarningStatus</v>
      </c>
      <c r="T207" s="7" t="str">
        <f ca="1"/>
        <v>Z8</v>
      </c>
      <c r="U207" s="7" t="str">
        <f ca="1"/>
        <v>0xD1BA</v>
      </c>
      <c r="V207" s="7" t="str">
        <f ca="1"/>
        <v>MonitorOffStatus</v>
      </c>
      <c r="X207" s="8" t="s">
        <v>594</v>
      </c>
      <c r="Y207" s="8" t="s">
        <v>594</v>
      </c>
      <c r="Z207" s="8" t="s">
        <v>620</v>
      </c>
      <c r="AA207" s="8" t="s">
        <v>620</v>
      </c>
      <c r="AB207" s="7" t="s">
        <v>634</v>
      </c>
      <c r="AC207" s="7" t="s">
        <v>614</v>
      </c>
      <c r="AD207" s="7" t="s">
        <v>614</v>
      </c>
      <c r="AE207" s="7" t="s">
        <v>614</v>
      </c>
      <c r="AF207" s="7" t="s">
        <v>1521</v>
      </c>
      <c r="AG207" s="7" t="s">
        <v>578</v>
      </c>
      <c r="AH207" s="7" t="s">
        <v>580</v>
      </c>
      <c r="AI207" s="7" t="s">
        <v>608</v>
      </c>
      <c r="AJ207" s="7" t="s">
        <v>1788</v>
      </c>
      <c r="AK207" s="7" t="s">
        <v>570</v>
      </c>
    </row>
    <row r="208" spans="1:37" x14ac:dyDescent="0.25">
      <c r="A208" s="13" t="str">
        <f ca="1"/>
        <v>0xD103</v>
      </c>
      <c r="B208" s="14" t="str">
        <f ca="1"/>
        <v>RemainingExposure</v>
      </c>
      <c r="D208" s="8" t="str">
        <f ca="1"/>
        <v/>
      </c>
      <c r="E208" s="8" t="str">
        <f ca="1"/>
        <v/>
      </c>
      <c r="F208" s="8" t="str">
        <f ca="1"/>
        <v/>
      </c>
      <c r="G208" s="8" t="str">
        <f ca="1"/>
        <v/>
      </c>
      <c r="H208" s="7" t="str">
        <f ca="1"/>
        <v/>
      </c>
      <c r="I208" s="7" t="str">
        <f ca="1"/>
        <v/>
      </c>
      <c r="J208" s="7" t="str">
        <f ca="1"/>
        <v/>
      </c>
      <c r="K208" s="7" t="str">
        <f ca="1"/>
        <v/>
      </c>
      <c r="L208" s="7" t="str">
        <f ca="1"/>
        <v/>
      </c>
      <c r="M208" s="7" t="str">
        <f ca="1"/>
        <v/>
      </c>
      <c r="N208" s="7" t="str">
        <f ca="1"/>
        <v/>
      </c>
      <c r="O208" s="7" t="str">
        <f ca="1"/>
        <v>RemainingExposure</v>
      </c>
      <c r="P208" s="7" t="str">
        <f ca="1"/>
        <v>RemainingExposure</v>
      </c>
      <c r="Q208" s="7" t="str">
        <f ca="1"/>
        <v>RemainingExposure</v>
      </c>
      <c r="T208" s="7" t="str">
        <f ca="1"/>
        <v>Z8</v>
      </c>
      <c r="U208" s="7" t="str">
        <f ca="1"/>
        <v>0xD1BB</v>
      </c>
      <c r="V208" s="7" t="str">
        <f ca="1"/>
        <v>LiveViewImageStatus</v>
      </c>
      <c r="X208" s="8" t="s">
        <v>595</v>
      </c>
      <c r="Y208" s="8" t="s">
        <v>595</v>
      </c>
      <c r="Z208" s="8" t="s">
        <v>621</v>
      </c>
      <c r="AA208" s="8" t="s">
        <v>621</v>
      </c>
      <c r="AB208" s="7" t="s">
        <v>635</v>
      </c>
      <c r="AC208" s="7" t="s">
        <v>615</v>
      </c>
      <c r="AD208" s="7" t="s">
        <v>615</v>
      </c>
      <c r="AE208" s="7" t="s">
        <v>615</v>
      </c>
      <c r="AF208" s="7" t="s">
        <v>1663</v>
      </c>
      <c r="AG208" s="7" t="s">
        <v>579</v>
      </c>
      <c r="AH208" s="7" t="s">
        <v>581</v>
      </c>
      <c r="AI208" s="7" t="s">
        <v>609</v>
      </c>
      <c r="AJ208" s="7" t="s">
        <v>1789</v>
      </c>
      <c r="AK208" s="7" t="s">
        <v>571</v>
      </c>
    </row>
    <row r="209" spans="1:37" x14ac:dyDescent="0.25">
      <c r="A209" s="13" t="str">
        <f ca="1"/>
        <v>0xD104</v>
      </c>
      <c r="B209" s="14" t="str">
        <f ca="1"/>
        <v>AFLockStatus</v>
      </c>
      <c r="D209" s="8" t="str">
        <f ca="1"/>
        <v>AFLockStatus</v>
      </c>
      <c r="E209" s="8" t="str">
        <f ca="1"/>
        <v>AFLockStatus</v>
      </c>
      <c r="F209" s="8" t="str">
        <f ca="1"/>
        <v>AFLockStatus</v>
      </c>
      <c r="G209" s="8" t="str">
        <f ca="1"/>
        <v>AFLockStatus</v>
      </c>
      <c r="H209" s="7" t="str">
        <f ca="1"/>
        <v>AFLockStatus</v>
      </c>
      <c r="I209" s="7" t="str">
        <f ca="1"/>
        <v>AFLockStatus</v>
      </c>
      <c r="J209" s="7" t="str">
        <f ca="1"/>
        <v>AFLockStatus</v>
      </c>
      <c r="K209" s="7" t="str">
        <f ca="1"/>
        <v>AFLockStatus</v>
      </c>
      <c r="L209" s="7" t="str">
        <f ca="1"/>
        <v>AFLockStatus</v>
      </c>
      <c r="M209" s="7" t="str">
        <f ca="1"/>
        <v>AFLockStatus</v>
      </c>
      <c r="N209" s="7" t="str">
        <f ca="1"/>
        <v>AFLockStatus</v>
      </c>
      <c r="O209" s="7" t="str">
        <f ca="1"/>
        <v>AFLockStatus</v>
      </c>
      <c r="P209" s="7" t="str">
        <f ca="1"/>
        <v>AFLockStatus</v>
      </c>
      <c r="Q209" s="7" t="str">
        <f ca="1"/>
        <v>AFLockStatus</v>
      </c>
      <c r="T209" s="7" t="str">
        <f ca="1"/>
        <v>Z8</v>
      </c>
      <c r="U209" s="7" t="str">
        <f ca="1"/>
        <v>0xD1BC</v>
      </c>
      <c r="V209" s="7" t="str">
        <f ca="1"/>
        <v>LiveViewImageCompression</v>
      </c>
      <c r="X209" s="8" t="s">
        <v>596</v>
      </c>
      <c r="Y209" s="8" t="s">
        <v>596</v>
      </c>
      <c r="Z209" s="8" t="s">
        <v>1202</v>
      </c>
      <c r="AA209" s="8" t="s">
        <v>1202</v>
      </c>
      <c r="AB209" s="7" t="s">
        <v>636</v>
      </c>
      <c r="AC209" s="7" t="s">
        <v>616</v>
      </c>
      <c r="AD209" s="7" t="s">
        <v>616</v>
      </c>
      <c r="AE209" s="7" t="s">
        <v>618</v>
      </c>
      <c r="AF209" s="7" t="s">
        <v>586</v>
      </c>
      <c r="AG209" s="7" t="s">
        <v>580</v>
      </c>
      <c r="AH209" s="7" t="s">
        <v>582</v>
      </c>
      <c r="AI209" s="7" t="s">
        <v>622</v>
      </c>
      <c r="AJ209" s="7" t="s">
        <v>1790</v>
      </c>
      <c r="AK209" s="7" t="s">
        <v>1798</v>
      </c>
    </row>
    <row r="210" spans="1:37" x14ac:dyDescent="0.25">
      <c r="A210" s="13" t="str">
        <f ca="1"/>
        <v>0xD105</v>
      </c>
      <c r="B210" s="14" t="str">
        <f ca="1"/>
        <v>AELockStatus</v>
      </c>
      <c r="D210" s="8" t="str">
        <f ca="1"/>
        <v>AELockStatus</v>
      </c>
      <c r="E210" s="8" t="str">
        <f ca="1"/>
        <v>AELockStatus</v>
      </c>
      <c r="F210" s="8" t="str">
        <f ca="1"/>
        <v>AELockStatus</v>
      </c>
      <c r="G210" s="8" t="str">
        <f ca="1"/>
        <v>AELockStatus</v>
      </c>
      <c r="H210" s="7" t="str">
        <f ca="1"/>
        <v>AELockStatus</v>
      </c>
      <c r="I210" s="7" t="str">
        <f ca="1"/>
        <v>AELockStatus</v>
      </c>
      <c r="J210" s="7" t="str">
        <f ca="1"/>
        <v>AELockStatus</v>
      </c>
      <c r="K210" s="7" t="str">
        <f ca="1"/>
        <v>AELockStatus</v>
      </c>
      <c r="L210" s="7" t="str">
        <f ca="1"/>
        <v>AELockStatus</v>
      </c>
      <c r="M210" s="7" t="str">
        <f ca="1"/>
        <v>AELockStatus</v>
      </c>
      <c r="N210" s="7" t="str">
        <f ca="1"/>
        <v>AELockStatus</v>
      </c>
      <c r="O210" s="7" t="str">
        <f ca="1"/>
        <v>AELockStatus</v>
      </c>
      <c r="P210" s="7" t="str">
        <f ca="1"/>
        <v>AELockStatus</v>
      </c>
      <c r="Q210" s="7" t="str">
        <f ca="1"/>
        <v>AELockStatus</v>
      </c>
      <c r="T210" s="7" t="str">
        <f ca="1"/>
        <v>Z8</v>
      </c>
      <c r="U210" s="7" t="str">
        <f ca="1"/>
        <v>0xD1BD</v>
      </c>
      <c r="V210" s="7" t="str">
        <f ca="1"/>
        <v>LiveViewZoomArea</v>
      </c>
      <c r="X210" s="8" t="s">
        <v>597</v>
      </c>
      <c r="Y210" s="8" t="s">
        <v>597</v>
      </c>
      <c r="Z210" s="8" t="s">
        <v>1203</v>
      </c>
      <c r="AA210" s="8" t="s">
        <v>1203</v>
      </c>
      <c r="AB210" s="7" t="s">
        <v>637</v>
      </c>
      <c r="AC210" s="7" t="s">
        <v>617</v>
      </c>
      <c r="AD210" s="7" t="s">
        <v>617</v>
      </c>
      <c r="AE210" s="7" t="s">
        <v>619</v>
      </c>
      <c r="AF210" s="7" t="s">
        <v>587</v>
      </c>
      <c r="AG210" s="7" t="s">
        <v>581</v>
      </c>
      <c r="AH210" s="7" t="s">
        <v>583</v>
      </c>
      <c r="AI210" s="7" t="s">
        <v>623</v>
      </c>
      <c r="AJ210" s="7" t="s">
        <v>1791</v>
      </c>
      <c r="AK210" s="7" t="s">
        <v>1799</v>
      </c>
    </row>
    <row r="211" spans="1:37" x14ac:dyDescent="0.25">
      <c r="A211" s="13" t="str">
        <f ca="1"/>
        <v>0xD106</v>
      </c>
      <c r="B211" s="14" t="str">
        <f ca="1"/>
        <v>FVLockStatus</v>
      </c>
      <c r="D211" s="8" t="str">
        <f ca="1"/>
        <v>FVLockStatus</v>
      </c>
      <c r="E211" s="8" t="str">
        <f ca="1"/>
        <v>FVLockStatus</v>
      </c>
      <c r="F211" s="8" t="str">
        <f ca="1"/>
        <v>FVLockStatus</v>
      </c>
      <c r="G211" s="8" t="str">
        <f ca="1"/>
        <v>FVLockStatus</v>
      </c>
      <c r="H211" s="7" t="str">
        <f ca="1"/>
        <v>FVLockStatus</v>
      </c>
      <c r="I211" s="7" t="str">
        <f ca="1"/>
        <v>FVLockStatus</v>
      </c>
      <c r="J211" s="7" t="str">
        <f ca="1"/>
        <v>FVLockStatus</v>
      </c>
      <c r="K211" s="7" t="str">
        <f ca="1"/>
        <v>FVLockStatus</v>
      </c>
      <c r="L211" s="7" t="str">
        <f ca="1"/>
        <v>FVLockStatus</v>
      </c>
      <c r="M211" s="7" t="str">
        <f ca="1"/>
        <v>FVLockStatus</v>
      </c>
      <c r="N211" s="7" t="str">
        <f ca="1"/>
        <v>FVLockStatus</v>
      </c>
      <c r="O211" s="7" t="str">
        <f ca="1"/>
        <v>FVLockStatus</v>
      </c>
      <c r="P211" s="7" t="str">
        <f ca="1"/>
        <v>FVLockStatus</v>
      </c>
      <c r="Q211" s="7" t="str">
        <f ca="1"/>
        <v>FVLockStatus</v>
      </c>
      <c r="T211" s="7" t="str">
        <f ca="1"/>
        <v>Z8</v>
      </c>
      <c r="U211" s="7" t="str">
        <f ca="1"/>
        <v>0xD1C5</v>
      </c>
      <c r="V211" s="7" t="str">
        <f ca="1"/>
        <v>AutoFlashIsoSensitivityControl</v>
      </c>
      <c r="X211" s="8" t="s">
        <v>598</v>
      </c>
      <c r="Y211" s="8" t="s">
        <v>598</v>
      </c>
      <c r="Z211" s="8" t="s">
        <v>622</v>
      </c>
      <c r="AA211" s="8" t="s">
        <v>622</v>
      </c>
      <c r="AB211" s="7" t="s">
        <v>638</v>
      </c>
      <c r="AC211" s="7" t="s">
        <v>618</v>
      </c>
      <c r="AD211" s="7" t="s">
        <v>618</v>
      </c>
      <c r="AE211" s="7" t="s">
        <v>622</v>
      </c>
      <c r="AF211" s="7" t="s">
        <v>588</v>
      </c>
      <c r="AG211" s="7" t="s">
        <v>582</v>
      </c>
      <c r="AH211" s="7" t="s">
        <v>584</v>
      </c>
      <c r="AI211" s="7" t="s">
        <v>624</v>
      </c>
      <c r="AJ211" s="7" t="s">
        <v>1792</v>
      </c>
      <c r="AK211" s="7" t="s">
        <v>1800</v>
      </c>
    </row>
    <row r="212" spans="1:37" x14ac:dyDescent="0.25">
      <c r="A212" s="13" t="str">
        <f ca="1"/>
        <v>0xD108</v>
      </c>
      <c r="B212" s="14" t="str">
        <f ca="1"/>
        <v>FocusArea</v>
      </c>
      <c r="D212" s="8" t="str">
        <f ca="1"/>
        <v/>
      </c>
      <c r="E212" s="8" t="str">
        <f ca="1"/>
        <v/>
      </c>
      <c r="F212" s="8" t="str">
        <f ca="1"/>
        <v/>
      </c>
      <c r="G212" s="8" t="str">
        <f ca="1"/>
        <v/>
      </c>
      <c r="H212" s="7" t="str">
        <f ca="1"/>
        <v/>
      </c>
      <c r="I212" s="7" t="str">
        <f ca="1"/>
        <v/>
      </c>
      <c r="J212" s="7" t="str">
        <f ca="1"/>
        <v/>
      </c>
      <c r="K212" s="7" t="str">
        <f ca="1"/>
        <v/>
      </c>
      <c r="L212" s="7" t="str">
        <f ca="1"/>
        <v>FocusArea</v>
      </c>
      <c r="M212" s="7" t="str">
        <f ca="1"/>
        <v>FocusArea</v>
      </c>
      <c r="N212" s="7" t="str">
        <f ca="1"/>
        <v>FocusArea</v>
      </c>
      <c r="O212" s="7" t="str">
        <f ca="1"/>
        <v>FocusArea</v>
      </c>
      <c r="P212" s="7" t="str">
        <f ca="1"/>
        <v>FocusArea</v>
      </c>
      <c r="Q212" s="7" t="str">
        <f ca="1"/>
        <v>FocusArea</v>
      </c>
      <c r="T212" s="7" t="str">
        <f ca="1"/>
        <v>Z8</v>
      </c>
      <c r="U212" s="7" t="str">
        <f ca="1"/>
        <v>0xD1C6</v>
      </c>
      <c r="V212" s="7" t="str">
        <f ca="1"/>
        <v>KeepExposureWhenFNumberChanges</v>
      </c>
      <c r="X212" s="8" t="s">
        <v>599</v>
      </c>
      <c r="Y212" s="8" t="s">
        <v>599</v>
      </c>
      <c r="Z212" s="8" t="s">
        <v>623</v>
      </c>
      <c r="AA212" s="8" t="s">
        <v>623</v>
      </c>
      <c r="AB212" s="7" t="s">
        <v>639</v>
      </c>
      <c r="AC212" s="7" t="s">
        <v>619</v>
      </c>
      <c r="AD212" s="7" t="s">
        <v>619</v>
      </c>
      <c r="AE212" s="7" t="s">
        <v>623</v>
      </c>
      <c r="AF212" s="7" t="s">
        <v>589</v>
      </c>
      <c r="AG212" s="7" t="s">
        <v>583</v>
      </c>
      <c r="AH212" s="7" t="s">
        <v>585</v>
      </c>
      <c r="AI212" s="7" t="s">
        <v>625</v>
      </c>
      <c r="AJ212" s="7" t="s">
        <v>1793</v>
      </c>
      <c r="AK212" s="7" t="s">
        <v>1801</v>
      </c>
    </row>
    <row r="213" spans="1:37" x14ac:dyDescent="0.25">
      <c r="A213" s="13" t="str">
        <f ca="1"/>
        <v>0xD109</v>
      </c>
      <c r="B213" s="14" t="str">
        <f ca="1"/>
        <v>FlexibleProgram</v>
      </c>
      <c r="D213" s="8" t="str">
        <f ca="1"/>
        <v>FlexibleProgram</v>
      </c>
      <c r="E213" s="8" t="str">
        <f ca="1"/>
        <v>FlexibleProgram</v>
      </c>
      <c r="F213" s="8" t="str">
        <f ca="1"/>
        <v>FlexibleProgram</v>
      </c>
      <c r="G213" s="8" t="str">
        <f ca="1"/>
        <v>FlexibleProgram</v>
      </c>
      <c r="H213" s="7" t="str">
        <f ca="1"/>
        <v>FlexibleProgram</v>
      </c>
      <c r="I213" s="7" t="str">
        <f ca="1"/>
        <v>FlexibleProgram</v>
      </c>
      <c r="J213" s="7" t="str">
        <f ca="1"/>
        <v>FlexibleProgram</v>
      </c>
      <c r="K213" s="7" t="str">
        <f ca="1"/>
        <v>FlexibleProgram</v>
      </c>
      <c r="L213" s="7" t="str">
        <f ca="1"/>
        <v>FlexibleProgram</v>
      </c>
      <c r="M213" s="7" t="str">
        <f ca="1"/>
        <v>FlexibleProgram</v>
      </c>
      <c r="N213" s="7" t="str">
        <f ca="1"/>
        <v>FlexibleProgram</v>
      </c>
      <c r="O213" s="7" t="str">
        <f ca="1"/>
        <v>FlexibleProgram</v>
      </c>
      <c r="P213" s="7" t="str">
        <f ca="1"/>
        <v>FlexibleProgram</v>
      </c>
      <c r="Q213" s="7" t="str">
        <f ca="1"/>
        <v>FlexibleProgram</v>
      </c>
      <c r="T213" s="7" t="str">
        <f ca="1"/>
        <v>Z8</v>
      </c>
      <c r="U213" s="7" t="str">
        <f ca="1"/>
        <v>0xD1DE</v>
      </c>
      <c r="V213" s="7" t="str">
        <f ca="1"/>
        <v>ExternalRecordingControl</v>
      </c>
      <c r="X213" s="8" t="s">
        <v>600</v>
      </c>
      <c r="Y213" s="8" t="s">
        <v>600</v>
      </c>
      <c r="Z213" s="8" t="s">
        <v>624</v>
      </c>
      <c r="AA213" s="8" t="s">
        <v>624</v>
      </c>
      <c r="AB213" s="7" t="s">
        <v>640</v>
      </c>
      <c r="AC213" s="7" t="s">
        <v>1202</v>
      </c>
      <c r="AD213" s="7" t="s">
        <v>1202</v>
      </c>
      <c r="AE213" s="7" t="s">
        <v>624</v>
      </c>
      <c r="AF213" s="7" t="s">
        <v>590</v>
      </c>
      <c r="AG213" s="7" t="s">
        <v>584</v>
      </c>
      <c r="AH213" s="7" t="s">
        <v>588</v>
      </c>
      <c r="AI213" s="7" t="s">
        <v>626</v>
      </c>
      <c r="AJ213" s="7" t="s">
        <v>1708</v>
      </c>
      <c r="AK213" s="7" t="s">
        <v>572</v>
      </c>
    </row>
    <row r="214" spans="1:37" x14ac:dyDescent="0.25">
      <c r="A214" s="13" t="str">
        <f ca="1"/>
        <v>0xD10A</v>
      </c>
      <c r="B214" s="14" t="str">
        <f ca="1"/>
        <v>ExposureStatus</v>
      </c>
      <c r="D214" s="8" t="str">
        <f ca="1"/>
        <v/>
      </c>
      <c r="E214" s="8" t="str">
        <f ca="1"/>
        <v/>
      </c>
      <c r="F214" s="8" t="str">
        <f ca="1"/>
        <v/>
      </c>
      <c r="G214" s="8" t="str">
        <f ca="1"/>
        <v/>
      </c>
      <c r="H214" s="7" t="str">
        <f ca="1"/>
        <v/>
      </c>
      <c r="I214" s="7" t="str">
        <f ca="1"/>
        <v/>
      </c>
      <c r="J214" s="7" t="str">
        <f ca="1"/>
        <v/>
      </c>
      <c r="K214" s="7" t="str">
        <f ca="1"/>
        <v/>
      </c>
      <c r="L214" s="7" t="str">
        <f ca="1"/>
        <v/>
      </c>
      <c r="M214" s="7" t="str">
        <f ca="1"/>
        <v/>
      </c>
      <c r="N214" s="7" t="str">
        <f ca="1"/>
        <v/>
      </c>
      <c r="O214" s="7" t="str">
        <f ca="1"/>
        <v/>
      </c>
      <c r="P214" s="7" t="str">
        <f ca="1"/>
        <v>ExposureStatus</v>
      </c>
      <c r="Q214" s="7" t="str">
        <f ca="1"/>
        <v>ExposureStatus</v>
      </c>
      <c r="T214" s="7" t="str">
        <f ca="1"/>
        <v>Z8</v>
      </c>
      <c r="U214" s="7" t="str">
        <f ca="1"/>
        <v>0xD1DF</v>
      </c>
      <c r="V214" s="7" t="str">
        <f ca="1"/>
        <v>HighlightBrightness</v>
      </c>
      <c r="X214" s="8" t="s">
        <v>601</v>
      </c>
      <c r="Y214" s="8" t="s">
        <v>601</v>
      </c>
      <c r="Z214" s="8" t="s">
        <v>625</v>
      </c>
      <c r="AA214" s="8" t="s">
        <v>625</v>
      </c>
      <c r="AB214" s="7" t="s">
        <v>641</v>
      </c>
      <c r="AC214" s="7" t="s">
        <v>1203</v>
      </c>
      <c r="AD214" s="7" t="s">
        <v>1203</v>
      </c>
      <c r="AE214" s="7" t="s">
        <v>625</v>
      </c>
      <c r="AF214" s="7" t="s">
        <v>591</v>
      </c>
      <c r="AG214" s="7" t="s">
        <v>585</v>
      </c>
      <c r="AH214" s="7" t="s">
        <v>589</v>
      </c>
      <c r="AI214" s="7" t="s">
        <v>627</v>
      </c>
      <c r="AJ214" s="7" t="s">
        <v>1733</v>
      </c>
      <c r="AK214" s="7" t="s">
        <v>573</v>
      </c>
    </row>
    <row r="215" spans="1:37" x14ac:dyDescent="0.25">
      <c r="A215" s="13" t="str">
        <f ca="1"/>
        <v>0xD10B</v>
      </c>
      <c r="B215" s="14" t="str">
        <f ca="1"/>
        <v>RecordingMedia</v>
      </c>
      <c r="D215" s="8" t="str">
        <f ca="1"/>
        <v>RecordingMedia</v>
      </c>
      <c r="E215" s="8" t="str">
        <f ca="1"/>
        <v>RecordingMedia</v>
      </c>
      <c r="F215" s="8" t="str">
        <f ca="1"/>
        <v>RecordingMedia</v>
      </c>
      <c r="G215" s="8" t="str">
        <f ca="1"/>
        <v>RecordingMedia</v>
      </c>
      <c r="H215" s="7" t="str">
        <f ca="1"/>
        <v>RecordingMedia</v>
      </c>
      <c r="I215" s="7" t="str">
        <f ca="1"/>
        <v>RecordingMedia</v>
      </c>
      <c r="J215" s="7" t="str">
        <f ca="1"/>
        <v>RecordingMedia</v>
      </c>
      <c r="K215" s="7" t="str">
        <f ca="1"/>
        <v>RecordingMedia</v>
      </c>
      <c r="L215" s="7" t="str">
        <f ca="1"/>
        <v>RecordingMedia</v>
      </c>
      <c r="M215" s="7" t="str">
        <f ca="1"/>
        <v>RecordingMedia</v>
      </c>
      <c r="N215" s="7" t="str">
        <f ca="1"/>
        <v>RecordingMedia</v>
      </c>
      <c r="O215" s="7" t="str">
        <f ca="1"/>
        <v>RecordingMedia</v>
      </c>
      <c r="P215" s="7" t="str">
        <f ca="1"/>
        <v>RecordingMedia</v>
      </c>
      <c r="Q215" s="7" t="str">
        <f ca="1"/>
        <v>RecordingMedia</v>
      </c>
      <c r="T215" s="7" t="str">
        <f ca="1"/>
        <v>Z8</v>
      </c>
      <c r="U215" s="7" t="str">
        <f ca="1"/>
        <v>0xD1E2</v>
      </c>
      <c r="V215" s="7" t="str">
        <f ca="1"/>
        <v>SBWirelessMode</v>
      </c>
      <c r="X215" s="8" t="s">
        <v>602</v>
      </c>
      <c r="Y215" s="8" t="s">
        <v>602</v>
      </c>
      <c r="Z215" s="8" t="s">
        <v>626</v>
      </c>
      <c r="AA215" s="8" t="s">
        <v>626</v>
      </c>
      <c r="AB215" s="7" t="s">
        <v>642</v>
      </c>
      <c r="AC215" s="7" t="s">
        <v>622</v>
      </c>
      <c r="AD215" s="7" t="s">
        <v>622</v>
      </c>
      <c r="AE215" s="7" t="s">
        <v>626</v>
      </c>
      <c r="AF215" s="7" t="s">
        <v>592</v>
      </c>
      <c r="AG215" s="7" t="s">
        <v>1521</v>
      </c>
      <c r="AH215" s="7" t="s">
        <v>590</v>
      </c>
      <c r="AI215" s="7" t="s">
        <v>628</v>
      </c>
      <c r="AJ215" s="7" t="s">
        <v>1794</v>
      </c>
      <c r="AK215" s="7" t="s">
        <v>1802</v>
      </c>
    </row>
    <row r="216" spans="1:37" x14ac:dyDescent="0.25">
      <c r="A216" s="13" t="str">
        <f ca="1"/>
        <v>0xD10C</v>
      </c>
      <c r="B216" s="14" t="str">
        <f ca="1"/>
        <v>USBSpeed</v>
      </c>
      <c r="D216" s="8" t="str">
        <f ca="1"/>
        <v>USBSpeed</v>
      </c>
      <c r="E216" s="8" t="str">
        <f ca="1"/>
        <v>USBSpeed</v>
      </c>
      <c r="F216" s="8" t="str">
        <f ca="1"/>
        <v>USBSpeed</v>
      </c>
      <c r="G216" s="8" t="str">
        <f ca="1"/>
        <v>USBSpeed</v>
      </c>
      <c r="H216" s="7" t="str">
        <f ca="1"/>
        <v>USBSpeed</v>
      </c>
      <c r="I216" s="7" t="str">
        <f ca="1"/>
        <v>USBSpeed</v>
      </c>
      <c r="J216" s="7" t="str">
        <f ca="1"/>
        <v>USBSpeed</v>
      </c>
      <c r="K216" s="7" t="str">
        <f ca="1"/>
        <v>USBSpeed</v>
      </c>
      <c r="L216" s="7" t="str">
        <f ca="1"/>
        <v>USBSpeed</v>
      </c>
      <c r="M216" s="7" t="str">
        <f ca="1"/>
        <v>USBSpeed</v>
      </c>
      <c r="N216" s="7" t="str">
        <f ca="1"/>
        <v/>
      </c>
      <c r="O216" s="7" t="str">
        <f ca="1"/>
        <v/>
      </c>
      <c r="P216" s="7" t="str">
        <f ca="1"/>
        <v>USBSpeed</v>
      </c>
      <c r="Q216" s="7" t="str">
        <f ca="1"/>
        <v>USBSpeed</v>
      </c>
      <c r="T216" s="7" t="str">
        <f ca="1"/>
        <v>Z8</v>
      </c>
      <c r="U216" s="7" t="str">
        <f ca="1"/>
        <v>0xD1E3</v>
      </c>
      <c r="V216" s="7" t="str">
        <f ca="1"/>
        <v>SBWirelessMultipleFlashMode</v>
      </c>
      <c r="X216" s="8" t="s">
        <v>603</v>
      </c>
      <c r="Y216" s="8" t="s">
        <v>603</v>
      </c>
      <c r="Z216" s="8" t="s">
        <v>627</v>
      </c>
      <c r="AA216" s="8" t="s">
        <v>627</v>
      </c>
      <c r="AB216" s="7" t="s">
        <v>643</v>
      </c>
      <c r="AC216" s="7" t="s">
        <v>623</v>
      </c>
      <c r="AD216" s="7" t="s">
        <v>623</v>
      </c>
      <c r="AE216" s="7" t="s">
        <v>627</v>
      </c>
      <c r="AF216" s="7" t="s">
        <v>593</v>
      </c>
      <c r="AG216" s="7" t="s">
        <v>1522</v>
      </c>
      <c r="AH216" s="7" t="s">
        <v>591</v>
      </c>
      <c r="AI216" s="7" t="s">
        <v>629</v>
      </c>
      <c r="AJ216" s="7" t="s">
        <v>1795</v>
      </c>
      <c r="AK216" s="7" t="s">
        <v>1803</v>
      </c>
    </row>
    <row r="217" spans="1:37" x14ac:dyDescent="0.25">
      <c r="A217" s="13" t="str">
        <f ca="1"/>
        <v>0xD10D</v>
      </c>
      <c r="B217" s="14" t="str">
        <f ca="1"/>
        <v>CCDNumber</v>
      </c>
      <c r="D217" s="8" t="str">
        <f ca="1"/>
        <v/>
      </c>
      <c r="E217" s="8" t="str">
        <f ca="1"/>
        <v/>
      </c>
      <c r="F217" s="8" t="str">
        <f ca="1"/>
        <v/>
      </c>
      <c r="G217" s="8" t="str">
        <f ca="1"/>
        <v/>
      </c>
      <c r="H217" s="7" t="str">
        <f ca="1"/>
        <v/>
      </c>
      <c r="I217" s="7" t="str">
        <f ca="1"/>
        <v/>
      </c>
      <c r="J217" s="7" t="str">
        <f ca="1"/>
        <v/>
      </c>
      <c r="K217" s="7" t="str">
        <f ca="1"/>
        <v/>
      </c>
      <c r="L217" s="7" t="str">
        <f ca="1"/>
        <v/>
      </c>
      <c r="M217" s="7" t="str">
        <f ca="1"/>
        <v/>
      </c>
      <c r="N217" s="7" t="str">
        <f ca="1"/>
        <v/>
      </c>
      <c r="O217" s="7" t="str">
        <f ca="1"/>
        <v/>
      </c>
      <c r="P217" s="7" t="str">
        <f ca="1"/>
        <v>CCDNumber</v>
      </c>
      <c r="Q217" s="7" t="str">
        <f ca="1"/>
        <v>CCDNumber</v>
      </c>
      <c r="T217" s="7" t="str">
        <f ca="1"/>
        <v>Z8</v>
      </c>
      <c r="U217" s="7" t="str">
        <f ca="1"/>
        <v>0xD1E4</v>
      </c>
      <c r="V217" s="7" t="str">
        <f ca="1"/>
        <v>SBUsableGroup</v>
      </c>
      <c r="X217" s="8" t="s">
        <v>604</v>
      </c>
      <c r="Y217" s="8" t="s">
        <v>604</v>
      </c>
      <c r="Z217" s="8" t="s">
        <v>628</v>
      </c>
      <c r="AA217" s="8" t="s">
        <v>628</v>
      </c>
      <c r="AB217" s="7" t="s">
        <v>644</v>
      </c>
      <c r="AC217" s="7" t="s">
        <v>624</v>
      </c>
      <c r="AD217" s="7" t="s">
        <v>624</v>
      </c>
      <c r="AE217" s="7" t="s">
        <v>628</v>
      </c>
      <c r="AF217" s="7" t="s">
        <v>594</v>
      </c>
      <c r="AG217" s="7" t="s">
        <v>1710</v>
      </c>
      <c r="AH217" s="7" t="s">
        <v>592</v>
      </c>
      <c r="AI217" s="7" t="s">
        <v>630</v>
      </c>
      <c r="AJ217" s="7" t="s">
        <v>1796</v>
      </c>
      <c r="AK217" s="7" t="s">
        <v>576</v>
      </c>
    </row>
    <row r="218" spans="1:37" x14ac:dyDescent="0.25">
      <c r="A218" s="13" t="str">
        <f ca="1"/>
        <v>0xD10E</v>
      </c>
      <c r="B218" s="14" t="str">
        <f ca="1"/>
        <v>Orientation</v>
      </c>
      <c r="D218" s="8" t="str">
        <f ca="1"/>
        <v>Orientation</v>
      </c>
      <c r="E218" s="8" t="str">
        <f ca="1"/>
        <v>Orientation</v>
      </c>
      <c r="F218" s="8" t="str">
        <f ca="1"/>
        <v>Orientation</v>
      </c>
      <c r="G218" s="8" t="str">
        <f ca="1"/>
        <v>Orientation</v>
      </c>
      <c r="H218" s="7" t="str">
        <f ca="1"/>
        <v>Orientation</v>
      </c>
      <c r="I218" s="7" t="str">
        <f ca="1"/>
        <v>Orientation</v>
      </c>
      <c r="J218" s="7" t="str">
        <f ca="1"/>
        <v>Orientation</v>
      </c>
      <c r="K218" s="7" t="str">
        <f ca="1"/>
        <v>Orientation</v>
      </c>
      <c r="L218" s="7" t="str">
        <f ca="1"/>
        <v>Orientation</v>
      </c>
      <c r="M218" s="7" t="str">
        <f ca="1"/>
        <v>Orientation</v>
      </c>
      <c r="N218" s="7" t="str">
        <f ca="1"/>
        <v>Orientation</v>
      </c>
      <c r="O218" s="7" t="str">
        <f ca="1"/>
        <v>Orientation</v>
      </c>
      <c r="P218" s="7" t="str">
        <f ca="1"/>
        <v>Orientation</v>
      </c>
      <c r="Q218" s="7" t="str">
        <f ca="1"/>
        <v>Orientation</v>
      </c>
      <c r="T218" s="7" t="str">
        <f ca="1"/>
        <v>Z8</v>
      </c>
      <c r="U218" s="7" t="str">
        <f ca="1"/>
        <v>0xD1E5</v>
      </c>
      <c r="V218" s="7" t="str">
        <f ca="1"/>
        <v>WirelessCLSEntryMode</v>
      </c>
      <c r="X218" s="8" t="s">
        <v>605</v>
      </c>
      <c r="Y218" s="8" t="s">
        <v>605</v>
      </c>
      <c r="Z218" s="8" t="s">
        <v>629</v>
      </c>
      <c r="AA218" s="8" t="s">
        <v>629</v>
      </c>
      <c r="AB218" s="7" t="s">
        <v>645</v>
      </c>
      <c r="AC218" s="7" t="s">
        <v>625</v>
      </c>
      <c r="AD218" s="7" t="s">
        <v>625</v>
      </c>
      <c r="AE218" s="7" t="s">
        <v>629</v>
      </c>
      <c r="AF218" s="7" t="s">
        <v>595</v>
      </c>
      <c r="AG218" s="7" t="s">
        <v>1711</v>
      </c>
      <c r="AH218" s="7" t="s">
        <v>593</v>
      </c>
      <c r="AI218" s="7" t="s">
        <v>631</v>
      </c>
      <c r="AJ218" s="7" t="s">
        <v>1797</v>
      </c>
      <c r="AK218" s="7" t="s">
        <v>577</v>
      </c>
    </row>
    <row r="219" spans="1:37" x14ac:dyDescent="0.25">
      <c r="A219" s="13" t="str">
        <f ca="1"/>
        <v>0xD110</v>
      </c>
      <c r="B219" s="14" t="str">
        <f ca="1"/>
        <v>FnumberLock</v>
      </c>
      <c r="D219" s="8" t="str">
        <f ca="1"/>
        <v/>
      </c>
      <c r="E219" s="8" t="str">
        <f ca="1"/>
        <v/>
      </c>
      <c r="F219" s="8" t="str">
        <f ca="1"/>
        <v/>
      </c>
      <c r="G219" s="8" t="str">
        <f ca="1"/>
        <v/>
      </c>
      <c r="H219" s="7" t="str">
        <f ca="1"/>
        <v/>
      </c>
      <c r="I219" s="7" t="str">
        <f ca="1"/>
        <v/>
      </c>
      <c r="J219" s="7" t="str">
        <f ca="1"/>
        <v/>
      </c>
      <c r="K219" s="7" t="str">
        <f ca="1"/>
        <v/>
      </c>
      <c r="L219" s="7" t="str">
        <f ca="1"/>
        <v/>
      </c>
      <c r="M219" s="7" t="str">
        <f ca="1"/>
        <v/>
      </c>
      <c r="N219" s="7" t="str">
        <f ca="1"/>
        <v/>
      </c>
      <c r="O219" s="7" t="str">
        <f ca="1"/>
        <v/>
      </c>
      <c r="P219" s="7" t="str">
        <f ca="1"/>
        <v>FnumberLock</v>
      </c>
      <c r="Q219" s="7" t="str">
        <f ca="1"/>
        <v>FnumberLock</v>
      </c>
      <c r="T219" s="7" t="str">
        <f ca="1"/>
        <v>Z8</v>
      </c>
      <c r="U219" s="7" t="str">
        <f ca="1"/>
        <v>0xD1E6</v>
      </c>
      <c r="V219" s="7" t="str">
        <f ca="1"/>
        <v>SBPINCode</v>
      </c>
      <c r="X219" s="8" t="s">
        <v>606</v>
      </c>
      <c r="Y219" s="8" t="s">
        <v>606</v>
      </c>
      <c r="Z219" s="8" t="s">
        <v>630</v>
      </c>
      <c r="AA219" s="8" t="s">
        <v>630</v>
      </c>
      <c r="AB219" s="7" t="s">
        <v>646</v>
      </c>
      <c r="AC219" s="7" t="s">
        <v>626</v>
      </c>
      <c r="AD219" s="7" t="s">
        <v>626</v>
      </c>
      <c r="AE219" s="7" t="s">
        <v>630</v>
      </c>
      <c r="AF219" s="7" t="s">
        <v>1198</v>
      </c>
      <c r="AG219" s="7" t="s">
        <v>586</v>
      </c>
      <c r="AH219" s="7" t="s">
        <v>594</v>
      </c>
      <c r="AI219" s="7" t="s">
        <v>632</v>
      </c>
      <c r="AJ219" s="7" t="s">
        <v>570</v>
      </c>
      <c r="AK219" s="7" t="s">
        <v>578</v>
      </c>
    </row>
    <row r="220" spans="1:37" x14ac:dyDescent="0.25">
      <c r="A220" s="13" t="str">
        <f ca="1"/>
        <v>0xD111</v>
      </c>
      <c r="B220" s="14" t="str">
        <f ca="1"/>
        <v>ShutterSpeedLock</v>
      </c>
      <c r="D220" s="8" t="str">
        <f ca="1"/>
        <v/>
      </c>
      <c r="E220" s="8" t="str">
        <f ca="1"/>
        <v/>
      </c>
      <c r="F220" s="8" t="str">
        <f ca="1"/>
        <v/>
      </c>
      <c r="G220" s="8" t="str">
        <f ca="1"/>
        <v/>
      </c>
      <c r="H220" s="7" t="str">
        <f ca="1"/>
        <v/>
      </c>
      <c r="I220" s="7" t="str">
        <f ca="1"/>
        <v/>
      </c>
      <c r="J220" s="7" t="str">
        <f ca="1"/>
        <v/>
      </c>
      <c r="K220" s="7" t="str">
        <f ca="1"/>
        <v/>
      </c>
      <c r="L220" s="7" t="str">
        <f ca="1"/>
        <v/>
      </c>
      <c r="M220" s="7" t="str">
        <f ca="1"/>
        <v/>
      </c>
      <c r="N220" s="7" t="str">
        <f ca="1"/>
        <v/>
      </c>
      <c r="O220" s="7" t="str">
        <f ca="1"/>
        <v/>
      </c>
      <c r="P220" s="7" t="str">
        <f ca="1"/>
        <v>ShutterSpeedLock</v>
      </c>
      <c r="Q220" s="7" t="str">
        <f ca="1"/>
        <v>ShutterSpeedLock</v>
      </c>
      <c r="T220" s="7" t="str">
        <f ca="1"/>
        <v>Z8</v>
      </c>
      <c r="U220" s="7" t="str">
        <f ca="1"/>
        <v>0xD1E7</v>
      </c>
      <c r="V220" s="7" t="str">
        <f ca="1"/>
        <v>RadioMultipleFlashChannel</v>
      </c>
      <c r="X220" s="8" t="s">
        <v>607</v>
      </c>
      <c r="Y220" s="8" t="s">
        <v>607</v>
      </c>
      <c r="Z220" s="8" t="s">
        <v>631</v>
      </c>
      <c r="AA220" s="8" t="s">
        <v>631</v>
      </c>
      <c r="AB220" s="7" t="s">
        <v>647</v>
      </c>
      <c r="AC220" s="7" t="s">
        <v>627</v>
      </c>
      <c r="AD220" s="7" t="s">
        <v>627</v>
      </c>
      <c r="AE220" s="7" t="s">
        <v>631</v>
      </c>
      <c r="AF220" s="7" t="s">
        <v>1199</v>
      </c>
      <c r="AG220" s="7" t="s">
        <v>587</v>
      </c>
      <c r="AH220" s="7" t="s">
        <v>595</v>
      </c>
      <c r="AI220" s="7" t="s">
        <v>633</v>
      </c>
      <c r="AJ220" s="7" t="s">
        <v>571</v>
      </c>
      <c r="AK220" s="7" t="s">
        <v>579</v>
      </c>
    </row>
    <row r="221" spans="1:37" x14ac:dyDescent="0.25">
      <c r="A221" s="13" t="str">
        <f ca="1"/>
        <v>0xD112</v>
      </c>
      <c r="B221" s="14" t="str">
        <f ca="1"/>
        <v>TVLockSetting</v>
      </c>
      <c r="D221" s="8" t="str">
        <f ca="1"/>
        <v>TVLockSetting</v>
      </c>
      <c r="E221" s="8" t="str">
        <f ca="1"/>
        <v>TVLockSetting</v>
      </c>
      <c r="F221" s="8" t="str">
        <f ca="1"/>
        <v>TVLockSetting</v>
      </c>
      <c r="G221" s="8" t="str">
        <f ca="1"/>
        <v>TVLockSetting</v>
      </c>
      <c r="H221" s="7" t="str">
        <f ca="1"/>
        <v/>
      </c>
      <c r="I221" s="7" t="str">
        <f ca="1"/>
        <v>TVLockSetting</v>
      </c>
      <c r="J221" s="7" t="str">
        <f ca="1"/>
        <v>TVLockSetting</v>
      </c>
      <c r="K221" s="7" t="str">
        <f ca="1"/>
        <v>TVLockSetting</v>
      </c>
      <c r="L221" s="7" t="str">
        <f ca="1"/>
        <v>TVLockSetting</v>
      </c>
      <c r="M221" s="7" t="str">
        <f ca="1"/>
        <v>TVLockSetting</v>
      </c>
      <c r="N221" s="7" t="str">
        <f ca="1"/>
        <v>TVLockSetting</v>
      </c>
      <c r="O221" s="7" t="str">
        <f ca="1"/>
        <v>TVLockSetting</v>
      </c>
      <c r="P221" s="7" t="str">
        <f ca="1"/>
        <v/>
      </c>
      <c r="Q221" s="7" t="str">
        <f ca="1"/>
        <v/>
      </c>
      <c r="T221" s="7" t="str">
        <f ca="1"/>
        <v>Z8</v>
      </c>
      <c r="U221" s="7" t="str">
        <f ca="1"/>
        <v>0xD1E8</v>
      </c>
      <c r="V221" s="7" t="str">
        <f ca="1"/>
        <v>OpticalMultipleFlashChannel</v>
      </c>
      <c r="X221" s="8" t="s">
        <v>608</v>
      </c>
      <c r="Y221" s="8" t="s">
        <v>608</v>
      </c>
      <c r="Z221" s="8" t="s">
        <v>632</v>
      </c>
      <c r="AA221" s="8" t="s">
        <v>632</v>
      </c>
      <c r="AB221" s="7" t="s">
        <v>648</v>
      </c>
      <c r="AC221" s="7" t="s">
        <v>628</v>
      </c>
      <c r="AD221" s="7" t="s">
        <v>628</v>
      </c>
      <c r="AE221" s="7" t="s">
        <v>632</v>
      </c>
      <c r="AF221" s="7" t="s">
        <v>596</v>
      </c>
      <c r="AG221" s="7" t="s">
        <v>588</v>
      </c>
      <c r="AH221" s="7" t="s">
        <v>1198</v>
      </c>
      <c r="AI221" s="7" t="s">
        <v>634</v>
      </c>
      <c r="AJ221" s="7" t="s">
        <v>1798</v>
      </c>
      <c r="AK221" s="7" t="s">
        <v>580</v>
      </c>
    </row>
    <row r="222" spans="1:37" x14ac:dyDescent="0.25">
      <c r="A222" s="13" t="str">
        <f ca="1"/>
        <v>0xD113</v>
      </c>
      <c r="B222" s="14" t="str">
        <f ca="1"/>
        <v>AVLockSetting</v>
      </c>
      <c r="D222" s="8" t="str">
        <f ca="1"/>
        <v>AVLockSetting</v>
      </c>
      <c r="E222" s="8" t="str">
        <f ca="1"/>
        <v>AVLockSetting</v>
      </c>
      <c r="F222" s="8" t="str">
        <f ca="1"/>
        <v>AVLockSetting</v>
      </c>
      <c r="G222" s="8" t="str">
        <f ca="1"/>
        <v>AVLockSetting</v>
      </c>
      <c r="H222" s="7" t="str">
        <f ca="1"/>
        <v/>
      </c>
      <c r="I222" s="7" t="str">
        <f ca="1"/>
        <v>AVLockSetting</v>
      </c>
      <c r="J222" s="7" t="str">
        <f ca="1"/>
        <v>AVLockSetting</v>
      </c>
      <c r="K222" s="7" t="str">
        <f ca="1"/>
        <v>AVLockSetting</v>
      </c>
      <c r="L222" s="7" t="str">
        <f ca="1"/>
        <v>AVLockSetting</v>
      </c>
      <c r="M222" s="7" t="str">
        <f ca="1"/>
        <v>AVLockSetting</v>
      </c>
      <c r="N222" s="7" t="str">
        <f ca="1"/>
        <v>AVLockSetting</v>
      </c>
      <c r="O222" s="7" t="str">
        <f ca="1"/>
        <v>AVLockSetting</v>
      </c>
      <c r="P222" s="7" t="str">
        <f ca="1"/>
        <v/>
      </c>
      <c r="Q222" s="7" t="str">
        <f ca="1"/>
        <v/>
      </c>
      <c r="T222" s="7" t="str">
        <f ca="1"/>
        <v>Z8</v>
      </c>
      <c r="U222" s="7" t="str">
        <f ca="1"/>
        <v>0xD1E9</v>
      </c>
      <c r="V222" s="7" t="str">
        <f ca="1"/>
        <v>FlashRangeDisplay</v>
      </c>
      <c r="X222" s="8" t="s">
        <v>609</v>
      </c>
      <c r="Y222" s="8" t="s">
        <v>609</v>
      </c>
      <c r="Z222" s="8" t="s">
        <v>633</v>
      </c>
      <c r="AA222" s="8" t="s">
        <v>633</v>
      </c>
      <c r="AB222" s="7" t="s">
        <v>649</v>
      </c>
      <c r="AC222" s="7" t="s">
        <v>629</v>
      </c>
      <c r="AD222" s="7" t="s">
        <v>629</v>
      </c>
      <c r="AE222" s="7" t="s">
        <v>633</v>
      </c>
      <c r="AF222" s="7" t="s">
        <v>597</v>
      </c>
      <c r="AG222" s="7" t="s">
        <v>589</v>
      </c>
      <c r="AH222" s="7" t="s">
        <v>1199</v>
      </c>
      <c r="AI222" s="7" t="s">
        <v>635</v>
      </c>
      <c r="AJ222" s="7" t="s">
        <v>1799</v>
      </c>
      <c r="AK222" s="7" t="s">
        <v>581</v>
      </c>
    </row>
    <row r="223" spans="1:37" x14ac:dyDescent="0.25">
      <c r="A223" s="13" t="str">
        <f ca="1"/>
        <v>0xD115</v>
      </c>
      <c r="B223" s="14" t="str">
        <f ca="1"/>
        <v>FocusPointBrightness</v>
      </c>
      <c r="D223" s="8" t="str">
        <f ca="1"/>
        <v/>
      </c>
      <c r="E223" s="8" t="str">
        <f ca="1"/>
        <v/>
      </c>
      <c r="F223" s="8" t="str">
        <f ca="1"/>
        <v/>
      </c>
      <c r="G223" s="8" t="str">
        <f ca="1"/>
        <v/>
      </c>
      <c r="H223" s="7" t="str">
        <f ca="1"/>
        <v/>
      </c>
      <c r="I223" s="7" t="str">
        <f ca="1"/>
        <v/>
      </c>
      <c r="J223" s="7" t="str">
        <f ca="1"/>
        <v/>
      </c>
      <c r="K223" s="7" t="str">
        <f ca="1"/>
        <v/>
      </c>
      <c r="L223" s="7" t="str">
        <f ca="1"/>
        <v/>
      </c>
      <c r="M223" s="7" t="str">
        <f ca="1"/>
        <v/>
      </c>
      <c r="N223" s="7" t="str">
        <f ca="1"/>
        <v/>
      </c>
      <c r="O223" s="7" t="str">
        <f ca="1"/>
        <v/>
      </c>
      <c r="P223" s="7" t="str">
        <f ca="1"/>
        <v>FocusPointBrightness</v>
      </c>
      <c r="Q223" s="7" t="str">
        <f ca="1"/>
        <v/>
      </c>
      <c r="T223" s="7" t="str">
        <f ca="1"/>
        <v>Z8</v>
      </c>
      <c r="U223" s="7" t="str">
        <f ca="1"/>
        <v>0xD1EA</v>
      </c>
      <c r="V223" s="7" t="str">
        <f ca="1"/>
        <v>AllTestFiringDisable</v>
      </c>
      <c r="X223" s="8" t="s">
        <v>610</v>
      </c>
      <c r="Y223" s="8" t="s">
        <v>610</v>
      </c>
      <c r="Z223" s="8" t="s">
        <v>634</v>
      </c>
      <c r="AA223" s="8" t="s">
        <v>634</v>
      </c>
      <c r="AB223" s="7" t="s">
        <v>650</v>
      </c>
      <c r="AC223" s="7" t="s">
        <v>630</v>
      </c>
      <c r="AD223" s="7" t="s">
        <v>630</v>
      </c>
      <c r="AE223" s="7" t="s">
        <v>634</v>
      </c>
      <c r="AF223" s="7" t="s">
        <v>598</v>
      </c>
      <c r="AG223" s="7" t="s">
        <v>590</v>
      </c>
      <c r="AH223" s="7" t="s">
        <v>596</v>
      </c>
      <c r="AI223" s="7" t="s">
        <v>636</v>
      </c>
      <c r="AJ223" s="7" t="s">
        <v>1800</v>
      </c>
      <c r="AK223" s="7" t="s">
        <v>582</v>
      </c>
    </row>
    <row r="224" spans="1:37" x14ac:dyDescent="0.25">
      <c r="A224" s="13" t="str">
        <f ca="1"/>
        <v>0xD118</v>
      </c>
      <c r="B224" s="14" t="str">
        <f ca="1"/>
        <v>ExposureCompFlashUsed</v>
      </c>
      <c r="D224" s="8" t="str">
        <f ca="1"/>
        <v>ExposureCompFlashUsed</v>
      </c>
      <c r="E224" s="8" t="str">
        <f ca="1"/>
        <v>ExposureCompFlashUsed</v>
      </c>
      <c r="F224" s="8" t="str">
        <f ca="1"/>
        <v>ExposureCompFlashUsed</v>
      </c>
      <c r="G224" s="8" t="str">
        <f ca="1"/>
        <v>ExposureCompFlashUsed</v>
      </c>
      <c r="H224" s="7" t="str">
        <f ca="1"/>
        <v>ExposureCompFlashUsed</v>
      </c>
      <c r="I224" s="7" t="str">
        <f ca="1"/>
        <v>ExposureCompFlashUsed</v>
      </c>
      <c r="J224" s="7" t="str">
        <f ca="1"/>
        <v>ExposureCompFlashUsed</v>
      </c>
      <c r="K224" s="7" t="str">
        <f ca="1"/>
        <v>ExposureCompFlashUsed</v>
      </c>
      <c r="L224" s="7" t="str">
        <f ca="1"/>
        <v>ExposureCompFlashUsed</v>
      </c>
      <c r="M224" s="7" t="str">
        <f ca="1"/>
        <v>ExposureCompFlashUsed</v>
      </c>
      <c r="N224" s="7" t="str">
        <f ca="1"/>
        <v>ExposureCompFlashUsed</v>
      </c>
      <c r="O224" s="7" t="str">
        <f ca="1"/>
        <v>ExposureCompFlashUsed</v>
      </c>
      <c r="P224" s="7" t="str">
        <f ca="1"/>
        <v/>
      </c>
      <c r="Q224" s="7" t="str">
        <f ca="1"/>
        <v/>
      </c>
      <c r="T224" s="7" t="str">
        <f ca="1"/>
        <v>Z8</v>
      </c>
      <c r="U224" s="7" t="str">
        <f ca="1"/>
        <v>0xD1EC</v>
      </c>
      <c r="V224" s="7" t="str">
        <f ca="1"/>
        <v>SBSettingMemberLock</v>
      </c>
      <c r="X224" s="8" t="s">
        <v>611</v>
      </c>
      <c r="Y224" s="8" t="s">
        <v>611</v>
      </c>
      <c r="Z224" s="8" t="s">
        <v>635</v>
      </c>
      <c r="AA224" s="8" t="s">
        <v>635</v>
      </c>
      <c r="AB224" s="7" t="s">
        <v>651</v>
      </c>
      <c r="AC224" s="7" t="s">
        <v>631</v>
      </c>
      <c r="AD224" s="7" t="s">
        <v>631</v>
      </c>
      <c r="AE224" s="7" t="s">
        <v>635</v>
      </c>
      <c r="AF224" s="7" t="s">
        <v>599</v>
      </c>
      <c r="AG224" s="7" t="s">
        <v>591</v>
      </c>
      <c r="AH224" s="7" t="s">
        <v>597</v>
      </c>
      <c r="AI224" s="7" t="s">
        <v>637</v>
      </c>
      <c r="AJ224" s="7" t="s">
        <v>1801</v>
      </c>
      <c r="AK224" s="7" t="s">
        <v>583</v>
      </c>
    </row>
    <row r="225" spans="1:37" x14ac:dyDescent="0.25">
      <c r="A225" s="13" t="str">
        <f ca="1"/>
        <v>0xD119</v>
      </c>
      <c r="B225" s="14" t="str">
        <f ca="1"/>
        <v>Slot2JpegImageSize</v>
      </c>
      <c r="D225" s="8" t="str">
        <f ca="1"/>
        <v>Slot2JpegImageSize</v>
      </c>
      <c r="E225" s="8" t="str">
        <f ca="1"/>
        <v>Slot2JpegImageSize</v>
      </c>
      <c r="F225" s="8" t="str">
        <f ca="1"/>
        <v/>
      </c>
      <c r="G225" s="8" t="str">
        <f ca="1"/>
        <v/>
      </c>
      <c r="H225" s="7" t="str">
        <f ca="1"/>
        <v/>
      </c>
      <c r="I225" s="7" t="str">
        <f ca="1"/>
        <v/>
      </c>
      <c r="J225" s="7" t="str">
        <f ca="1"/>
        <v/>
      </c>
      <c r="K225" s="7" t="str">
        <f ca="1"/>
        <v/>
      </c>
      <c r="L225" s="7" t="str">
        <f ca="1"/>
        <v>Slot2JpegImageSize</v>
      </c>
      <c r="M225" s="7" t="str">
        <f ca="1"/>
        <v/>
      </c>
      <c r="N225" s="7" t="str">
        <f ca="1"/>
        <v/>
      </c>
      <c r="O225" s="7" t="str">
        <f ca="1"/>
        <v/>
      </c>
      <c r="P225" s="7" t="str">
        <f ca="1"/>
        <v/>
      </c>
      <c r="Q225" s="7" t="str">
        <f ca="1"/>
        <v/>
      </c>
      <c r="T225" s="7" t="str">
        <f ca="1"/>
        <v>Z8</v>
      </c>
      <c r="U225" s="7" t="str">
        <f ca="1"/>
        <v>0xD1ED</v>
      </c>
      <c r="V225" s="7" t="str">
        <f ca="1"/>
        <v>SBIntegrationFlashReady</v>
      </c>
      <c r="X225" s="8" t="s">
        <v>612</v>
      </c>
      <c r="Y225" s="8" t="s">
        <v>612</v>
      </c>
      <c r="Z225" s="8" t="s">
        <v>636</v>
      </c>
      <c r="AA225" s="8" t="s">
        <v>636</v>
      </c>
      <c r="AB225" s="7" t="s">
        <v>652</v>
      </c>
      <c r="AC225" s="7" t="s">
        <v>632</v>
      </c>
      <c r="AD225" s="7" t="s">
        <v>632</v>
      </c>
      <c r="AE225" s="7" t="s">
        <v>636</v>
      </c>
      <c r="AF225" s="7" t="s">
        <v>600</v>
      </c>
      <c r="AG225" s="7" t="s">
        <v>592</v>
      </c>
      <c r="AH225" s="7" t="s">
        <v>598</v>
      </c>
      <c r="AI225" s="7" t="s">
        <v>640</v>
      </c>
      <c r="AJ225" s="7" t="s">
        <v>572</v>
      </c>
      <c r="AK225" s="7" t="s">
        <v>1804</v>
      </c>
    </row>
    <row r="226" spans="1:37" x14ac:dyDescent="0.25">
      <c r="A226" s="13" t="str">
        <f ca="1"/>
        <v>0xD120</v>
      </c>
      <c r="B226" s="14" t="str">
        <f ca="1"/>
        <v>ExternalSpeedLightExist</v>
      </c>
      <c r="D226" s="8" t="str">
        <f ca="1"/>
        <v>ExternalSpeedLightExist</v>
      </c>
      <c r="E226" s="8" t="str">
        <f ca="1"/>
        <v>ExternalSpeedLightExist</v>
      </c>
      <c r="F226" s="8" t="str">
        <f ca="1"/>
        <v>ExternalSpeedLightExist</v>
      </c>
      <c r="G226" s="8" t="str">
        <f ca="1"/>
        <v>ExternalSpeedLightExist</v>
      </c>
      <c r="H226" s="7" t="str">
        <f ca="1"/>
        <v>ExternalSpeedLightExist</v>
      </c>
      <c r="I226" s="7" t="str">
        <f ca="1"/>
        <v>ExternalSpeedLightExist</v>
      </c>
      <c r="J226" s="7" t="str">
        <f ca="1"/>
        <v>ExternalSpeedLightExist</v>
      </c>
      <c r="K226" s="7" t="str">
        <f ca="1"/>
        <v>ExternalSpeedLightExist</v>
      </c>
      <c r="L226" s="7" t="str">
        <f ca="1"/>
        <v>ExternalSpeedLightExist</v>
      </c>
      <c r="M226" s="7" t="str">
        <f ca="1"/>
        <v>ExternalSpeedLightExist</v>
      </c>
      <c r="N226" s="7" t="str">
        <f ca="1"/>
        <v>ExternalSpeedLightExist</v>
      </c>
      <c r="O226" s="7" t="str">
        <f ca="1"/>
        <v>ExternalSpeedLightExist</v>
      </c>
      <c r="P226" s="7" t="str">
        <f ca="1"/>
        <v>ExternalSpeedLightExist</v>
      </c>
      <c r="Q226" s="7" t="str">
        <f ca="1"/>
        <v>ExternalSpeedLightExist</v>
      </c>
      <c r="T226" s="7" t="str">
        <f ca="1"/>
        <v>Z8</v>
      </c>
      <c r="U226" s="7" t="str">
        <f ca="1"/>
        <v>0xD1F1</v>
      </c>
      <c r="V226" s="7" t="str">
        <f ca="1"/>
        <v>ExposureRemaining</v>
      </c>
      <c r="X226" s="8" t="s">
        <v>613</v>
      </c>
      <c r="Y226" s="8" t="s">
        <v>613</v>
      </c>
      <c r="Z226" s="8" t="s">
        <v>637</v>
      </c>
      <c r="AA226" s="8" t="s">
        <v>637</v>
      </c>
      <c r="AB226" s="7" t="s">
        <v>653</v>
      </c>
      <c r="AC226" s="7" t="s">
        <v>633</v>
      </c>
      <c r="AD226" s="7" t="s">
        <v>633</v>
      </c>
      <c r="AE226" s="7" t="s">
        <v>637</v>
      </c>
      <c r="AF226" s="7" t="s">
        <v>601</v>
      </c>
      <c r="AG226" s="7" t="s">
        <v>593</v>
      </c>
      <c r="AH226" s="7" t="s">
        <v>599</v>
      </c>
      <c r="AI226" s="7" t="s">
        <v>641</v>
      </c>
      <c r="AJ226" s="7" t="s">
        <v>573</v>
      </c>
      <c r="AK226" s="7" t="s">
        <v>1805</v>
      </c>
    </row>
    <row r="227" spans="1:37" x14ac:dyDescent="0.25">
      <c r="A227" s="13" t="str">
        <f ca="1"/>
        <v>0xD121</v>
      </c>
      <c r="B227" s="14" t="str">
        <f ca="1"/>
        <v>ExternalSpeedLightStatus</v>
      </c>
      <c r="D227" s="8" t="str">
        <f ca="1"/>
        <v>ExternalSpeedLightStatus</v>
      </c>
      <c r="E227" s="8" t="str">
        <f ca="1"/>
        <v>ExternalSpeedLightStatus</v>
      </c>
      <c r="F227" s="8" t="str">
        <f ca="1"/>
        <v>ExternalSpeedLightStatus</v>
      </c>
      <c r="G227" s="8" t="str">
        <f ca="1"/>
        <v>ExternalSpeedLightStatus</v>
      </c>
      <c r="H227" s="7" t="str">
        <f ca="1"/>
        <v>ExternalSpeedLightStatus</v>
      </c>
      <c r="I227" s="7" t="str">
        <f ca="1"/>
        <v>ExternalSpeedLightStatus</v>
      </c>
      <c r="J227" s="7" t="str">
        <f ca="1"/>
        <v>ExternalSpeedLightStatus</v>
      </c>
      <c r="K227" s="7" t="str">
        <f ca="1"/>
        <v>ExternalSpeedLightStatus</v>
      </c>
      <c r="L227" s="7" t="str">
        <f ca="1"/>
        <v>ExternalSpeedLightStatus</v>
      </c>
      <c r="M227" s="7" t="str">
        <f ca="1"/>
        <v>ExternalSpeedLightStatus</v>
      </c>
      <c r="N227" s="7" t="str">
        <f ca="1"/>
        <v>ExternalSpeedLightStatus</v>
      </c>
      <c r="O227" s="7" t="str">
        <f ca="1"/>
        <v>ExternalSpeedLightStatus</v>
      </c>
      <c r="P227" s="7" t="str">
        <f ca="1"/>
        <v>ExternalSpeedLightStatus</v>
      </c>
      <c r="Q227" s="7" t="str">
        <f ca="1"/>
        <v>ExternalSpeedLightStatus</v>
      </c>
      <c r="T227" s="7" t="str">
        <f ca="1"/>
        <v>Z8</v>
      </c>
      <c r="U227" s="7" t="str">
        <f ca="1"/>
        <v>0xD1F2</v>
      </c>
      <c r="V227" s="7" t="str">
        <f ca="1"/>
        <v>ActiveSlot</v>
      </c>
      <c r="X227" s="8" t="s">
        <v>614</v>
      </c>
      <c r="Y227" s="8" t="s">
        <v>614</v>
      </c>
      <c r="Z227" s="8" t="s">
        <v>1204</v>
      </c>
      <c r="AA227" s="8" t="s">
        <v>1204</v>
      </c>
      <c r="AB227" s="7" t="s">
        <v>654</v>
      </c>
      <c r="AC227" s="7" t="s">
        <v>634</v>
      </c>
      <c r="AD227" s="7" t="s">
        <v>634</v>
      </c>
      <c r="AE227" s="7" t="s">
        <v>638</v>
      </c>
      <c r="AF227" s="7" t="s">
        <v>602</v>
      </c>
      <c r="AG227" s="7" t="s">
        <v>594</v>
      </c>
      <c r="AH227" s="7" t="s">
        <v>600</v>
      </c>
      <c r="AI227" s="7" t="s">
        <v>642</v>
      </c>
      <c r="AJ227" s="7" t="s">
        <v>1802</v>
      </c>
      <c r="AK227" s="7" t="s">
        <v>1806</v>
      </c>
    </row>
    <row r="228" spans="1:37" x14ac:dyDescent="0.25">
      <c r="A228" s="13" t="str">
        <f ca="1"/>
        <v>0xD122</v>
      </c>
      <c r="B228" s="14" t="str">
        <f ca="1"/>
        <v>ExternalSpeedLightSort</v>
      </c>
      <c r="D228" s="8" t="str">
        <f ca="1"/>
        <v>ExternalSpeedLightSort</v>
      </c>
      <c r="E228" s="8" t="str">
        <f ca="1"/>
        <v>ExternalSpeedLightSort</v>
      </c>
      <c r="F228" s="8" t="str">
        <f ca="1"/>
        <v>ExternalSpeedLightSort</v>
      </c>
      <c r="G228" s="8" t="str">
        <f ca="1"/>
        <v>ExternalSpeedLightSort</v>
      </c>
      <c r="H228" s="7" t="str">
        <f ca="1"/>
        <v>ExternalSpeedLightSort</v>
      </c>
      <c r="I228" s="7" t="str">
        <f ca="1"/>
        <v>ExternalSpeedLightSort</v>
      </c>
      <c r="J228" s="7" t="str">
        <f ca="1"/>
        <v>ExternalSpeedLightSort</v>
      </c>
      <c r="K228" s="7" t="str">
        <f ca="1"/>
        <v>ExternalSpeedLightSort</v>
      </c>
      <c r="L228" s="7" t="str">
        <f ca="1"/>
        <v>ExternalSpeedLightSort</v>
      </c>
      <c r="M228" s="7" t="str">
        <f ca="1"/>
        <v>ExternalSpeedLightSort</v>
      </c>
      <c r="N228" s="7" t="str">
        <f ca="1"/>
        <v>ExternalSpeedLightSort</v>
      </c>
      <c r="O228" s="7" t="str">
        <f ca="1"/>
        <v>ExternalSpeedLightSort</v>
      </c>
      <c r="P228" s="7" t="str">
        <f ca="1"/>
        <v>ExternalSpeedLightSort</v>
      </c>
      <c r="Q228" s="7" t="str">
        <f ca="1"/>
        <v>ExternalSpeedLightSort</v>
      </c>
      <c r="T228" s="7" t="str">
        <f ca="1"/>
        <v>Z8</v>
      </c>
      <c r="U228" s="7" t="str">
        <f ca="1"/>
        <v>0xD1F4</v>
      </c>
      <c r="V228" s="7" t="str">
        <f ca="1"/>
        <v>ISOAutoShutterTimeCorrectionValue</v>
      </c>
      <c r="X228" s="8" t="s">
        <v>615</v>
      </c>
      <c r="Y228" s="8" t="s">
        <v>615</v>
      </c>
      <c r="Z228" s="8" t="s">
        <v>1205</v>
      </c>
      <c r="AA228" s="8" t="s">
        <v>1205</v>
      </c>
      <c r="AB228" s="7" t="s">
        <v>655</v>
      </c>
      <c r="AC228" s="7" t="s">
        <v>635</v>
      </c>
      <c r="AD228" s="7" t="s">
        <v>635</v>
      </c>
      <c r="AE228" s="7" t="s">
        <v>639</v>
      </c>
      <c r="AF228" s="7" t="s">
        <v>603</v>
      </c>
      <c r="AG228" s="7" t="s">
        <v>595</v>
      </c>
      <c r="AH228" s="7" t="s">
        <v>601</v>
      </c>
      <c r="AI228" s="7" t="s">
        <v>643</v>
      </c>
      <c r="AJ228" s="7" t="s">
        <v>1803</v>
      </c>
      <c r="AK228" s="7" t="s">
        <v>1807</v>
      </c>
    </row>
    <row r="229" spans="1:37" x14ac:dyDescent="0.25">
      <c r="A229" s="13" t="str">
        <f ca="1"/>
        <v>0xD124</v>
      </c>
      <c r="B229" s="14" t="str">
        <f ca="1"/>
        <v>FlashCompensation</v>
      </c>
      <c r="D229" s="8" t="str">
        <f ca="1"/>
        <v>FlashCompensation</v>
      </c>
      <c r="E229" s="8" t="str">
        <f ca="1"/>
        <v>FlashCompensation</v>
      </c>
      <c r="F229" s="8" t="str">
        <f ca="1"/>
        <v>FlashCompensation</v>
      </c>
      <c r="G229" s="8" t="str">
        <f ca="1"/>
        <v>FlashCompensation</v>
      </c>
      <c r="H229" s="7" t="str">
        <f ca="1"/>
        <v>FlashCompensation</v>
      </c>
      <c r="I229" s="7" t="str">
        <f ca="1"/>
        <v>FlashCompensation</v>
      </c>
      <c r="J229" s="7" t="str">
        <f ca="1"/>
        <v>FlashCompensation</v>
      </c>
      <c r="K229" s="7" t="str">
        <f ca="1"/>
        <v>FlashCompensation</v>
      </c>
      <c r="L229" s="7" t="str">
        <f ca="1"/>
        <v>FlashCompensation</v>
      </c>
      <c r="M229" s="7" t="str">
        <f ca="1"/>
        <v>FlashCompensation</v>
      </c>
      <c r="N229" s="7" t="str">
        <f ca="1"/>
        <v>FlashCompensation</v>
      </c>
      <c r="O229" s="7" t="str">
        <f ca="1"/>
        <v>FlashCompensation</v>
      </c>
      <c r="P229" s="7" t="str">
        <f ca="1"/>
        <v>FlashCompensation</v>
      </c>
      <c r="Q229" s="7" t="str">
        <f ca="1"/>
        <v>FlashCompensation</v>
      </c>
      <c r="T229" s="7" t="str">
        <f ca="1"/>
        <v>Z8</v>
      </c>
      <c r="U229" s="7" t="str">
        <f ca="1"/>
        <v>0xD1F8</v>
      </c>
      <c r="V229" s="7" t="str">
        <f ca="1"/>
        <v>MovieFocusMeteringMode</v>
      </c>
      <c r="X229" s="8" t="s">
        <v>616</v>
      </c>
      <c r="Y229" s="8" t="s">
        <v>616</v>
      </c>
      <c r="Z229" s="8" t="s">
        <v>638</v>
      </c>
      <c r="AA229" s="8" t="s">
        <v>638</v>
      </c>
      <c r="AB229" s="7" t="s">
        <v>656</v>
      </c>
      <c r="AC229" s="7" t="s">
        <v>636</v>
      </c>
      <c r="AD229" s="7" t="s">
        <v>636</v>
      </c>
      <c r="AE229" s="7" t="s">
        <v>640</v>
      </c>
      <c r="AF229" s="7" t="s">
        <v>604</v>
      </c>
      <c r="AG229" s="7" t="s">
        <v>1198</v>
      </c>
      <c r="AH229" s="7" t="s">
        <v>602</v>
      </c>
      <c r="AI229" s="7" t="s">
        <v>644</v>
      </c>
      <c r="AJ229" s="7" t="s">
        <v>576</v>
      </c>
      <c r="AK229" s="7" t="s">
        <v>1808</v>
      </c>
    </row>
    <row r="230" spans="1:37" x14ac:dyDescent="0.25">
      <c r="A230" s="13" t="str">
        <f ca="1"/>
        <v>0xD125</v>
      </c>
      <c r="B230" s="14" t="str">
        <f ca="1"/>
        <v>NewExternalSpeedLightMode</v>
      </c>
      <c r="D230" s="8" t="str">
        <f ca="1"/>
        <v>NewExternalSpeedLightMode</v>
      </c>
      <c r="E230" s="8" t="str">
        <f ca="1"/>
        <v>NewExternalSpeedLightMode</v>
      </c>
      <c r="F230" s="8" t="str">
        <f ca="1"/>
        <v>NewExternalSpeedLightMode</v>
      </c>
      <c r="G230" s="8" t="str">
        <f ca="1"/>
        <v>NewExternalSpeedLightMode</v>
      </c>
      <c r="H230" s="7" t="str">
        <f ca="1"/>
        <v>NewExternalSpeedLightMode</v>
      </c>
      <c r="I230" s="7" t="str">
        <f ca="1"/>
        <v>NewExternalSpeedLightMode</v>
      </c>
      <c r="J230" s="7" t="str">
        <f ca="1"/>
        <v>NewExternalSpeedLightMode</v>
      </c>
      <c r="K230" s="7" t="str">
        <f ca="1"/>
        <v>NewExternalSpeedLightMode</v>
      </c>
      <c r="L230" s="7" t="str">
        <f ca="1"/>
        <v>NewExternalSpeedLightMode</v>
      </c>
      <c r="M230" s="7" t="str">
        <f ca="1"/>
        <v>NewExternalSpeedLightMode</v>
      </c>
      <c r="N230" s="7" t="str">
        <f ca="1"/>
        <v>NewExternalSpeedLightMode</v>
      </c>
      <c r="O230" s="7" t="str">
        <f ca="1"/>
        <v>NewExternalSpeedLightMode</v>
      </c>
      <c r="P230" s="7" t="str">
        <f ca="1"/>
        <v>NewExternalSpeedLightMode</v>
      </c>
      <c r="Q230" s="7" t="str">
        <f ca="1"/>
        <v>NewExternalSpeedLightMode</v>
      </c>
      <c r="T230" s="7" t="str">
        <f ca="1"/>
        <v>Z8</v>
      </c>
      <c r="U230" s="7" t="str">
        <f ca="1"/>
        <v>0xD1F9</v>
      </c>
      <c r="V230" s="7" t="str">
        <f ca="1"/>
        <v>MovieVibrationReduction</v>
      </c>
      <c r="X230" s="8" t="s">
        <v>617</v>
      </c>
      <c r="Y230" s="8" t="s">
        <v>617</v>
      </c>
      <c r="Z230" s="8" t="s">
        <v>639</v>
      </c>
      <c r="AA230" s="8" t="s">
        <v>639</v>
      </c>
      <c r="AB230" s="7" t="s">
        <v>657</v>
      </c>
      <c r="AC230" s="7" t="s">
        <v>637</v>
      </c>
      <c r="AD230" s="7" t="s">
        <v>637</v>
      </c>
      <c r="AE230" s="7" t="s">
        <v>641</v>
      </c>
      <c r="AF230" s="7" t="s">
        <v>605</v>
      </c>
      <c r="AG230" s="7" t="s">
        <v>1199</v>
      </c>
      <c r="AH230" s="7" t="s">
        <v>603</v>
      </c>
      <c r="AI230" s="7" t="s">
        <v>1712</v>
      </c>
      <c r="AJ230" s="7" t="s">
        <v>577</v>
      </c>
      <c r="AK230" s="7" t="s">
        <v>1809</v>
      </c>
    </row>
    <row r="231" spans="1:37" x14ac:dyDescent="0.25">
      <c r="A231" s="13" t="str">
        <f ca="1"/>
        <v>0xD126</v>
      </c>
      <c r="B231" s="14" t="str">
        <f ca="1"/>
        <v>InternalFlashCompensation</v>
      </c>
      <c r="D231" s="8" t="str">
        <f ca="1"/>
        <v>InternalFlashCompensation</v>
      </c>
      <c r="E231" s="8" t="str">
        <f ca="1"/>
        <v>InternalFlashCompensation</v>
      </c>
      <c r="F231" s="8" t="str">
        <f ca="1"/>
        <v>InternalFlashCompensation</v>
      </c>
      <c r="G231" s="8" t="str">
        <f ca="1"/>
        <v>InternalFlashCompensation</v>
      </c>
      <c r="H231" s="7" t="str">
        <f ca="1"/>
        <v>InternalFlashCompensation</v>
      </c>
      <c r="I231" s="7" t="str">
        <f ca="1"/>
        <v>InternalFlashCompensation</v>
      </c>
      <c r="J231" s="7" t="str">
        <f ca="1"/>
        <v>InternalFlashCompensation</v>
      </c>
      <c r="K231" s="7" t="str">
        <f ca="1"/>
        <v>InternalFlashCompensation</v>
      </c>
      <c r="L231" s="7" t="str">
        <f ca="1"/>
        <v>InternalFlashCompensation</v>
      </c>
      <c r="M231" s="7" t="str">
        <f ca="1"/>
        <v/>
      </c>
      <c r="N231" s="7" t="str">
        <f ca="1"/>
        <v/>
      </c>
      <c r="O231" s="7" t="str">
        <f ca="1"/>
        <v/>
      </c>
      <c r="P231" s="7" t="str">
        <f ca="1"/>
        <v/>
      </c>
      <c r="Q231" s="7" t="str">
        <f ca="1"/>
        <v/>
      </c>
      <c r="T231" s="7" t="str">
        <f ca="1"/>
        <v>Z8</v>
      </c>
      <c r="U231" s="7" t="str">
        <f ca="1"/>
        <v>0xD1FA</v>
      </c>
      <c r="V231" s="7" t="str">
        <f ca="1"/>
        <v>MovieFocusMode</v>
      </c>
      <c r="X231" s="8" t="s">
        <v>618</v>
      </c>
      <c r="Y231" s="8" t="s">
        <v>618</v>
      </c>
      <c r="Z231" s="8" t="s">
        <v>640</v>
      </c>
      <c r="AA231" s="8" t="s">
        <v>640</v>
      </c>
      <c r="AB231" s="7" t="s">
        <v>658</v>
      </c>
      <c r="AC231" s="7" t="s">
        <v>1204</v>
      </c>
      <c r="AD231" s="7" t="s">
        <v>1204</v>
      </c>
      <c r="AE231" s="7" t="s">
        <v>642</v>
      </c>
      <c r="AF231" s="7" t="s">
        <v>606</v>
      </c>
      <c r="AG231" s="7" t="s">
        <v>596</v>
      </c>
      <c r="AH231" s="7" t="s">
        <v>604</v>
      </c>
      <c r="AI231" s="7" t="s">
        <v>646</v>
      </c>
      <c r="AJ231" s="7" t="s">
        <v>578</v>
      </c>
      <c r="AK231" s="7" t="s">
        <v>1810</v>
      </c>
    </row>
    <row r="232" spans="1:37" x14ac:dyDescent="0.25">
      <c r="A232" s="13" t="str">
        <f ca="1"/>
        <v>0xD12D</v>
      </c>
      <c r="B232" s="14" t="str">
        <f ca="1"/>
        <v>ExternalSpeedLightMultiFlashMode</v>
      </c>
      <c r="D232" s="8" t="str">
        <f ca="1"/>
        <v>ExternalSpeedLightMultiFlashMode</v>
      </c>
      <c r="E232" s="8" t="str">
        <f ca="1"/>
        <v>ExternalSpeedLightMultiFlashMode</v>
      </c>
      <c r="F232" s="8" t="str">
        <f ca="1"/>
        <v>ExternalSpeedLightMultiFlashMode</v>
      </c>
      <c r="G232" s="8" t="str">
        <f ca="1"/>
        <v>ExternalSpeedLightMultiFlashMode</v>
      </c>
      <c r="H232" s="7" t="str">
        <f ca="1"/>
        <v>ExternalSpeedLightMultiFlashMode</v>
      </c>
      <c r="I232" s="7" t="str">
        <f ca="1"/>
        <v>ExternalSpeedLightMultiFlashMode</v>
      </c>
      <c r="J232" s="7" t="str">
        <f ca="1"/>
        <v>ExternalSpeedLightMultiFlashMode</v>
      </c>
      <c r="K232" s="7" t="str">
        <f ca="1"/>
        <v>ExternalSpeedLightMultiFlashMode</v>
      </c>
      <c r="L232" s="7" t="str">
        <f ca="1"/>
        <v>ExternalSpeedLightMultiFlashMode</v>
      </c>
      <c r="M232" s="7" t="str">
        <f ca="1"/>
        <v>ExternalSpeedLightMultiFlashMode</v>
      </c>
      <c r="N232" s="7" t="str">
        <f ca="1"/>
        <v/>
      </c>
      <c r="O232" s="7" t="str">
        <f ca="1"/>
        <v/>
      </c>
      <c r="P232" s="7" t="str">
        <f ca="1"/>
        <v/>
      </c>
      <c r="Q232" s="7" t="str">
        <f ca="1"/>
        <v/>
      </c>
      <c r="T232" s="7" t="str">
        <f ca="1"/>
        <v>Z8</v>
      </c>
      <c r="U232" s="7" t="str">
        <f ca="1"/>
        <v>0xD1FB</v>
      </c>
      <c r="V232" s="7" t="str">
        <f ca="1"/>
        <v>RecordTimeCodes</v>
      </c>
      <c r="X232" s="8" t="s">
        <v>619</v>
      </c>
      <c r="Y232" s="8" t="s">
        <v>619</v>
      </c>
      <c r="Z232" s="8" t="s">
        <v>641</v>
      </c>
      <c r="AA232" s="8" t="s">
        <v>641</v>
      </c>
      <c r="AB232" s="7" t="s">
        <v>659</v>
      </c>
      <c r="AC232" s="7" t="s">
        <v>1205</v>
      </c>
      <c r="AD232" s="7" t="s">
        <v>1205</v>
      </c>
      <c r="AE232" s="7" t="s">
        <v>643</v>
      </c>
      <c r="AF232" s="7" t="s">
        <v>607</v>
      </c>
      <c r="AG232" s="7" t="s">
        <v>597</v>
      </c>
      <c r="AH232" s="7" t="s">
        <v>605</v>
      </c>
      <c r="AI232" s="7" t="s">
        <v>647</v>
      </c>
      <c r="AJ232" s="7" t="s">
        <v>579</v>
      </c>
      <c r="AK232" s="7" t="s">
        <v>1811</v>
      </c>
    </row>
    <row r="233" spans="1:37" x14ac:dyDescent="0.25">
      <c r="A233" s="13" t="str">
        <f ca="1"/>
        <v>0xD12E</v>
      </c>
      <c r="B233" s="14" t="str">
        <f ca="1"/>
        <v>ConnectionPath</v>
      </c>
      <c r="D233" s="8" t="str">
        <f ca="1"/>
        <v>ConnectionPath</v>
      </c>
      <c r="E233" s="8" t="str">
        <f ca="1"/>
        <v>ConnectionPath</v>
      </c>
      <c r="F233" s="8" t="str">
        <f ca="1"/>
        <v>ConnectionPath</v>
      </c>
      <c r="G233" s="8" t="str">
        <f ca="1"/>
        <v>ConnectionPath</v>
      </c>
      <c r="H233" s="7" t="str">
        <f ca="1"/>
        <v>ConnectionPath</v>
      </c>
      <c r="I233" s="7" t="str">
        <f ca="1"/>
        <v>ConnectionPath</v>
      </c>
      <c r="J233" s="7" t="str">
        <f ca="1"/>
        <v>ConnectionPath</v>
      </c>
      <c r="K233" s="7" t="str">
        <f ca="1"/>
        <v>ConnectionPath</v>
      </c>
      <c r="L233" s="7" t="str">
        <f ca="1"/>
        <v>ConnectionPath</v>
      </c>
      <c r="M233" s="7" t="str">
        <f ca="1"/>
        <v/>
      </c>
      <c r="N233" s="7" t="str">
        <f ca="1"/>
        <v/>
      </c>
      <c r="O233" s="7" t="str">
        <f ca="1"/>
        <v/>
      </c>
      <c r="P233" s="7" t="str">
        <f ca="1"/>
        <v/>
      </c>
      <c r="Q233" s="7" t="str">
        <f ca="1"/>
        <v/>
      </c>
      <c r="T233" s="7" t="str">
        <f ca="1"/>
        <v>Z8</v>
      </c>
      <c r="U233" s="7" t="str">
        <f ca="1"/>
        <v>0xD1FC</v>
      </c>
      <c r="V233" s="7" t="str">
        <f ca="1"/>
        <v>CountUpMethod</v>
      </c>
      <c r="X233" s="8" t="s">
        <v>620</v>
      </c>
      <c r="Y233" s="8" t="s">
        <v>620</v>
      </c>
      <c r="Z233" s="8" t="s">
        <v>642</v>
      </c>
      <c r="AA233" s="8" t="s">
        <v>642</v>
      </c>
      <c r="AB233" s="7" t="s">
        <v>1523</v>
      </c>
      <c r="AC233" s="7" t="s">
        <v>638</v>
      </c>
      <c r="AD233" s="7" t="s">
        <v>638</v>
      </c>
      <c r="AE233" s="7" t="s">
        <v>644</v>
      </c>
      <c r="AF233" s="7" t="s">
        <v>608</v>
      </c>
      <c r="AG233" s="7" t="s">
        <v>598</v>
      </c>
      <c r="AH233" s="7" t="s">
        <v>608</v>
      </c>
      <c r="AI233" s="7" t="s">
        <v>648</v>
      </c>
      <c r="AJ233" s="7" t="s">
        <v>580</v>
      </c>
      <c r="AK233" s="7" t="s">
        <v>1812</v>
      </c>
    </row>
    <row r="234" spans="1:37" x14ac:dyDescent="0.25">
      <c r="A234" s="13" t="str">
        <f ca="1"/>
        <v>0xD12F</v>
      </c>
      <c r="B234" s="14" t="str">
        <f ca="1"/>
        <v>AWBLockStatus</v>
      </c>
      <c r="D234" s="8" t="str">
        <f ca="1"/>
        <v>AWBLockStatus</v>
      </c>
      <c r="E234" s="8" t="str">
        <f ca="1"/>
        <v>AWBLockStatus</v>
      </c>
      <c r="F234" s="8" t="str">
        <f ca="1"/>
        <v/>
      </c>
      <c r="G234" s="8" t="str">
        <f ca="1"/>
        <v/>
      </c>
      <c r="H234" s="7" t="str">
        <f ca="1"/>
        <v/>
      </c>
      <c r="I234" s="7" t="str">
        <f ca="1"/>
        <v/>
      </c>
      <c r="J234" s="7" t="str">
        <f ca="1"/>
        <v/>
      </c>
      <c r="K234" s="7" t="str">
        <f ca="1"/>
        <v/>
      </c>
      <c r="L234" s="7" t="str">
        <f ca="1"/>
        <v>AWBLockStatus</v>
      </c>
      <c r="M234" s="7" t="str">
        <f ca="1"/>
        <v/>
      </c>
      <c r="N234" s="7" t="str">
        <f ca="1"/>
        <v/>
      </c>
      <c r="O234" s="7" t="str">
        <f ca="1"/>
        <v/>
      </c>
      <c r="P234" s="7" t="str">
        <f ca="1"/>
        <v/>
      </c>
      <c r="Q234" s="7" t="str">
        <f ca="1"/>
        <v/>
      </c>
      <c r="T234" s="7" t="str">
        <f ca="1"/>
        <v>Z8</v>
      </c>
      <c r="U234" s="7" t="str">
        <f ca="1"/>
        <v>0xD1FD</v>
      </c>
      <c r="V234" s="7" t="str">
        <f ca="1"/>
        <v>TimeCodeOrigin</v>
      </c>
      <c r="X234" s="8" t="s">
        <v>621</v>
      </c>
      <c r="Y234" s="8" t="s">
        <v>621</v>
      </c>
      <c r="Z234" s="8" t="s">
        <v>643</v>
      </c>
      <c r="AA234" s="8" t="s">
        <v>643</v>
      </c>
      <c r="AB234" s="7" t="s">
        <v>1524</v>
      </c>
      <c r="AC234" s="7" t="s">
        <v>639</v>
      </c>
      <c r="AD234" s="7" t="s">
        <v>639</v>
      </c>
      <c r="AE234" s="7" t="s">
        <v>645</v>
      </c>
      <c r="AF234" s="7" t="s">
        <v>609</v>
      </c>
      <c r="AG234" s="7" t="s">
        <v>599</v>
      </c>
      <c r="AH234" s="7" t="s">
        <v>609</v>
      </c>
      <c r="AI234" s="7" t="s">
        <v>649</v>
      </c>
      <c r="AJ234" s="7" t="s">
        <v>581</v>
      </c>
      <c r="AK234" s="7" t="s">
        <v>1813</v>
      </c>
    </row>
    <row r="235" spans="1:37" x14ac:dyDescent="0.25">
      <c r="A235" s="13" t="str">
        <f ca="1"/>
        <v>0xD130</v>
      </c>
      <c r="B235" s="14" t="str">
        <f ca="1"/>
        <v>HDRMode</v>
      </c>
      <c r="D235" s="8" t="str">
        <f ca="1"/>
        <v>HDRMode</v>
      </c>
      <c r="E235" s="8" t="str">
        <f ca="1"/>
        <v>HDRMode</v>
      </c>
      <c r="F235" s="8" t="str">
        <f ca="1"/>
        <v>HDRMode</v>
      </c>
      <c r="G235" s="8" t="str">
        <f ca="1"/>
        <v>HDRMode</v>
      </c>
      <c r="H235" s="7" t="str">
        <f ca="1"/>
        <v>HDRMode</v>
      </c>
      <c r="I235" s="7" t="str">
        <f ca="1"/>
        <v>HDRMode</v>
      </c>
      <c r="J235" s="7" t="str">
        <f ca="1"/>
        <v>HDRMode</v>
      </c>
      <c r="K235" s="7" t="str">
        <f ca="1"/>
        <v>HDRMode</v>
      </c>
      <c r="L235" s="7" t="str">
        <f ca="1"/>
        <v>HDRMode</v>
      </c>
      <c r="M235" s="7" t="str">
        <f ca="1"/>
        <v>HDRMode</v>
      </c>
      <c r="N235" s="7" t="str">
        <f ca="1"/>
        <v>HDRMode</v>
      </c>
      <c r="O235" s="7" t="str">
        <f ca="1"/>
        <v>HDRMode</v>
      </c>
      <c r="P235" s="7" t="str">
        <f ca="1"/>
        <v/>
      </c>
      <c r="Q235" s="7" t="str">
        <f ca="1"/>
        <v/>
      </c>
      <c r="T235" s="7" t="str">
        <f ca="1"/>
        <v>Z8</v>
      </c>
      <c r="U235" s="7" t="str">
        <f ca="1"/>
        <v>0xD1FE</v>
      </c>
      <c r="V235" s="7" t="str">
        <f ca="1"/>
        <v>DropFrame</v>
      </c>
      <c r="X235" s="8" t="s">
        <v>622</v>
      </c>
      <c r="Y235" s="8" t="s">
        <v>622</v>
      </c>
      <c r="Z235" s="8" t="s">
        <v>644</v>
      </c>
      <c r="AA235" s="8" t="s">
        <v>644</v>
      </c>
      <c r="AB235" s="7" t="s">
        <v>1206</v>
      </c>
      <c r="AC235" s="7" t="s">
        <v>640</v>
      </c>
      <c r="AD235" s="7" t="s">
        <v>640</v>
      </c>
      <c r="AE235" s="7" t="s">
        <v>646</v>
      </c>
      <c r="AF235" s="7" t="s">
        <v>610</v>
      </c>
      <c r="AG235" s="7" t="s">
        <v>600</v>
      </c>
      <c r="AH235" s="7" t="s">
        <v>610</v>
      </c>
      <c r="AI235" s="7" t="s">
        <v>650</v>
      </c>
      <c r="AJ235" s="7" t="s">
        <v>582</v>
      </c>
      <c r="AK235" s="7" t="s">
        <v>1814</v>
      </c>
    </row>
    <row r="236" spans="1:37" x14ac:dyDescent="0.25">
      <c r="A236" s="13" t="str">
        <f ca="1"/>
        <v>0xD131</v>
      </c>
      <c r="B236" s="14" t="str">
        <f ca="1"/>
        <v>HDREv</v>
      </c>
      <c r="D236" s="8" t="str">
        <f ca="1"/>
        <v/>
      </c>
      <c r="E236" s="8" t="str">
        <f ca="1"/>
        <v/>
      </c>
      <c r="F236" s="8" t="str">
        <f ca="1"/>
        <v>HDREv</v>
      </c>
      <c r="G236" s="8" t="str">
        <f ca="1"/>
        <v>HDREv</v>
      </c>
      <c r="H236" s="7" t="str">
        <f ca="1"/>
        <v>HDREv</v>
      </c>
      <c r="I236" s="7" t="str">
        <f ca="1"/>
        <v>HDREv</v>
      </c>
      <c r="J236" s="7" t="str">
        <f ca="1"/>
        <v>HDREv</v>
      </c>
      <c r="K236" s="7" t="str">
        <f ca="1"/>
        <v>HDREv</v>
      </c>
      <c r="L236" s="7" t="str">
        <f ca="1"/>
        <v>HDREv</v>
      </c>
      <c r="M236" s="7" t="str">
        <f ca="1"/>
        <v>HDREv</v>
      </c>
      <c r="N236" s="7" t="str">
        <f ca="1"/>
        <v>HDREv</v>
      </c>
      <c r="O236" s="7" t="str">
        <f ca="1"/>
        <v>HDREv</v>
      </c>
      <c r="P236" s="7" t="str">
        <f ca="1"/>
        <v/>
      </c>
      <c r="Q236" s="7" t="str">
        <f ca="1"/>
        <v/>
      </c>
      <c r="T236" s="7" t="str">
        <f ca="1"/>
        <v>Z8</v>
      </c>
      <c r="U236" s="7" t="str">
        <f ca="1"/>
        <v>0xD200</v>
      </c>
      <c r="V236" s="7" t="str">
        <f ca="1"/>
        <v>ActivePicCtrlItem</v>
      </c>
      <c r="X236" s="8" t="s">
        <v>623</v>
      </c>
      <c r="Y236" s="8" t="s">
        <v>623</v>
      </c>
      <c r="Z236" s="8" t="s">
        <v>645</v>
      </c>
      <c r="AA236" s="8" t="s">
        <v>645</v>
      </c>
      <c r="AB236" s="7" t="s">
        <v>1207</v>
      </c>
      <c r="AC236" s="7" t="s">
        <v>641</v>
      </c>
      <c r="AD236" s="7" t="s">
        <v>641</v>
      </c>
      <c r="AE236" s="7" t="s">
        <v>647</v>
      </c>
      <c r="AF236" s="7" t="s">
        <v>611</v>
      </c>
      <c r="AG236" s="7" t="s">
        <v>601</v>
      </c>
      <c r="AH236" s="7" t="s">
        <v>611</v>
      </c>
      <c r="AI236" s="7" t="s">
        <v>651</v>
      </c>
      <c r="AJ236" s="7" t="s">
        <v>583</v>
      </c>
      <c r="AK236" s="7" t="s">
        <v>1815</v>
      </c>
    </row>
    <row r="237" spans="1:37" x14ac:dyDescent="0.25">
      <c r="A237" s="13" t="str">
        <f ca="1"/>
        <v>0xD132</v>
      </c>
      <c r="B237" s="14" t="str">
        <f ca="1"/>
        <v>HDRStrength</v>
      </c>
      <c r="D237" s="8" t="str">
        <f ca="1"/>
        <v>HDRStrength</v>
      </c>
      <c r="E237" s="8" t="str">
        <f ca="1"/>
        <v>HDRStrength</v>
      </c>
      <c r="F237" s="8" t="str">
        <f ca="1"/>
        <v>HDRSmoothing</v>
      </c>
      <c r="G237" s="8" t="str">
        <f ca="1"/>
        <v>HDRSmoothing</v>
      </c>
      <c r="H237" s="7" t="str">
        <f ca="1"/>
        <v>HDRSmoothing</v>
      </c>
      <c r="I237" s="7" t="str">
        <f ca="1"/>
        <v>HDRSmoothing</v>
      </c>
      <c r="J237" s="7" t="str">
        <f ca="1"/>
        <v>HDRSmoothing</v>
      </c>
      <c r="K237" s="7" t="str">
        <f ca="1"/>
        <v>HDRSmoothing</v>
      </c>
      <c r="L237" s="7" t="str">
        <f ca="1"/>
        <v>HDRSmoothing</v>
      </c>
      <c r="M237" s="7" t="str">
        <f ca="1"/>
        <v>HDRSmoothing</v>
      </c>
      <c r="N237" s="7" t="str">
        <f ca="1"/>
        <v>HDRSmoothing</v>
      </c>
      <c r="O237" s="7" t="str">
        <f ca="1"/>
        <v>HDRSmoothing</v>
      </c>
      <c r="P237" s="7" t="str">
        <f ca="1"/>
        <v/>
      </c>
      <c r="Q237" s="7" t="str">
        <f ca="1"/>
        <v/>
      </c>
      <c r="T237" s="7" t="str">
        <f ca="1"/>
        <v>Z8</v>
      </c>
      <c r="U237" s="7" t="str">
        <f ca="1"/>
        <v>0xD20F</v>
      </c>
      <c r="V237" s="7" t="str">
        <f ca="1"/>
        <v>MovieCaptureAreaCrop</v>
      </c>
      <c r="X237" s="8" t="s">
        <v>624</v>
      </c>
      <c r="Y237" s="8" t="s">
        <v>624</v>
      </c>
      <c r="Z237" s="8" t="s">
        <v>646</v>
      </c>
      <c r="AA237" s="8" t="s">
        <v>646</v>
      </c>
      <c r="AB237" s="7" t="s">
        <v>660</v>
      </c>
      <c r="AC237" s="7" t="s">
        <v>642</v>
      </c>
      <c r="AD237" s="7" t="s">
        <v>642</v>
      </c>
      <c r="AE237" s="7" t="s">
        <v>648</v>
      </c>
      <c r="AF237" s="7" t="s">
        <v>1200</v>
      </c>
      <c r="AG237" s="7" t="s">
        <v>602</v>
      </c>
      <c r="AH237" s="7" t="s">
        <v>1200</v>
      </c>
      <c r="AI237" s="7" t="s">
        <v>652</v>
      </c>
      <c r="AJ237" s="7" t="s">
        <v>1804</v>
      </c>
      <c r="AK237" s="7" t="s">
        <v>1816</v>
      </c>
    </row>
    <row r="238" spans="1:37" x14ac:dyDescent="0.25">
      <c r="A238" s="13" t="str">
        <f ca="1"/>
        <v>0xD133</v>
      </c>
      <c r="B238" s="14" t="str">
        <f ca="1"/>
        <v>HDRSaveIndividualImages</v>
      </c>
      <c r="D238" s="8" t="str">
        <f ca="1"/>
        <v>HDRSaveIndividualImages</v>
      </c>
      <c r="E238" s="8" t="str">
        <f ca="1"/>
        <v>HDRSaveIndividualImages</v>
      </c>
      <c r="F238" s="8" t="str">
        <f ca="1"/>
        <v>HDRSaveIndividualImages</v>
      </c>
      <c r="G238" s="8" t="str">
        <f ca="1"/>
        <v>HDRSaveIndividualImages</v>
      </c>
      <c r="H238" s="7" t="str">
        <f ca="1"/>
        <v>HDRSaveIndividualImages</v>
      </c>
      <c r="I238" s="7" t="str">
        <f ca="1"/>
        <v>HDRSaveIndividualImages</v>
      </c>
      <c r="J238" s="7" t="str">
        <f ca="1"/>
        <v>HDRSaveIndividualImages</v>
      </c>
      <c r="K238" s="7" t="str">
        <f ca="1"/>
        <v>HDRSaveIndividualImages</v>
      </c>
      <c r="L238" s="7" t="str">
        <f ca="1"/>
        <v>HDRSaveIndividualImages</v>
      </c>
      <c r="M238" s="7" t="str">
        <f ca="1"/>
        <v/>
      </c>
      <c r="N238" s="7" t="str">
        <f ca="1"/>
        <v/>
      </c>
      <c r="O238" s="7" t="str">
        <f ca="1"/>
        <v/>
      </c>
      <c r="P238" s="7" t="str">
        <f ca="1"/>
        <v/>
      </c>
      <c r="Q238" s="7" t="str">
        <f ca="1"/>
        <v/>
      </c>
      <c r="T238" s="7" t="str">
        <f ca="1"/>
        <v>Z8</v>
      </c>
      <c r="U238" s="7" t="str">
        <f ca="1"/>
        <v>0xD211</v>
      </c>
      <c r="V238" s="7" t="str">
        <f ca="1"/>
        <v>MovieWbAutoType</v>
      </c>
      <c r="X238" s="8" t="s">
        <v>625</v>
      </c>
      <c r="Y238" s="8" t="s">
        <v>625</v>
      </c>
      <c r="Z238" s="8" t="s">
        <v>647</v>
      </c>
      <c r="AA238" s="8" t="s">
        <v>647</v>
      </c>
      <c r="AB238" s="7" t="s">
        <v>661</v>
      </c>
      <c r="AC238" s="7" t="s">
        <v>643</v>
      </c>
      <c r="AD238" s="7" t="s">
        <v>643</v>
      </c>
      <c r="AE238" s="7" t="s">
        <v>649</v>
      </c>
      <c r="AF238" s="7" t="s">
        <v>1201</v>
      </c>
      <c r="AG238" s="7" t="s">
        <v>603</v>
      </c>
      <c r="AH238" s="7" t="s">
        <v>1201</v>
      </c>
      <c r="AI238" s="7" t="s">
        <v>653</v>
      </c>
      <c r="AJ238" s="7" t="s">
        <v>1805</v>
      </c>
      <c r="AK238" s="7" t="s">
        <v>1817</v>
      </c>
    </row>
    <row r="239" spans="1:37" x14ac:dyDescent="0.25">
      <c r="A239" s="13" t="str">
        <f ca="1"/>
        <v>0xD138</v>
      </c>
      <c r="B239" s="14" t="str">
        <f ca="1"/>
        <v>VibrationReduction</v>
      </c>
      <c r="D239" s="8" t="str">
        <f ca="1"/>
        <v>VibrationReduction</v>
      </c>
      <c r="E239" s="8" t="str">
        <f ca="1"/>
        <v>VibrationReduction</v>
      </c>
      <c r="F239" s="8" t="str">
        <f ca="1"/>
        <v>VibrationReduction</v>
      </c>
      <c r="G239" s="8" t="str">
        <f ca="1"/>
        <v>VibrationReduction</v>
      </c>
      <c r="H239" s="7" t="str">
        <f ca="1"/>
        <v>VibrationReduction</v>
      </c>
      <c r="I239" s="7" t="str">
        <f ca="1"/>
        <v>VibrationReduction</v>
      </c>
      <c r="J239" s="7" t="str">
        <f ca="1"/>
        <v>VibrationReduction</v>
      </c>
      <c r="K239" s="7" t="str">
        <f ca="1"/>
        <v>VibrationReduction</v>
      </c>
      <c r="L239" s="7" t="str">
        <f ca="1"/>
        <v>VibrationReduction</v>
      </c>
      <c r="M239" s="7" t="str">
        <f ca="1"/>
        <v/>
      </c>
      <c r="N239" s="7" t="str">
        <f ca="1"/>
        <v/>
      </c>
      <c r="O239" s="7" t="str">
        <f ca="1"/>
        <v/>
      </c>
      <c r="P239" s="7" t="str">
        <f ca="1"/>
        <v/>
      </c>
      <c r="Q239" s="7" t="str">
        <f ca="1"/>
        <v/>
      </c>
      <c r="T239" s="7" t="str">
        <f ca="1"/>
        <v>Z8</v>
      </c>
      <c r="U239" s="7" t="str">
        <f ca="1"/>
        <v>0xD212</v>
      </c>
      <c r="V239" s="7" t="str">
        <f ca="1"/>
        <v>MovieWbTuneAuto</v>
      </c>
      <c r="X239" s="8" t="s">
        <v>626</v>
      </c>
      <c r="Y239" s="8" t="s">
        <v>626</v>
      </c>
      <c r="Z239" s="8" t="s">
        <v>648</v>
      </c>
      <c r="AA239" s="8" t="s">
        <v>648</v>
      </c>
      <c r="AB239" s="7" t="s">
        <v>662</v>
      </c>
      <c r="AC239" s="7" t="s">
        <v>644</v>
      </c>
      <c r="AD239" s="7" t="s">
        <v>644</v>
      </c>
      <c r="AE239" s="7" t="s">
        <v>650</v>
      </c>
      <c r="AF239" s="7" t="s">
        <v>612</v>
      </c>
      <c r="AG239" s="7" t="s">
        <v>604</v>
      </c>
      <c r="AH239" s="7" t="s">
        <v>622</v>
      </c>
      <c r="AI239" s="7" t="s">
        <v>656</v>
      </c>
      <c r="AJ239" s="7" t="s">
        <v>1806</v>
      </c>
      <c r="AK239" s="7" t="s">
        <v>1818</v>
      </c>
    </row>
    <row r="240" spans="1:37" x14ac:dyDescent="0.25">
      <c r="A240" s="13" t="str">
        <f ca="1"/>
        <v>0xD141</v>
      </c>
      <c r="B240" s="14" t="str">
        <f ca="1"/>
        <v>WbAutoType</v>
      </c>
      <c r="D240" s="8" t="str">
        <f ca="1"/>
        <v>WbAutoType</v>
      </c>
      <c r="E240" s="8" t="str">
        <f ca="1"/>
        <v>WbAutoType</v>
      </c>
      <c r="F240" s="8" t="str">
        <f ca="1"/>
        <v>WbAutoType</v>
      </c>
      <c r="G240" s="8" t="str">
        <f ca="1"/>
        <v>WbAutoType</v>
      </c>
      <c r="H240" s="7" t="str">
        <f ca="1"/>
        <v>WbAutoType</v>
      </c>
      <c r="I240" s="7" t="str">
        <f ca="1"/>
        <v>WbAutoType</v>
      </c>
      <c r="J240" s="7" t="str">
        <f ca="1"/>
        <v>WbAutoType</v>
      </c>
      <c r="K240" s="7" t="str">
        <f ca="1"/>
        <v>WbAutoType</v>
      </c>
      <c r="L240" s="7" t="str">
        <f ca="1"/>
        <v>WbAutoType</v>
      </c>
      <c r="M240" s="7" t="str">
        <f ca="1"/>
        <v>WbAutoType</v>
      </c>
      <c r="N240" s="7" t="str">
        <f ca="1"/>
        <v>WbAutoType</v>
      </c>
      <c r="O240" s="7" t="str">
        <f ca="1"/>
        <v>WbTuneAutoType</v>
      </c>
      <c r="P240" s="7" t="str">
        <f ca="1"/>
        <v/>
      </c>
      <c r="Q240" s="7" t="str">
        <f ca="1"/>
        <v/>
      </c>
      <c r="T240" s="7" t="str">
        <f ca="1"/>
        <v>Z8</v>
      </c>
      <c r="U240" s="7" t="str">
        <f ca="1"/>
        <v>0xD213</v>
      </c>
      <c r="V240" s="7" t="str">
        <f ca="1"/>
        <v>MovieWbTuneIncandescent</v>
      </c>
      <c r="X240" s="8" t="s">
        <v>627</v>
      </c>
      <c r="Y240" s="8" t="s">
        <v>627</v>
      </c>
      <c r="Z240" s="8" t="s">
        <v>649</v>
      </c>
      <c r="AA240" s="8" t="s">
        <v>649</v>
      </c>
      <c r="AB240" s="7" t="s">
        <v>663</v>
      </c>
      <c r="AC240" s="7" t="s">
        <v>645</v>
      </c>
      <c r="AD240" s="7" t="s">
        <v>645</v>
      </c>
      <c r="AE240" s="7" t="s">
        <v>651</v>
      </c>
      <c r="AF240" s="7" t="s">
        <v>613</v>
      </c>
      <c r="AG240" s="7" t="s">
        <v>605</v>
      </c>
      <c r="AH240" s="7" t="s">
        <v>623</v>
      </c>
      <c r="AI240" s="7" t="s">
        <v>657</v>
      </c>
      <c r="AJ240" s="7" t="s">
        <v>1807</v>
      </c>
      <c r="AK240" s="7" t="s">
        <v>1819</v>
      </c>
    </row>
    <row r="241" spans="1:37" x14ac:dyDescent="0.25">
      <c r="A241" s="13" t="str">
        <f ca="1"/>
        <v>0xD148</v>
      </c>
      <c r="B241" s="14" t="str">
        <f ca="1"/>
        <v>Slot2ImageSaveMode</v>
      </c>
      <c r="D241" s="8" t="str">
        <f ca="1"/>
        <v>Slot2ImageSaveMode</v>
      </c>
      <c r="E241" s="8" t="str">
        <f ca="1"/>
        <v>Slot2ImageSaveMode</v>
      </c>
      <c r="F241" s="8" t="str">
        <f ca="1"/>
        <v>Slot2ImageSaveMode</v>
      </c>
      <c r="G241" s="8" t="str">
        <f ca="1"/>
        <v>Slot2ImageSaveMode</v>
      </c>
      <c r="H241" s="7" t="str">
        <f ca="1"/>
        <v/>
      </c>
      <c r="I241" s="7" t="str">
        <f ca="1"/>
        <v/>
      </c>
      <c r="J241" s="7" t="str">
        <f ca="1"/>
        <v/>
      </c>
      <c r="K241" s="7" t="str">
        <f ca="1"/>
        <v>Slot2ImageSaveMode</v>
      </c>
      <c r="L241" s="7" t="str">
        <f ca="1"/>
        <v>Slot2ImageSaveMode</v>
      </c>
      <c r="M241" s="7" t="str">
        <f ca="1"/>
        <v>Slot2ImageSaveMode</v>
      </c>
      <c r="N241" s="7" t="str">
        <f ca="1"/>
        <v>Slot2ImageSaveMode</v>
      </c>
      <c r="O241" s="7" t="str">
        <f ca="1"/>
        <v>Slot2ImageSaveMode</v>
      </c>
      <c r="P241" s="7" t="str">
        <f ca="1"/>
        <v>Slot2ImageSaveMode</v>
      </c>
      <c r="Q241" s="7" t="str">
        <f ca="1"/>
        <v>Slot2ImageSaveMode</v>
      </c>
      <c r="T241" s="7" t="str">
        <f ca="1"/>
        <v>Z8</v>
      </c>
      <c r="U241" s="7" t="str">
        <f ca="1"/>
        <v>0xD214</v>
      </c>
      <c r="V241" s="7" t="str">
        <f ca="1"/>
        <v>MovieWbFluorescentType</v>
      </c>
      <c r="X241" s="8" t="s">
        <v>628</v>
      </c>
      <c r="Y241" s="8" t="s">
        <v>628</v>
      </c>
      <c r="Z241" s="8" t="s">
        <v>650</v>
      </c>
      <c r="AA241" s="8" t="s">
        <v>650</v>
      </c>
      <c r="AB241" s="7" t="s">
        <v>664</v>
      </c>
      <c r="AC241" s="7" t="s">
        <v>646</v>
      </c>
      <c r="AD241" s="7" t="s">
        <v>646</v>
      </c>
      <c r="AE241" s="7" t="s">
        <v>652</v>
      </c>
      <c r="AF241" s="7" t="s">
        <v>614</v>
      </c>
      <c r="AG241" s="7" t="s">
        <v>608</v>
      </c>
      <c r="AH241" s="7" t="s">
        <v>624</v>
      </c>
      <c r="AI241" s="7" t="s">
        <v>658</v>
      </c>
      <c r="AJ241" s="7" t="s">
        <v>1808</v>
      </c>
      <c r="AK241" s="7" t="s">
        <v>622</v>
      </c>
    </row>
    <row r="242" spans="1:37" x14ac:dyDescent="0.25">
      <c r="A242" s="13" t="str">
        <f ca="1"/>
        <v>0xD149</v>
      </c>
      <c r="B242" s="14" t="str">
        <f ca="1"/>
        <v>RawCompressionBitMode</v>
      </c>
      <c r="D242" s="8" t="str">
        <f ca="1"/>
        <v/>
      </c>
      <c r="E242" s="8" t="str">
        <f ca="1"/>
        <v/>
      </c>
      <c r="F242" s="8" t="str">
        <f ca="1"/>
        <v>RawCompressionBitMode</v>
      </c>
      <c r="G242" s="8" t="str">
        <f ca="1"/>
        <v>RawCompressionBitMode</v>
      </c>
      <c r="H242" s="7" t="str">
        <f ca="1"/>
        <v>RawCompressionBitMode</v>
      </c>
      <c r="I242" s="7" t="str">
        <f ca="1"/>
        <v>RawCompressionBitMode</v>
      </c>
      <c r="J242" s="7" t="str">
        <f ca="1"/>
        <v>RawCompressionBitMode</v>
      </c>
      <c r="K242" s="7" t="str">
        <f ca="1"/>
        <v>RawCompressionBitMode</v>
      </c>
      <c r="L242" s="7" t="str">
        <f ca="1"/>
        <v>RawCompressionBitMode</v>
      </c>
      <c r="M242" s="7" t="str">
        <f ca="1"/>
        <v>RawCompressionBitMode</v>
      </c>
      <c r="N242" s="7" t="str">
        <f ca="1"/>
        <v>RawCompressionBitMode</v>
      </c>
      <c r="O242" s="7" t="str">
        <f ca="1"/>
        <v>RawCompressionBitMode</v>
      </c>
      <c r="P242" s="7" t="str">
        <f ca="1"/>
        <v>RawCompressionBitMode</v>
      </c>
      <c r="Q242" s="7" t="str">
        <f ca="1"/>
        <v>RawCompressionBitMode</v>
      </c>
      <c r="T242" s="7" t="str">
        <f ca="1"/>
        <v>Z8</v>
      </c>
      <c r="U242" s="7" t="str">
        <f ca="1"/>
        <v>0xD215</v>
      </c>
      <c r="V242" s="7" t="str">
        <f ca="1"/>
        <v>MovieWbTuneFluorescent</v>
      </c>
      <c r="X242" s="8" t="s">
        <v>629</v>
      </c>
      <c r="Y242" s="8" t="s">
        <v>629</v>
      </c>
      <c r="Z242" s="8" t="s">
        <v>651</v>
      </c>
      <c r="AA242" s="8" t="s">
        <v>651</v>
      </c>
      <c r="AB242" s="7" t="s">
        <v>665</v>
      </c>
      <c r="AC242" s="7" t="s">
        <v>647</v>
      </c>
      <c r="AD242" s="7" t="s">
        <v>647</v>
      </c>
      <c r="AE242" s="7" t="s">
        <v>653</v>
      </c>
      <c r="AF242" s="7" t="s">
        <v>615</v>
      </c>
      <c r="AG242" s="7" t="s">
        <v>609</v>
      </c>
      <c r="AH242" s="7" t="s">
        <v>625</v>
      </c>
      <c r="AI242" s="7" t="s">
        <v>659</v>
      </c>
      <c r="AJ242" s="7" t="s">
        <v>1809</v>
      </c>
      <c r="AK242" s="7" t="s">
        <v>623</v>
      </c>
    </row>
    <row r="243" spans="1:37" x14ac:dyDescent="0.25">
      <c r="A243" s="13" t="str">
        <f ca="1"/>
        <v>0xD14E</v>
      </c>
      <c r="B243" s="14" t="str">
        <f ca="1"/>
        <v>Active</v>
      </c>
      <c r="D243" s="8" t="str">
        <f ca="1"/>
        <v>Active</v>
      </c>
      <c r="E243" s="8" t="str">
        <f ca="1"/>
        <v>Active</v>
      </c>
      <c r="F243" s="8" t="str">
        <f ca="1"/>
        <v>Active</v>
      </c>
      <c r="G243" s="8" t="str">
        <f ca="1"/>
        <v>Active</v>
      </c>
      <c r="H243" s="7" t="str">
        <f ca="1"/>
        <v>Active</v>
      </c>
      <c r="I243" s="7" t="str">
        <f ca="1"/>
        <v>Active</v>
      </c>
      <c r="J243" s="7" t="str">
        <f ca="1"/>
        <v>Active</v>
      </c>
      <c r="K243" s="7" t="str">
        <f ca="1"/>
        <v>Active</v>
      </c>
      <c r="L243" s="7" t="str">
        <f ca="1"/>
        <v>Active</v>
      </c>
      <c r="M243" s="7" t="str">
        <f ca="1"/>
        <v>Active</v>
      </c>
      <c r="N243" s="7" t="str">
        <f ca="1"/>
        <v>Active</v>
      </c>
      <c r="O243" s="7" t="str">
        <f ca="1"/>
        <v>Active</v>
      </c>
      <c r="P243" s="7" t="str">
        <f ca="1"/>
        <v>Active</v>
      </c>
      <c r="Q243" s="7" t="str">
        <f ca="1"/>
        <v>Active</v>
      </c>
      <c r="T243" s="7" t="str">
        <f ca="1"/>
        <v>Z8</v>
      </c>
      <c r="U243" s="7" t="str">
        <f ca="1"/>
        <v>0xD216</v>
      </c>
      <c r="V243" s="7" t="str">
        <f ca="1"/>
        <v>MovieWbTuneSunny</v>
      </c>
      <c r="X243" s="8" t="s">
        <v>630</v>
      </c>
      <c r="Y243" s="8" t="s">
        <v>630</v>
      </c>
      <c r="Z243" s="8" t="s">
        <v>652</v>
      </c>
      <c r="AA243" s="8" t="s">
        <v>652</v>
      </c>
      <c r="AB243" s="7" t="s">
        <v>666</v>
      </c>
      <c r="AC243" s="7" t="s">
        <v>648</v>
      </c>
      <c r="AD243" s="7" t="s">
        <v>648</v>
      </c>
      <c r="AE243" s="7" t="s">
        <v>654</v>
      </c>
      <c r="AF243" s="7" t="s">
        <v>620</v>
      </c>
      <c r="AG243" s="7" t="s">
        <v>610</v>
      </c>
      <c r="AH243" s="7" t="s">
        <v>626</v>
      </c>
      <c r="AI243" s="7" t="s">
        <v>660</v>
      </c>
      <c r="AJ243" s="7" t="s">
        <v>1810</v>
      </c>
      <c r="AK243" s="7" t="s">
        <v>624</v>
      </c>
    </row>
    <row r="244" spans="1:37" x14ac:dyDescent="0.25">
      <c r="A244" s="13" t="str">
        <f ca="1"/>
        <v>0xD14F</v>
      </c>
      <c r="B244" s="14" t="str">
        <f ca="1"/>
        <v>WbFluorescentType</v>
      </c>
      <c r="D244" s="8" t="str">
        <f ca="1"/>
        <v>WbFluorescentType</v>
      </c>
      <c r="E244" s="8" t="str">
        <f ca="1"/>
        <v>WbFluorescentType</v>
      </c>
      <c r="F244" s="8" t="str">
        <f ca="1"/>
        <v>WbFluorescentType</v>
      </c>
      <c r="G244" s="8" t="str">
        <f ca="1"/>
        <v>WbFluorescentType</v>
      </c>
      <c r="H244" s="7" t="str">
        <f ca="1"/>
        <v>WbFluorescentType</v>
      </c>
      <c r="I244" s="7" t="str">
        <f ca="1"/>
        <v>WbFluorescentType</v>
      </c>
      <c r="J244" s="7" t="str">
        <f ca="1"/>
        <v>WbFluorescentType</v>
      </c>
      <c r="K244" s="7" t="str">
        <f ca="1"/>
        <v>WbFluorescentType</v>
      </c>
      <c r="L244" s="7" t="str">
        <f ca="1"/>
        <v>WbFluorescentType</v>
      </c>
      <c r="M244" s="7" t="str">
        <f ca="1"/>
        <v>WbFluorescentType</v>
      </c>
      <c r="N244" s="7" t="str">
        <f ca="1"/>
        <v>WbFluorescentType</v>
      </c>
      <c r="O244" s="7" t="str">
        <f ca="1"/>
        <v>WbTuneFluorescentType</v>
      </c>
      <c r="P244" s="7" t="str">
        <f ca="1"/>
        <v>WbTuneFluorescentType</v>
      </c>
      <c r="Q244" s="7" t="str">
        <f ca="1"/>
        <v>WbTuneFluorescentType</v>
      </c>
      <c r="T244" s="7" t="str">
        <f ca="1"/>
        <v>Z8</v>
      </c>
      <c r="U244" s="7" t="str">
        <f ca="1"/>
        <v>0xD218</v>
      </c>
      <c r="V244" s="7" t="str">
        <f ca="1"/>
        <v>MovieWbTuneCloudy</v>
      </c>
      <c r="X244" s="8" t="s">
        <v>631</v>
      </c>
      <c r="Y244" s="8" t="s">
        <v>631</v>
      </c>
      <c r="Z244" s="8" t="s">
        <v>653</v>
      </c>
      <c r="AA244" s="8" t="s">
        <v>653</v>
      </c>
      <c r="AB244" s="7" t="s">
        <v>667</v>
      </c>
      <c r="AC244" s="7" t="s">
        <v>649</v>
      </c>
      <c r="AD244" s="7" t="s">
        <v>649</v>
      </c>
      <c r="AE244" s="7" t="s">
        <v>655</v>
      </c>
      <c r="AF244" s="7" t="s">
        <v>621</v>
      </c>
      <c r="AG244" s="7" t="s">
        <v>611</v>
      </c>
      <c r="AH244" s="7" t="s">
        <v>627</v>
      </c>
      <c r="AI244" s="7" t="s">
        <v>661</v>
      </c>
      <c r="AJ244" s="7" t="s">
        <v>1811</v>
      </c>
      <c r="AK244" s="7" t="s">
        <v>625</v>
      </c>
    </row>
    <row r="245" spans="1:37" x14ac:dyDescent="0.25">
      <c r="A245" s="13" t="str">
        <f ca="1"/>
        <v>0xD150</v>
      </c>
      <c r="B245" s="14" t="str">
        <f ca="1"/>
        <v>WbTuneColorTemp</v>
      </c>
      <c r="D245" s="8" t="str">
        <f ca="1"/>
        <v>WbTuneColorTemp</v>
      </c>
      <c r="E245" s="8" t="str">
        <f ca="1"/>
        <v>WbTuneColorTemp</v>
      </c>
      <c r="F245" s="8" t="str">
        <f ca="1"/>
        <v>WbTuneColorTemp</v>
      </c>
      <c r="G245" s="8" t="str">
        <f ca="1"/>
        <v>WbTuneColorTemp</v>
      </c>
      <c r="H245" s="7" t="str">
        <f ca="1"/>
        <v>WbTuneColorTemp</v>
      </c>
      <c r="I245" s="7" t="str">
        <f ca="1"/>
        <v>WbTuneColorTemp</v>
      </c>
      <c r="J245" s="7" t="str">
        <f ca="1"/>
        <v>WbTuneColorTemp</v>
      </c>
      <c r="K245" s="7" t="str">
        <f ca="1"/>
        <v>WbTuneColorTemp</v>
      </c>
      <c r="L245" s="7" t="str">
        <f ca="1"/>
        <v>WbTuneColorTemp</v>
      </c>
      <c r="M245" s="7" t="str">
        <f ca="1"/>
        <v>WbTuneColorTemp</v>
      </c>
      <c r="N245" s="7" t="str">
        <f ca="1"/>
        <v>WbTuneColorTemp</v>
      </c>
      <c r="O245" s="7" t="str">
        <f ca="1"/>
        <v>WbTuneColorTemp</v>
      </c>
      <c r="P245" s="7" t="str">
        <f ca="1"/>
        <v>WbTuneColorTemp</v>
      </c>
      <c r="Q245" s="7" t="str">
        <f ca="1"/>
        <v>WbTuneColorTemp</v>
      </c>
      <c r="T245" s="7" t="str">
        <f ca="1"/>
        <v>Z8</v>
      </c>
      <c r="U245" s="7" t="str">
        <f ca="1"/>
        <v>0xD219</v>
      </c>
      <c r="V245" s="7" t="str">
        <f ca="1"/>
        <v>MovieWbTuneShade</v>
      </c>
      <c r="X245" s="8" t="s">
        <v>632</v>
      </c>
      <c r="Y245" s="8" t="s">
        <v>632</v>
      </c>
      <c r="Z245" s="8" t="s">
        <v>654</v>
      </c>
      <c r="AA245" s="8" t="s">
        <v>654</v>
      </c>
      <c r="AB245" s="7" t="s">
        <v>668</v>
      </c>
      <c r="AC245" s="7" t="s">
        <v>650</v>
      </c>
      <c r="AD245" s="7" t="s">
        <v>650</v>
      </c>
      <c r="AE245" s="7" t="s">
        <v>656</v>
      </c>
      <c r="AF245" s="7" t="s">
        <v>622</v>
      </c>
      <c r="AG245" s="7" t="s">
        <v>1200</v>
      </c>
      <c r="AH245" s="7" t="s">
        <v>628</v>
      </c>
      <c r="AI245" s="7" t="s">
        <v>662</v>
      </c>
      <c r="AJ245" s="7" t="s">
        <v>1812</v>
      </c>
      <c r="AK245" s="7" t="s">
        <v>626</v>
      </c>
    </row>
    <row r="246" spans="1:37" x14ac:dyDescent="0.25">
      <c r="A246" s="13" t="str">
        <f ca="1"/>
        <v>0xD151</v>
      </c>
      <c r="B246" s="14" t="str">
        <f ca="1"/>
        <v>WbTunePreset0</v>
      </c>
      <c r="D246" s="8" t="str">
        <f ca="1"/>
        <v/>
      </c>
      <c r="E246" s="8" t="str">
        <f ca="1"/>
        <v/>
      </c>
      <c r="F246" s="8" t="str">
        <f ca="1"/>
        <v/>
      </c>
      <c r="G246" s="8" t="str">
        <f ca="1"/>
        <v/>
      </c>
      <c r="H246" s="7" t="str">
        <f ca="1"/>
        <v/>
      </c>
      <c r="I246" s="7" t="str">
        <f ca="1"/>
        <v/>
      </c>
      <c r="J246" s="7" t="str">
        <f ca="1"/>
        <v/>
      </c>
      <c r="K246" s="7" t="str">
        <f ca="1"/>
        <v/>
      </c>
      <c r="L246" s="7" t="str">
        <f ca="1"/>
        <v/>
      </c>
      <c r="M246" s="7" t="str">
        <f ca="1"/>
        <v/>
      </c>
      <c r="N246" s="7" t="str">
        <f ca="1"/>
        <v/>
      </c>
      <c r="O246" s="7" t="str">
        <f ca="1"/>
        <v/>
      </c>
      <c r="P246" s="7" t="str">
        <f ca="1"/>
        <v>WbTunePreset0</v>
      </c>
      <c r="Q246" s="7" t="str">
        <f ca="1"/>
        <v>WbTunePreset0</v>
      </c>
      <c r="T246" s="7" t="str">
        <f ca="1"/>
        <v>Z8</v>
      </c>
      <c r="U246" s="7" t="str">
        <f ca="1"/>
        <v>0xD21A</v>
      </c>
      <c r="V246" s="7" t="str">
        <f ca="1"/>
        <v>MovieWbColorTemp</v>
      </c>
      <c r="X246" s="8" t="s">
        <v>633</v>
      </c>
      <c r="Y246" s="8" t="s">
        <v>633</v>
      </c>
      <c r="Z246" s="8" t="s">
        <v>655</v>
      </c>
      <c r="AA246" s="8" t="s">
        <v>655</v>
      </c>
      <c r="AB246" s="7" t="s">
        <v>669</v>
      </c>
      <c r="AC246" s="7" t="s">
        <v>651</v>
      </c>
      <c r="AD246" s="7" t="s">
        <v>651</v>
      </c>
      <c r="AE246" s="7" t="s">
        <v>657</v>
      </c>
      <c r="AF246" s="7" t="s">
        <v>623</v>
      </c>
      <c r="AG246" s="7" t="s">
        <v>1201</v>
      </c>
      <c r="AH246" s="7" t="s">
        <v>629</v>
      </c>
      <c r="AI246" s="7" t="s">
        <v>663</v>
      </c>
      <c r="AJ246" s="7" t="s">
        <v>1813</v>
      </c>
      <c r="AK246" s="7" t="s">
        <v>627</v>
      </c>
    </row>
    <row r="247" spans="1:37" x14ac:dyDescent="0.25">
      <c r="A247" s="13" t="str">
        <f ca="1"/>
        <v>0xD152</v>
      </c>
      <c r="B247" s="14" t="str">
        <f ca="1"/>
        <v>WbTunePreset1</v>
      </c>
      <c r="D247" s="8" t="str">
        <f ca="1"/>
        <v>WbTunePreset1</v>
      </c>
      <c r="E247" s="8" t="str">
        <f ca="1"/>
        <v>WbTunePreset1</v>
      </c>
      <c r="F247" s="8" t="str">
        <f ca="1"/>
        <v>WbTunePreset1</v>
      </c>
      <c r="G247" s="8" t="str">
        <f ca="1"/>
        <v>WbTunePreset1</v>
      </c>
      <c r="H247" s="7" t="str">
        <f ca="1"/>
        <v>WbTunePreset1</v>
      </c>
      <c r="I247" s="7" t="str">
        <f ca="1"/>
        <v>WbTunePreset1</v>
      </c>
      <c r="J247" s="7" t="str">
        <f ca="1"/>
        <v>WbTunePreset1</v>
      </c>
      <c r="K247" s="7" t="str">
        <f ca="1"/>
        <v>WbTunePreset1</v>
      </c>
      <c r="L247" s="7" t="str">
        <f ca="1"/>
        <v>WbTunePreset1</v>
      </c>
      <c r="M247" s="7" t="str">
        <f ca="1"/>
        <v>WbTunePreset1</v>
      </c>
      <c r="N247" s="7" t="str">
        <f ca="1"/>
        <v>WbTunePreset1</v>
      </c>
      <c r="O247" s="7" t="str">
        <f ca="1"/>
        <v>WbTune</v>
      </c>
      <c r="P247" s="7" t="str">
        <f ca="1"/>
        <v>WbTunePreset1</v>
      </c>
      <c r="Q247" s="7" t="str">
        <f ca="1"/>
        <v>WbTunePreset1</v>
      </c>
      <c r="T247" s="7" t="str">
        <f ca="1"/>
        <v>Z8</v>
      </c>
      <c r="U247" s="7" t="str">
        <f ca="1"/>
        <v>0xD21B</v>
      </c>
      <c r="V247" s="7" t="str">
        <f ca="1"/>
        <v>MovieWbTuneColorTemp</v>
      </c>
      <c r="X247" s="8" t="s">
        <v>634</v>
      </c>
      <c r="Y247" s="8" t="s">
        <v>634</v>
      </c>
      <c r="Z247" s="8" t="s">
        <v>656</v>
      </c>
      <c r="AA247" s="8" t="s">
        <v>656</v>
      </c>
      <c r="AB247" s="7" t="s">
        <v>670</v>
      </c>
      <c r="AC247" s="7" t="s">
        <v>652</v>
      </c>
      <c r="AD247" s="7" t="s">
        <v>652</v>
      </c>
      <c r="AE247" s="7" t="s">
        <v>658</v>
      </c>
      <c r="AF247" s="7" t="s">
        <v>624</v>
      </c>
      <c r="AG247" s="7" t="s">
        <v>612</v>
      </c>
      <c r="AH247" s="7" t="s">
        <v>630</v>
      </c>
      <c r="AI247" s="7" t="s">
        <v>664</v>
      </c>
      <c r="AJ247" s="7" t="s">
        <v>1814</v>
      </c>
      <c r="AK247" s="7" t="s">
        <v>628</v>
      </c>
    </row>
    <row r="248" spans="1:37" x14ac:dyDescent="0.25">
      <c r="A248" s="13" t="str">
        <f ca="1"/>
        <v>0xD153</v>
      </c>
      <c r="B248" s="14" t="str">
        <f ca="1"/>
        <v>WbTunePreset2</v>
      </c>
      <c r="D248" s="8" t="str">
        <f ca="1"/>
        <v>WbTunePreset2</v>
      </c>
      <c r="E248" s="8" t="str">
        <f ca="1"/>
        <v>WbTunePreset2</v>
      </c>
      <c r="F248" s="8" t="str">
        <f ca="1"/>
        <v>WbTunePreset2</v>
      </c>
      <c r="G248" s="8" t="str">
        <f ca="1"/>
        <v>WbTunePreset2</v>
      </c>
      <c r="H248" s="7" t="str">
        <f ca="1"/>
        <v>WbTunePreset2</v>
      </c>
      <c r="I248" s="7" t="str">
        <f ca="1"/>
        <v>WbTunePreset2</v>
      </c>
      <c r="J248" s="7" t="str">
        <f ca="1"/>
        <v>WbTunePreset2</v>
      </c>
      <c r="K248" s="7" t="str">
        <f ca="1"/>
        <v>WbTunePreset2</v>
      </c>
      <c r="L248" s="7" t="str">
        <f ca="1"/>
        <v>WbTunePreset2</v>
      </c>
      <c r="M248" s="7" t="str">
        <f ca="1"/>
        <v>WbTunePreset2</v>
      </c>
      <c r="N248" s="7" t="str">
        <f ca="1"/>
        <v>WbTunePreset2</v>
      </c>
      <c r="O248" s="7" t="str">
        <f ca="1"/>
        <v>WbTune</v>
      </c>
      <c r="P248" s="7" t="str">
        <f ca="1"/>
        <v>WbTunePreset2</v>
      </c>
      <c r="Q248" s="7" t="str">
        <f ca="1"/>
        <v>WbTunePreset2</v>
      </c>
      <c r="T248" s="7" t="str">
        <f ca="1"/>
        <v>Z8</v>
      </c>
      <c r="U248" s="7" t="str">
        <f ca="1"/>
        <v>0xD21C</v>
      </c>
      <c r="V248" s="7" t="str">
        <f ca="1"/>
        <v>MovieWbPresetDataNo</v>
      </c>
      <c r="X248" s="8" t="s">
        <v>635</v>
      </c>
      <c r="Y248" s="8" t="s">
        <v>635</v>
      </c>
      <c r="Z248" s="8" t="s">
        <v>657</v>
      </c>
      <c r="AA248" s="8" t="s">
        <v>657</v>
      </c>
      <c r="AB248" s="7" t="s">
        <v>671</v>
      </c>
      <c r="AC248" s="7" t="s">
        <v>653</v>
      </c>
      <c r="AD248" s="7" t="s">
        <v>653</v>
      </c>
      <c r="AE248" s="7" t="s">
        <v>659</v>
      </c>
      <c r="AF248" s="7" t="s">
        <v>625</v>
      </c>
      <c r="AG248" s="7" t="s">
        <v>613</v>
      </c>
      <c r="AH248" s="7" t="s">
        <v>631</v>
      </c>
      <c r="AI248" s="7" t="s">
        <v>665</v>
      </c>
      <c r="AJ248" s="7" t="s">
        <v>1815</v>
      </c>
      <c r="AK248" s="7" t="s">
        <v>629</v>
      </c>
    </row>
    <row r="249" spans="1:37" x14ac:dyDescent="0.25">
      <c r="A249" s="13" t="str">
        <f ca="1"/>
        <v>0xD154</v>
      </c>
      <c r="B249" s="14" t="str">
        <f ca="1"/>
        <v>WbTunePreset3</v>
      </c>
      <c r="D249" s="8" t="str">
        <f ca="1"/>
        <v>WbTunePreset3</v>
      </c>
      <c r="E249" s="8" t="str">
        <f ca="1"/>
        <v>WbTunePreset3</v>
      </c>
      <c r="F249" s="8" t="str">
        <f ca="1"/>
        <v>WbTunePreset3</v>
      </c>
      <c r="G249" s="8" t="str">
        <f ca="1"/>
        <v>WbTunePreset3</v>
      </c>
      <c r="H249" s="7" t="str">
        <f ca="1"/>
        <v>WbTunePreset3</v>
      </c>
      <c r="I249" s="7" t="str">
        <f ca="1"/>
        <v>WbTunePreset3</v>
      </c>
      <c r="J249" s="7" t="str">
        <f ca="1"/>
        <v>WbTunePreset3</v>
      </c>
      <c r="K249" s="7" t="str">
        <f ca="1"/>
        <v>WbTunePreset3</v>
      </c>
      <c r="L249" s="7" t="str">
        <f ca="1"/>
        <v>WbTunePreset3</v>
      </c>
      <c r="M249" s="7" t="str">
        <f ca="1"/>
        <v>WbTunePreset3</v>
      </c>
      <c r="N249" s="7" t="str">
        <f ca="1"/>
        <v>WbTunePreset3</v>
      </c>
      <c r="O249" s="7" t="str">
        <f ca="1"/>
        <v>WbTune</v>
      </c>
      <c r="P249" s="7" t="str">
        <f ca="1"/>
        <v>WbTunePreset3</v>
      </c>
      <c r="Q249" s="7" t="str">
        <f ca="1"/>
        <v>WbTunePreset3</v>
      </c>
      <c r="T249" s="7" t="str">
        <f ca="1"/>
        <v>Z8</v>
      </c>
      <c r="U249" s="7" t="str">
        <f ca="1"/>
        <v>0xD21D</v>
      </c>
      <c r="V249" s="7" t="str">
        <f ca="1"/>
        <v>MovieWbPresetDataComment1</v>
      </c>
      <c r="X249" s="8" t="s">
        <v>636</v>
      </c>
      <c r="Y249" s="8" t="s">
        <v>636</v>
      </c>
      <c r="Z249" s="8" t="s">
        <v>658</v>
      </c>
      <c r="AA249" s="8" t="s">
        <v>658</v>
      </c>
      <c r="AB249" s="7" t="s">
        <v>672</v>
      </c>
      <c r="AC249" s="7" t="s">
        <v>654</v>
      </c>
      <c r="AD249" s="7" t="s">
        <v>654</v>
      </c>
      <c r="AE249" s="7" t="s">
        <v>1206</v>
      </c>
      <c r="AF249" s="7" t="s">
        <v>626</v>
      </c>
      <c r="AG249" s="7" t="s">
        <v>622</v>
      </c>
      <c r="AH249" s="7" t="s">
        <v>632</v>
      </c>
      <c r="AI249" s="7" t="s">
        <v>1736</v>
      </c>
      <c r="AJ249" s="7" t="s">
        <v>1816</v>
      </c>
      <c r="AK249" s="7" t="s">
        <v>630</v>
      </c>
    </row>
    <row r="250" spans="1:37" x14ac:dyDescent="0.25">
      <c r="A250" s="13" t="str">
        <f ca="1"/>
        <v>0xD155</v>
      </c>
      <c r="B250" s="14" t="str">
        <f ca="1"/>
        <v>WbTunePreset4</v>
      </c>
      <c r="D250" s="8" t="str">
        <f ca="1"/>
        <v>WbTunePreset4</v>
      </c>
      <c r="E250" s="8" t="str">
        <f ca="1"/>
        <v>WbTunePreset4</v>
      </c>
      <c r="F250" s="8" t="str">
        <f ca="1"/>
        <v>WbTunePreset4</v>
      </c>
      <c r="G250" s="8" t="str">
        <f ca="1"/>
        <v>WbTunePreset4</v>
      </c>
      <c r="H250" s="7" t="str">
        <f ca="1"/>
        <v>WbTunePreset4</v>
      </c>
      <c r="I250" s="7" t="str">
        <f ca="1"/>
        <v>WbTunePreset4</v>
      </c>
      <c r="J250" s="7" t="str">
        <f ca="1"/>
        <v>WbTunePreset4</v>
      </c>
      <c r="K250" s="7" t="str">
        <f ca="1"/>
        <v>WbTunePreset4</v>
      </c>
      <c r="L250" s="7" t="str">
        <f ca="1"/>
        <v>WbTunePreset4</v>
      </c>
      <c r="M250" s="7" t="str">
        <f ca="1"/>
        <v>WbTunePreset4</v>
      </c>
      <c r="N250" s="7" t="str">
        <f ca="1"/>
        <v>WbTunePreset4</v>
      </c>
      <c r="O250" s="7" t="str">
        <f ca="1"/>
        <v>WbTune</v>
      </c>
      <c r="P250" s="7" t="str">
        <f ca="1"/>
        <v>WbTunePreset4</v>
      </c>
      <c r="Q250" s="7" t="str">
        <f ca="1"/>
        <v>WbTunePreset4</v>
      </c>
      <c r="T250" s="7" t="str">
        <f ca="1"/>
        <v>Z8</v>
      </c>
      <c r="U250" s="7" t="str">
        <f ca="1"/>
        <v>0xD21E</v>
      </c>
      <c r="V250" s="7" t="str">
        <f ca="1"/>
        <v>MovieWbPresetDataComment2</v>
      </c>
      <c r="X250" s="8" t="s">
        <v>637</v>
      </c>
      <c r="Y250" s="8" t="s">
        <v>637</v>
      </c>
      <c r="Z250" s="8" t="s">
        <v>659</v>
      </c>
      <c r="AA250" s="8" t="s">
        <v>659</v>
      </c>
      <c r="AB250" s="7" t="s">
        <v>673</v>
      </c>
      <c r="AC250" s="7" t="s">
        <v>655</v>
      </c>
      <c r="AD250" s="7" t="s">
        <v>655</v>
      </c>
      <c r="AE250" s="7" t="s">
        <v>1207</v>
      </c>
      <c r="AF250" s="7" t="s">
        <v>627</v>
      </c>
      <c r="AG250" s="7" t="s">
        <v>623</v>
      </c>
      <c r="AH250" s="7" t="s">
        <v>633</v>
      </c>
      <c r="AI250" s="7" t="s">
        <v>1737</v>
      </c>
      <c r="AJ250" s="7" t="s">
        <v>1817</v>
      </c>
      <c r="AK250" s="7" t="s">
        <v>631</v>
      </c>
    </row>
    <row r="251" spans="1:37" x14ac:dyDescent="0.25">
      <c r="A251" s="13" t="str">
        <f ca="1"/>
        <v>0xD156</v>
      </c>
      <c r="B251" s="14" t="str">
        <f ca="1"/>
        <v>PrimarySlot</v>
      </c>
      <c r="D251" s="8" t="str">
        <f ca="1"/>
        <v>PrimarySlot</v>
      </c>
      <c r="E251" s="8" t="str">
        <f ca="1"/>
        <v/>
      </c>
      <c r="F251" s="8" t="str">
        <f ca="1"/>
        <v/>
      </c>
      <c r="G251" s="8" t="str">
        <f ca="1"/>
        <v/>
      </c>
      <c r="H251" s="7" t="str">
        <f ca="1"/>
        <v/>
      </c>
      <c r="I251" s="7" t="str">
        <f ca="1"/>
        <v/>
      </c>
      <c r="J251" s="7" t="str">
        <f ca="1"/>
        <v/>
      </c>
      <c r="K251" s="7" t="str">
        <f ca="1"/>
        <v/>
      </c>
      <c r="L251" s="7" t="str">
        <f ca="1"/>
        <v/>
      </c>
      <c r="M251" s="7" t="str">
        <f ca="1"/>
        <v/>
      </c>
      <c r="N251" s="7" t="str">
        <f ca="1"/>
        <v>PrimarySlot</v>
      </c>
      <c r="O251" s="7" t="str">
        <f ca="1"/>
        <v>PrimarySlot</v>
      </c>
      <c r="P251" s="7" t="str">
        <f ca="1"/>
        <v/>
      </c>
      <c r="Q251" s="7" t="str">
        <f ca="1"/>
        <v/>
      </c>
      <c r="T251" s="7" t="str">
        <f ca="1"/>
        <v>Z8</v>
      </c>
      <c r="U251" s="7" t="str">
        <f ca="1"/>
        <v>0xD21F</v>
      </c>
      <c r="V251" s="7" t="str">
        <f ca="1"/>
        <v>MovieWbPresetDataComment3</v>
      </c>
      <c r="X251" s="8" t="s">
        <v>638</v>
      </c>
      <c r="Y251" s="8" t="s">
        <v>638</v>
      </c>
      <c r="Z251" s="8" t="s">
        <v>1206</v>
      </c>
      <c r="AA251" s="8" t="s">
        <v>1206</v>
      </c>
      <c r="AB251" s="7" t="s">
        <v>674</v>
      </c>
      <c r="AC251" s="7" t="s">
        <v>656</v>
      </c>
      <c r="AD251" s="7" t="s">
        <v>656</v>
      </c>
      <c r="AE251" s="7" t="s">
        <v>660</v>
      </c>
      <c r="AF251" s="7" t="s">
        <v>628</v>
      </c>
      <c r="AG251" s="7" t="s">
        <v>624</v>
      </c>
      <c r="AH251" s="7" t="s">
        <v>634</v>
      </c>
      <c r="AI251" s="7" t="s">
        <v>666</v>
      </c>
      <c r="AJ251" s="7" t="s">
        <v>1818</v>
      </c>
      <c r="AK251" s="7" t="s">
        <v>632</v>
      </c>
    </row>
    <row r="252" spans="1:37" x14ac:dyDescent="0.25">
      <c r="A252" s="13" t="str">
        <f ca="1"/>
        <v>0xD158</v>
      </c>
      <c r="B252" s="14" t="str">
        <f ca="1"/>
        <v>WbPresetProtect1</v>
      </c>
      <c r="D252" s="8" t="str">
        <f ca="1"/>
        <v>WbPresetProtect1</v>
      </c>
      <c r="E252" s="8" t="str">
        <f ca="1"/>
        <v>WbPresetProtect1</v>
      </c>
      <c r="F252" s="8" t="str">
        <f ca="1"/>
        <v>WbPresetProtect1</v>
      </c>
      <c r="G252" s="8" t="str">
        <f ca="1"/>
        <v>WbPresetProtect1</v>
      </c>
      <c r="H252" s="7" t="str">
        <f ca="1"/>
        <v>WbPresetProtect1</v>
      </c>
      <c r="I252" s="7" t="str">
        <f ca="1"/>
        <v>WbPresetProtect1</v>
      </c>
      <c r="J252" s="7" t="str">
        <f ca="1"/>
        <v>WbPresetProtect1</v>
      </c>
      <c r="K252" s="7" t="str">
        <f ca="1"/>
        <v>WbPresetProtect1</v>
      </c>
      <c r="L252" s="7" t="str">
        <f ca="1"/>
        <v>WbPresetProtect1</v>
      </c>
      <c r="M252" s="7" t="str">
        <f ca="1"/>
        <v>WbPresetProtect1</v>
      </c>
      <c r="N252" s="7" t="str">
        <f ca="1"/>
        <v>WbPresetProtect1</v>
      </c>
      <c r="O252" s="7" t="str">
        <f ca="1"/>
        <v>WbTunePresetProtect1</v>
      </c>
      <c r="P252" s="7" t="str">
        <f ca="1"/>
        <v/>
      </c>
      <c r="Q252" s="7" t="str">
        <f ca="1"/>
        <v/>
      </c>
      <c r="T252" s="7" t="str">
        <f ca="1"/>
        <v>Z8</v>
      </c>
      <c r="U252" s="7" t="str">
        <f ca="1"/>
        <v>0xD220</v>
      </c>
      <c r="V252" s="7" t="str">
        <f ca="1"/>
        <v>MovieWbPresetDataComment4</v>
      </c>
      <c r="X252" s="8" t="s">
        <v>639</v>
      </c>
      <c r="Y252" s="8" t="s">
        <v>639</v>
      </c>
      <c r="Z252" s="8" t="s">
        <v>1207</v>
      </c>
      <c r="AA252" s="8" t="s">
        <v>1207</v>
      </c>
      <c r="AB252" s="7" t="s">
        <v>675</v>
      </c>
      <c r="AC252" s="7" t="s">
        <v>657</v>
      </c>
      <c r="AD252" s="7" t="s">
        <v>657</v>
      </c>
      <c r="AE252" s="7" t="s">
        <v>661</v>
      </c>
      <c r="AF252" s="7" t="s">
        <v>629</v>
      </c>
      <c r="AG252" s="7" t="s">
        <v>625</v>
      </c>
      <c r="AH252" s="7" t="s">
        <v>635</v>
      </c>
      <c r="AI252" s="7" t="s">
        <v>667</v>
      </c>
      <c r="AJ252" s="7" t="s">
        <v>1819</v>
      </c>
      <c r="AK252" s="7" t="s">
        <v>633</v>
      </c>
    </row>
    <row r="253" spans="1:37" x14ac:dyDescent="0.25">
      <c r="A253" s="13" t="str">
        <f ca="1"/>
        <v>0xD159</v>
      </c>
      <c r="B253" s="14" t="str">
        <f ca="1"/>
        <v>WbPresetProtect2</v>
      </c>
      <c r="D253" s="8" t="str">
        <f ca="1"/>
        <v>WbPresetProtect2</v>
      </c>
      <c r="E253" s="8" t="str">
        <f ca="1"/>
        <v>WbPresetProtect2</v>
      </c>
      <c r="F253" s="8" t="str">
        <f ca="1"/>
        <v>WbPresetProtect2</v>
      </c>
      <c r="G253" s="8" t="str">
        <f ca="1"/>
        <v>WbPresetProtect2</v>
      </c>
      <c r="H253" s="7" t="str">
        <f ca="1"/>
        <v>WbPresetProtect2</v>
      </c>
      <c r="I253" s="7" t="str">
        <f ca="1"/>
        <v>WbPresetProtect2</v>
      </c>
      <c r="J253" s="7" t="str">
        <f ca="1"/>
        <v>WbPresetProtect2</v>
      </c>
      <c r="K253" s="7" t="str">
        <f ca="1"/>
        <v>WbPresetProtect2</v>
      </c>
      <c r="L253" s="7" t="str">
        <f ca="1"/>
        <v>WbPresetProtect2</v>
      </c>
      <c r="M253" s="7" t="str">
        <f ca="1"/>
        <v>WbPresetProtect2</v>
      </c>
      <c r="N253" s="7" t="str">
        <f ca="1"/>
        <v>WbPresetProtect2</v>
      </c>
      <c r="O253" s="7" t="str">
        <f ca="1"/>
        <v>WbTunePresetProtect2</v>
      </c>
      <c r="P253" s="7" t="str">
        <f ca="1"/>
        <v/>
      </c>
      <c r="Q253" s="7" t="str">
        <f ca="1"/>
        <v/>
      </c>
      <c r="T253" s="7" t="str">
        <f ca="1"/>
        <v>Z8</v>
      </c>
      <c r="U253" s="7" t="str">
        <f ca="1"/>
        <v>0xD221</v>
      </c>
      <c r="V253" s="7" t="str">
        <f ca="1"/>
        <v>MovieWbPresetDataComment5</v>
      </c>
      <c r="X253" s="8" t="s">
        <v>640</v>
      </c>
      <c r="Y253" s="8" t="s">
        <v>640</v>
      </c>
      <c r="Z253" s="8" t="s">
        <v>660</v>
      </c>
      <c r="AA253" s="8" t="s">
        <v>660</v>
      </c>
      <c r="AB253" s="7" t="s">
        <v>676</v>
      </c>
      <c r="AC253" s="7" t="s">
        <v>658</v>
      </c>
      <c r="AD253" s="7" t="s">
        <v>658</v>
      </c>
      <c r="AE253" s="7" t="s">
        <v>662</v>
      </c>
      <c r="AF253" s="7" t="s">
        <v>630</v>
      </c>
      <c r="AG253" s="7" t="s">
        <v>626</v>
      </c>
      <c r="AH253" s="7" t="s">
        <v>636</v>
      </c>
      <c r="AI253" s="7" t="s">
        <v>668</v>
      </c>
      <c r="AJ253" s="7" t="s">
        <v>1820</v>
      </c>
      <c r="AK253" s="7" t="s">
        <v>640</v>
      </c>
    </row>
    <row r="254" spans="1:37" x14ac:dyDescent="0.25">
      <c r="A254" s="13" t="str">
        <f ca="1"/>
        <v>0xD15A</v>
      </c>
      <c r="B254" s="14" t="str">
        <f ca="1"/>
        <v>WbPresetProtect3</v>
      </c>
      <c r="D254" s="8" t="str">
        <f ca="1"/>
        <v>WbPresetProtect3</v>
      </c>
      <c r="E254" s="8" t="str">
        <f ca="1"/>
        <v>WbPresetProtect3</v>
      </c>
      <c r="F254" s="8" t="str">
        <f ca="1"/>
        <v>WbPresetProtect3</v>
      </c>
      <c r="G254" s="8" t="str">
        <f ca="1"/>
        <v>WbPresetProtect3</v>
      </c>
      <c r="H254" s="7" t="str">
        <f ca="1"/>
        <v>WbPresetProtect3</v>
      </c>
      <c r="I254" s="7" t="str">
        <f ca="1"/>
        <v>WbPresetProtect3</v>
      </c>
      <c r="J254" s="7" t="str">
        <f ca="1"/>
        <v>WbPresetProtect3</v>
      </c>
      <c r="K254" s="7" t="str">
        <f ca="1"/>
        <v>WbPresetProtect3</v>
      </c>
      <c r="L254" s="7" t="str">
        <f ca="1"/>
        <v>WbPresetProtect3</v>
      </c>
      <c r="M254" s="7" t="str">
        <f ca="1"/>
        <v>WbPresetProtect3</v>
      </c>
      <c r="N254" s="7" t="str">
        <f ca="1"/>
        <v>WbPresetProtect3</v>
      </c>
      <c r="O254" s="7" t="str">
        <f ca="1"/>
        <v>WbTunePresetProtect3</v>
      </c>
      <c r="P254" s="7" t="str">
        <f ca="1"/>
        <v/>
      </c>
      <c r="Q254" s="7" t="str">
        <f ca="1"/>
        <v/>
      </c>
      <c r="T254" s="7" t="str">
        <f ca="1"/>
        <v>Z8</v>
      </c>
      <c r="U254" s="7" t="str">
        <f ca="1"/>
        <v>0xD222</v>
      </c>
      <c r="V254" s="7" t="str">
        <f ca="1"/>
        <v>MovieWbPresetDataComment6</v>
      </c>
      <c r="X254" s="8" t="s">
        <v>641</v>
      </c>
      <c r="Y254" s="8" t="s">
        <v>641</v>
      </c>
      <c r="Z254" s="8" t="s">
        <v>661</v>
      </c>
      <c r="AA254" s="8" t="s">
        <v>661</v>
      </c>
      <c r="AB254" s="7" t="s">
        <v>677</v>
      </c>
      <c r="AC254" s="7" t="s">
        <v>659</v>
      </c>
      <c r="AD254" s="7" t="s">
        <v>659</v>
      </c>
      <c r="AE254" s="7" t="s">
        <v>663</v>
      </c>
      <c r="AF254" s="7" t="s">
        <v>631</v>
      </c>
      <c r="AG254" s="7" t="s">
        <v>627</v>
      </c>
      <c r="AH254" s="7" t="s">
        <v>637</v>
      </c>
      <c r="AI254" s="7" t="s">
        <v>669</v>
      </c>
      <c r="AJ254" s="7" t="s">
        <v>1821</v>
      </c>
      <c r="AK254" s="7" t="s">
        <v>641</v>
      </c>
    </row>
    <row r="255" spans="1:37" x14ac:dyDescent="0.25">
      <c r="A255" s="13" t="str">
        <f ca="1"/>
        <v>0xD15B</v>
      </c>
      <c r="B255" s="14" t="str">
        <f ca="1"/>
        <v>ActiveFolder</v>
      </c>
      <c r="D255" s="8" t="str">
        <f ca="1"/>
        <v>ActiveFolder</v>
      </c>
      <c r="E255" s="8" t="str">
        <f ca="1"/>
        <v>ActiveFolder</v>
      </c>
      <c r="F255" s="8" t="str">
        <f ca="1"/>
        <v>ActiveFolder</v>
      </c>
      <c r="G255" s="8" t="str">
        <f ca="1"/>
        <v>ActiveFolder</v>
      </c>
      <c r="H255" s="7" t="str">
        <f ca="1"/>
        <v>ActiveFolder</v>
      </c>
      <c r="I255" s="7" t="str">
        <f ca="1"/>
        <v>ActiveFolder</v>
      </c>
      <c r="J255" s="7" t="str">
        <f ca="1"/>
        <v>ActiveFolder</v>
      </c>
      <c r="K255" s="7" t="str">
        <f ca="1"/>
        <v>ActiveFolder</v>
      </c>
      <c r="L255" s="7" t="str">
        <f ca="1"/>
        <v>ActiveFolder</v>
      </c>
      <c r="M255" s="7" t="str">
        <f ca="1"/>
        <v>ActiveFolder</v>
      </c>
      <c r="N255" s="7" t="str">
        <f ca="1"/>
        <v>ActiveFolder</v>
      </c>
      <c r="O255" s="7" t="str">
        <f ca="1"/>
        <v>ActiveFolder</v>
      </c>
      <c r="P255" s="7" t="str">
        <f ca="1"/>
        <v/>
      </c>
      <c r="Q255" s="7" t="str">
        <f ca="1"/>
        <v/>
      </c>
      <c r="T255" s="7" t="str">
        <f ca="1"/>
        <v>Z8</v>
      </c>
      <c r="U255" s="7" t="str">
        <f ca="1"/>
        <v>0xD223</v>
      </c>
      <c r="V255" s="7" t="str">
        <f ca="1"/>
        <v>MovieWbPresetDataValue1</v>
      </c>
      <c r="X255" s="8" t="s">
        <v>642</v>
      </c>
      <c r="Y255" s="8" t="s">
        <v>642</v>
      </c>
      <c r="Z255" s="8" t="s">
        <v>662</v>
      </c>
      <c r="AA255" s="8" t="s">
        <v>662</v>
      </c>
      <c r="AB255" s="7" t="s">
        <v>678</v>
      </c>
      <c r="AC255" s="7" t="s">
        <v>1206</v>
      </c>
      <c r="AD255" s="7" t="s">
        <v>1206</v>
      </c>
      <c r="AE255" s="7" t="s">
        <v>664</v>
      </c>
      <c r="AF255" s="7" t="s">
        <v>632</v>
      </c>
      <c r="AG255" s="7" t="s">
        <v>628</v>
      </c>
      <c r="AH255" s="7" t="s">
        <v>640</v>
      </c>
      <c r="AI255" s="7" t="s">
        <v>670</v>
      </c>
      <c r="AJ255" s="7" t="s">
        <v>1822</v>
      </c>
      <c r="AK255" s="7" t="s">
        <v>642</v>
      </c>
    </row>
    <row r="256" spans="1:37" x14ac:dyDescent="0.25">
      <c r="A256" s="13" t="str">
        <f ca="1"/>
        <v>0xD15C</v>
      </c>
      <c r="B256" s="14" t="str">
        <f ca="1"/>
        <v>WbPresetProtect4</v>
      </c>
      <c r="D256" s="8" t="str">
        <f ca="1"/>
        <v>WbPresetProtect4</v>
      </c>
      <c r="E256" s="8" t="str">
        <f ca="1"/>
        <v>WbPresetProtect4</v>
      </c>
      <c r="F256" s="8" t="str">
        <f ca="1"/>
        <v>WbPresetProtect4</v>
      </c>
      <c r="G256" s="8" t="str">
        <f ca="1"/>
        <v>WbPresetProtect4</v>
      </c>
      <c r="H256" s="7" t="str">
        <f ca="1"/>
        <v>WbPresetProtect4</v>
      </c>
      <c r="I256" s="7" t="str">
        <f ca="1"/>
        <v>WbPresetProtect4</v>
      </c>
      <c r="J256" s="7" t="str">
        <f ca="1"/>
        <v>WbPresetProtect4</v>
      </c>
      <c r="K256" s="7" t="str">
        <f ca="1"/>
        <v>WbPresetProtect4</v>
      </c>
      <c r="L256" s="7" t="str">
        <f ca="1"/>
        <v>WbPresetProtect4</v>
      </c>
      <c r="M256" s="7" t="str">
        <f ca="1"/>
        <v>WbPresetProtect4</v>
      </c>
      <c r="N256" s="7" t="str">
        <f ca="1"/>
        <v>WbPresetProtect4</v>
      </c>
      <c r="O256" s="7" t="str">
        <f ca="1"/>
        <v>WbTunePresetProtect4</v>
      </c>
      <c r="P256" s="7" t="str">
        <f ca="1"/>
        <v/>
      </c>
      <c r="Q256" s="7" t="str">
        <f ca="1"/>
        <v/>
      </c>
      <c r="T256" s="7" t="str">
        <f ca="1"/>
        <v>Z8</v>
      </c>
      <c r="U256" s="7" t="str">
        <f ca="1"/>
        <v>0xD224</v>
      </c>
      <c r="V256" s="7" t="str">
        <f ca="1"/>
        <v>MovieWbPresetDataValue2</v>
      </c>
      <c r="X256" s="8" t="s">
        <v>643</v>
      </c>
      <c r="Y256" s="8" t="s">
        <v>643</v>
      </c>
      <c r="Z256" s="8" t="s">
        <v>663</v>
      </c>
      <c r="AA256" s="8" t="s">
        <v>663</v>
      </c>
      <c r="AB256" s="7" t="s">
        <v>679</v>
      </c>
      <c r="AC256" s="7" t="s">
        <v>1207</v>
      </c>
      <c r="AD256" s="7" t="s">
        <v>1207</v>
      </c>
      <c r="AE256" s="7" t="s">
        <v>665</v>
      </c>
      <c r="AF256" s="7" t="s">
        <v>633</v>
      </c>
      <c r="AG256" s="7" t="s">
        <v>629</v>
      </c>
      <c r="AH256" s="7" t="s">
        <v>641</v>
      </c>
      <c r="AI256" s="7" t="s">
        <v>671</v>
      </c>
      <c r="AJ256" s="7" t="s">
        <v>1823</v>
      </c>
      <c r="AK256" s="7" t="s">
        <v>643</v>
      </c>
    </row>
    <row r="257" spans="1:37" x14ac:dyDescent="0.25">
      <c r="A257" s="13" t="str">
        <f ca="1"/>
        <v>0xD15D</v>
      </c>
      <c r="B257" s="14" t="str">
        <f ca="1"/>
        <v>WhiteBalanceReset</v>
      </c>
      <c r="D257" s="8" t="str">
        <f ca="1"/>
        <v/>
      </c>
      <c r="E257" s="8" t="str">
        <f ca="1"/>
        <v/>
      </c>
      <c r="F257" s="8" t="str">
        <f ca="1"/>
        <v/>
      </c>
      <c r="G257" s="8" t="str">
        <f ca="1"/>
        <v/>
      </c>
      <c r="H257" s="7" t="str">
        <f ca="1"/>
        <v>WhiteBalanceReset</v>
      </c>
      <c r="I257" s="7" t="str">
        <f ca="1"/>
        <v>WhiteBalanceReset</v>
      </c>
      <c r="J257" s="7" t="str">
        <f ca="1"/>
        <v>WhiteBalanceReset</v>
      </c>
      <c r="K257" s="7" t="str">
        <f ca="1"/>
        <v>WhiteBalanceReset</v>
      </c>
      <c r="L257" s="7" t="str">
        <f ca="1"/>
        <v/>
      </c>
      <c r="M257" s="7" t="str">
        <f ca="1"/>
        <v>WhiteBalanceReset</v>
      </c>
      <c r="N257" s="7" t="str">
        <f ca="1"/>
        <v>WhiteBalanceReset</v>
      </c>
      <c r="O257" s="7" t="str">
        <f ca="1"/>
        <v>WhiteBalanceReset</v>
      </c>
      <c r="P257" s="7" t="str">
        <f ca="1"/>
        <v/>
      </c>
      <c r="Q257" s="7" t="str">
        <f ca="1"/>
        <v/>
      </c>
      <c r="T257" s="7" t="str">
        <f ca="1"/>
        <v>Z8</v>
      </c>
      <c r="U257" s="7" t="str">
        <f ca="1"/>
        <v>0xD225</v>
      </c>
      <c r="V257" s="7" t="str">
        <f ca="1"/>
        <v>MovieWbPresetDataValue3</v>
      </c>
      <c r="X257" s="8" t="s">
        <v>644</v>
      </c>
      <c r="Y257" s="8" t="s">
        <v>644</v>
      </c>
      <c r="Z257" s="8" t="s">
        <v>664</v>
      </c>
      <c r="AA257" s="8" t="s">
        <v>664</v>
      </c>
      <c r="AB257" s="7" t="s">
        <v>684</v>
      </c>
      <c r="AC257" s="7" t="s">
        <v>660</v>
      </c>
      <c r="AD257" s="7" t="s">
        <v>660</v>
      </c>
      <c r="AE257" s="7" t="s">
        <v>666</v>
      </c>
      <c r="AF257" s="7" t="s">
        <v>634</v>
      </c>
      <c r="AG257" s="7" t="s">
        <v>630</v>
      </c>
      <c r="AH257" s="7" t="s">
        <v>642</v>
      </c>
      <c r="AI257" s="7" t="s">
        <v>1680</v>
      </c>
      <c r="AJ257" s="7" t="s">
        <v>622</v>
      </c>
      <c r="AK257" s="7" t="s">
        <v>644</v>
      </c>
    </row>
    <row r="258" spans="1:37" x14ac:dyDescent="0.25">
      <c r="A258" s="13" t="str">
        <f ca="1"/>
        <v>0xD15E</v>
      </c>
      <c r="B258" s="14" t="str">
        <f ca="1"/>
        <v>WbTuneNatural</v>
      </c>
      <c r="D258" s="8" t="str">
        <f ca="1"/>
        <v>WbTuneNatural</v>
      </c>
      <c r="E258" s="8" t="str">
        <f ca="1"/>
        <v>WbTuneNatural</v>
      </c>
      <c r="F258" s="8" t="str">
        <f ca="1"/>
        <v>WbTuneNatural</v>
      </c>
      <c r="G258" s="8" t="str">
        <f ca="1"/>
        <v>WbTuneNatural</v>
      </c>
      <c r="H258" s="7" t="str">
        <f ca="1"/>
        <v>WbTuneNatural</v>
      </c>
      <c r="I258" s="7" t="str">
        <f ca="1"/>
        <v>WbTuneNatural</v>
      </c>
      <c r="J258" s="7" t="str">
        <f ca="1"/>
        <v>WbTuneNatural</v>
      </c>
      <c r="K258" s="7" t="str">
        <f ca="1"/>
        <v>WbTuneNatural</v>
      </c>
      <c r="L258" s="7" t="str">
        <f ca="1"/>
        <v>WbTuneNatural</v>
      </c>
      <c r="M258" s="7" t="str">
        <f ca="1"/>
        <v/>
      </c>
      <c r="N258" s="7" t="str">
        <f ca="1"/>
        <v/>
      </c>
      <c r="O258" s="7" t="str">
        <f ca="1"/>
        <v/>
      </c>
      <c r="P258" s="7" t="str">
        <f ca="1"/>
        <v/>
      </c>
      <c r="Q258" s="7" t="str">
        <f ca="1"/>
        <v/>
      </c>
      <c r="T258" s="7" t="str">
        <f ca="1"/>
        <v>Z8</v>
      </c>
      <c r="U258" s="7" t="str">
        <f ca="1"/>
        <v>0xD226</v>
      </c>
      <c r="V258" s="7" t="str">
        <f ca="1"/>
        <v>MovieWbPresetDataValue4</v>
      </c>
      <c r="X258" s="8" t="s">
        <v>645</v>
      </c>
      <c r="Y258" s="8" t="s">
        <v>645</v>
      </c>
      <c r="Z258" s="8" t="s">
        <v>665</v>
      </c>
      <c r="AA258" s="8" t="s">
        <v>665</v>
      </c>
      <c r="AB258" s="7" t="s">
        <v>685</v>
      </c>
      <c r="AC258" s="7" t="s">
        <v>661</v>
      </c>
      <c r="AD258" s="7" t="s">
        <v>661</v>
      </c>
      <c r="AE258" s="7" t="s">
        <v>667</v>
      </c>
      <c r="AF258" s="7" t="s">
        <v>635</v>
      </c>
      <c r="AG258" s="7" t="s">
        <v>631</v>
      </c>
      <c r="AH258" s="7" t="s">
        <v>643</v>
      </c>
      <c r="AI258" s="7" t="s">
        <v>1681</v>
      </c>
      <c r="AJ258" s="7" t="s">
        <v>623</v>
      </c>
      <c r="AK258" s="7" t="s">
        <v>1712</v>
      </c>
    </row>
    <row r="259" spans="1:37" x14ac:dyDescent="0.25">
      <c r="A259" s="13" t="str">
        <f ca="1"/>
        <v>0xD160</v>
      </c>
      <c r="B259" s="14" t="str">
        <f ca="1"/>
        <v>Beep</v>
      </c>
      <c r="D259" s="8" t="str">
        <f ca="1"/>
        <v/>
      </c>
      <c r="E259" s="8" t="str">
        <f ca="1"/>
        <v/>
      </c>
      <c r="F259" s="8" t="str">
        <f ca="1"/>
        <v/>
      </c>
      <c r="G259" s="8" t="str">
        <f ca="1"/>
        <v/>
      </c>
      <c r="H259" s="7" t="str">
        <f ca="1"/>
        <v/>
      </c>
      <c r="I259" s="7" t="str">
        <f ca="1"/>
        <v/>
      </c>
      <c r="J259" s="7" t="str">
        <f ca="1"/>
        <v/>
      </c>
      <c r="K259" s="7" t="str">
        <f ca="1"/>
        <v/>
      </c>
      <c r="L259" s="7" t="str">
        <f ca="1"/>
        <v/>
      </c>
      <c r="M259" s="7" t="str">
        <f ca="1"/>
        <v/>
      </c>
      <c r="N259" s="7" t="str">
        <f ca="1"/>
        <v/>
      </c>
      <c r="O259" s="7" t="str">
        <f ca="1"/>
        <v/>
      </c>
      <c r="P259" s="7" t="str">
        <f ca="1"/>
        <v>Beep</v>
      </c>
      <c r="Q259" s="7" t="str">
        <f ca="1"/>
        <v>Beep</v>
      </c>
      <c r="T259" s="7" t="str">
        <f ca="1"/>
        <v>Z8</v>
      </c>
      <c r="U259" s="7" t="str">
        <f ca="1"/>
        <v>0xD227</v>
      </c>
      <c r="V259" s="7" t="str">
        <f ca="1"/>
        <v>MovieWbPresetDataValue5</v>
      </c>
      <c r="X259" s="8" t="s">
        <v>646</v>
      </c>
      <c r="Y259" s="8" t="s">
        <v>646</v>
      </c>
      <c r="Z259" s="8" t="s">
        <v>666</v>
      </c>
      <c r="AA259" s="8" t="s">
        <v>666</v>
      </c>
      <c r="AB259" s="7" t="s">
        <v>688</v>
      </c>
      <c r="AC259" s="7" t="s">
        <v>662</v>
      </c>
      <c r="AD259" s="7" t="s">
        <v>662</v>
      </c>
      <c r="AE259" s="7" t="s">
        <v>668</v>
      </c>
      <c r="AF259" s="7" t="s">
        <v>636</v>
      </c>
      <c r="AG259" s="7" t="s">
        <v>632</v>
      </c>
      <c r="AH259" s="7" t="s">
        <v>644</v>
      </c>
      <c r="AI259" s="7" t="s">
        <v>672</v>
      </c>
      <c r="AJ259" s="7" t="s">
        <v>624</v>
      </c>
      <c r="AK259" s="7" t="s">
        <v>646</v>
      </c>
    </row>
    <row r="260" spans="1:37" x14ac:dyDescent="0.25">
      <c r="A260" s="13" t="str">
        <f ca="1"/>
        <v>0xD161</v>
      </c>
      <c r="B260" s="14" t="str">
        <f ca="1"/>
        <v>FinderFocusMode</v>
      </c>
      <c r="D260" s="8" t="str">
        <f ca="1"/>
        <v/>
      </c>
      <c r="E260" s="8" t="str">
        <f ca="1"/>
        <v/>
      </c>
      <c r="F260" s="8" t="str">
        <f ca="1"/>
        <v/>
      </c>
      <c r="G260" s="8" t="str">
        <f ca="1"/>
        <v/>
      </c>
      <c r="H260" s="7" t="str">
        <f ca="1"/>
        <v/>
      </c>
      <c r="I260" s="7" t="str">
        <f ca="1"/>
        <v/>
      </c>
      <c r="J260" s="7" t="str">
        <f ca="1"/>
        <v/>
      </c>
      <c r="K260" s="7" t="str">
        <f ca="1"/>
        <v/>
      </c>
      <c r="L260" s="7" t="str">
        <f ca="1"/>
        <v>FinderFocusMode</v>
      </c>
      <c r="M260" s="7" t="str">
        <f ca="1"/>
        <v>AFModeSelect</v>
      </c>
      <c r="N260" s="7" t="str">
        <f ca="1"/>
        <v>AFModeSelect</v>
      </c>
      <c r="O260" s="7" t="str">
        <f ca="1"/>
        <v>AFModeSelect</v>
      </c>
      <c r="P260" s="7" t="str">
        <f ca="1"/>
        <v/>
      </c>
      <c r="Q260" s="7" t="str">
        <f ca="1"/>
        <v/>
      </c>
      <c r="T260" s="7" t="str">
        <f ca="1"/>
        <v>Z8</v>
      </c>
      <c r="U260" s="7" t="str">
        <f ca="1"/>
        <v>0xD228</v>
      </c>
      <c r="V260" s="7" t="str">
        <f ca="1"/>
        <v>MovieWbPresetDataValue6</v>
      </c>
      <c r="X260" s="8" t="s">
        <v>647</v>
      </c>
      <c r="Y260" s="8" t="s">
        <v>647</v>
      </c>
      <c r="Z260" s="8" t="s">
        <v>667</v>
      </c>
      <c r="AA260" s="8" t="s">
        <v>667</v>
      </c>
      <c r="AB260" s="7" t="s">
        <v>689</v>
      </c>
      <c r="AC260" s="7" t="s">
        <v>663</v>
      </c>
      <c r="AD260" s="7" t="s">
        <v>663</v>
      </c>
      <c r="AE260" s="7" t="s">
        <v>669</v>
      </c>
      <c r="AF260" s="7" t="s">
        <v>637</v>
      </c>
      <c r="AG260" s="7" t="s">
        <v>633</v>
      </c>
      <c r="AH260" s="7" t="s">
        <v>1712</v>
      </c>
      <c r="AI260" s="7" t="s">
        <v>673</v>
      </c>
      <c r="AJ260" s="7" t="s">
        <v>625</v>
      </c>
      <c r="AK260" s="7" t="s">
        <v>647</v>
      </c>
    </row>
    <row r="261" spans="1:37" x14ac:dyDescent="0.25">
      <c r="A261" s="13" t="str">
        <f ca="1"/>
        <v>0xD164</v>
      </c>
      <c r="B261" s="14" t="str">
        <f ca="1"/>
        <v>ISOAutoShutterTime</v>
      </c>
      <c r="D261" s="8" t="str">
        <f ca="1"/>
        <v>ISOAutoShutterTime</v>
      </c>
      <c r="E261" s="8" t="str">
        <f ca="1"/>
        <v>ISOAutoShutterTime</v>
      </c>
      <c r="F261" s="8" t="str">
        <f ca="1"/>
        <v>ISOAutoShutterTime</v>
      </c>
      <c r="G261" s="8" t="str">
        <f ca="1"/>
        <v>ISOAutoShutterTime</v>
      </c>
      <c r="H261" s="7" t="str">
        <f ca="1"/>
        <v>ISOAutoShutterTime</v>
      </c>
      <c r="I261" s="7" t="str">
        <f ca="1"/>
        <v>ISOAutoShutterTime</v>
      </c>
      <c r="J261" s="7" t="str">
        <f ca="1"/>
        <v>ISOAutoShutterTime</v>
      </c>
      <c r="K261" s="7" t="str">
        <f ca="1"/>
        <v>ISOAutoShutterTime</v>
      </c>
      <c r="L261" s="7" t="str">
        <f ca="1"/>
        <v>ISOAutoShutterTime</v>
      </c>
      <c r="M261" s="7" t="str">
        <f ca="1"/>
        <v>ISOAutoShutterTime</v>
      </c>
      <c r="N261" s="7" t="str">
        <f ca="1"/>
        <v>ISOAutoShutterTime</v>
      </c>
      <c r="O261" s="7" t="str">
        <f ca="1"/>
        <v>ISOAutoShutterTime</v>
      </c>
      <c r="P261" s="7" t="str">
        <f ca="1"/>
        <v>ISOAutoShutterTime</v>
      </c>
      <c r="Q261" s="7" t="str">
        <f ca="1"/>
        <v>ISOAutoShutterTime</v>
      </c>
      <c r="T261" s="7" t="str">
        <f ca="1"/>
        <v>Z8</v>
      </c>
      <c r="U261" s="7" t="str">
        <f ca="1"/>
        <v>0xD229</v>
      </c>
      <c r="V261" s="7" t="str">
        <f ca="1"/>
        <v>MovieWbTunePreset1</v>
      </c>
      <c r="X261" s="8" t="s">
        <v>648</v>
      </c>
      <c r="Y261" s="8" t="s">
        <v>648</v>
      </c>
      <c r="Z261" s="8" t="s">
        <v>668</v>
      </c>
      <c r="AA261" s="8" t="s">
        <v>668</v>
      </c>
      <c r="AB261" s="7" t="s">
        <v>690</v>
      </c>
      <c r="AC261" s="7" t="s">
        <v>664</v>
      </c>
      <c r="AD261" s="7" t="s">
        <v>664</v>
      </c>
      <c r="AE261" s="7" t="s">
        <v>670</v>
      </c>
      <c r="AF261" s="7" t="s">
        <v>640</v>
      </c>
      <c r="AG261" s="7" t="s">
        <v>634</v>
      </c>
      <c r="AH261" s="7" t="s">
        <v>646</v>
      </c>
      <c r="AI261" s="7" t="s">
        <v>674</v>
      </c>
      <c r="AJ261" s="7" t="s">
        <v>626</v>
      </c>
      <c r="AK261" s="7" t="s">
        <v>648</v>
      </c>
    </row>
    <row r="262" spans="1:37" x14ac:dyDescent="0.25">
      <c r="A262" s="13" t="str">
        <f ca="1"/>
        <v>0xD167</v>
      </c>
      <c r="B262" s="14" t="str">
        <f ca="1"/>
        <v>InternalFlashMode</v>
      </c>
      <c r="D262" s="8" t="str">
        <f ca="1"/>
        <v/>
      </c>
      <c r="E262" s="8" t="str">
        <f ca="1"/>
        <v/>
      </c>
      <c r="F262" s="8" t="str">
        <f ca="1"/>
        <v/>
      </c>
      <c r="G262" s="8" t="str">
        <f ca="1"/>
        <v/>
      </c>
      <c r="H262" s="7" t="str">
        <f ca="1"/>
        <v>InternalFlashMode</v>
      </c>
      <c r="I262" s="7" t="str">
        <f ca="1"/>
        <v/>
      </c>
      <c r="J262" s="7" t="str">
        <f ca="1"/>
        <v/>
      </c>
      <c r="K262" s="7" t="str">
        <f ca="1"/>
        <v/>
      </c>
      <c r="L262" s="7" t="str">
        <f ca="1"/>
        <v/>
      </c>
      <c r="M262" s="7" t="str">
        <f ca="1"/>
        <v/>
      </c>
      <c r="N262" s="7" t="str">
        <f ca="1"/>
        <v/>
      </c>
      <c r="O262" s="7" t="str">
        <f ca="1"/>
        <v/>
      </c>
      <c r="P262" s="7" t="str">
        <f ca="1"/>
        <v/>
      </c>
      <c r="Q262" s="7" t="str">
        <f ca="1"/>
        <v/>
      </c>
      <c r="T262" s="7" t="str">
        <f ca="1"/>
        <v>Z8</v>
      </c>
      <c r="U262" s="7" t="str">
        <f ca="1"/>
        <v>0xD22A</v>
      </c>
      <c r="V262" s="7" t="str">
        <f ca="1"/>
        <v>MovieWbTunePreset2</v>
      </c>
      <c r="X262" s="8" t="s">
        <v>649</v>
      </c>
      <c r="Y262" s="8" t="s">
        <v>649</v>
      </c>
      <c r="Z262" s="8" t="s">
        <v>669</v>
      </c>
      <c r="AA262" s="8" t="s">
        <v>669</v>
      </c>
      <c r="AB262" s="7" t="s">
        <v>691</v>
      </c>
      <c r="AC262" s="7" t="s">
        <v>665</v>
      </c>
      <c r="AD262" s="7" t="s">
        <v>665</v>
      </c>
      <c r="AE262" s="7" t="s">
        <v>671</v>
      </c>
      <c r="AF262" s="7" t="s">
        <v>641</v>
      </c>
      <c r="AG262" s="7" t="s">
        <v>635</v>
      </c>
      <c r="AH262" s="7" t="s">
        <v>647</v>
      </c>
      <c r="AI262" s="7" t="s">
        <v>675</v>
      </c>
      <c r="AJ262" s="7" t="s">
        <v>627</v>
      </c>
      <c r="AK262" s="7" t="s">
        <v>649</v>
      </c>
    </row>
    <row r="263" spans="1:37" x14ac:dyDescent="0.25">
      <c r="A263" s="13" t="str">
        <f ca="1"/>
        <v>0xD16A</v>
      </c>
      <c r="B263" s="14" t="str">
        <f ca="1"/>
        <v>ISOAutoSetting</v>
      </c>
      <c r="D263" s="8" t="str">
        <f ca="1"/>
        <v/>
      </c>
      <c r="E263" s="8" t="str">
        <f ca="1"/>
        <v/>
      </c>
      <c r="F263" s="8" t="str">
        <f ca="1"/>
        <v>ISOAutoSetting</v>
      </c>
      <c r="G263" s="8" t="str">
        <f ca="1"/>
        <v>ISOAutoSetting</v>
      </c>
      <c r="H263" s="7" t="str">
        <f ca="1"/>
        <v>ISOAutoSetting</v>
      </c>
      <c r="I263" s="7" t="str">
        <f ca="1"/>
        <v>ISOAutoSetting</v>
      </c>
      <c r="J263" s="7" t="str">
        <f ca="1"/>
        <v>ISOAutoSetting</v>
      </c>
      <c r="K263" s="7" t="str">
        <f ca="1"/>
        <v>ISOAutoSetting</v>
      </c>
      <c r="L263" s="7" t="str">
        <f ca="1"/>
        <v/>
      </c>
      <c r="M263" s="7" t="str">
        <f ca="1"/>
        <v/>
      </c>
      <c r="N263" s="7" t="str">
        <f ca="1"/>
        <v/>
      </c>
      <c r="O263" s="7" t="str">
        <f ca="1"/>
        <v/>
      </c>
      <c r="P263" s="7" t="str">
        <f ca="1"/>
        <v/>
      </c>
      <c r="Q263" s="7" t="str">
        <f ca="1"/>
        <v/>
      </c>
      <c r="T263" s="7" t="str">
        <f ca="1"/>
        <v>Z8</v>
      </c>
      <c r="U263" s="7" t="str">
        <f ca="1"/>
        <v>0xD22B</v>
      </c>
      <c r="V263" s="7" t="str">
        <f ca="1"/>
        <v>MovieWbTunePreset3</v>
      </c>
      <c r="X263" s="8" t="s">
        <v>650</v>
      </c>
      <c r="Y263" s="8" t="s">
        <v>650</v>
      </c>
      <c r="Z263" s="8" t="s">
        <v>670</v>
      </c>
      <c r="AA263" s="8" t="s">
        <v>670</v>
      </c>
      <c r="AB263" s="7" t="s">
        <v>692</v>
      </c>
      <c r="AC263" s="7" t="s">
        <v>666</v>
      </c>
      <c r="AD263" s="7" t="s">
        <v>666</v>
      </c>
      <c r="AE263" s="7" t="s">
        <v>672</v>
      </c>
      <c r="AF263" s="7" t="s">
        <v>642</v>
      </c>
      <c r="AG263" s="7" t="s">
        <v>636</v>
      </c>
      <c r="AH263" s="7" t="s">
        <v>648</v>
      </c>
      <c r="AI263" s="7" t="s">
        <v>678</v>
      </c>
      <c r="AJ263" s="7" t="s">
        <v>628</v>
      </c>
      <c r="AK263" s="7" t="s">
        <v>650</v>
      </c>
    </row>
    <row r="264" spans="1:37" x14ac:dyDescent="0.25">
      <c r="A264" s="13" t="str">
        <f ca="1"/>
        <v>0xD16E</v>
      </c>
      <c r="B264" s="14" t="str">
        <f ca="1"/>
        <v>ExtendedShutterSpeedsManual</v>
      </c>
      <c r="D264" s="8" t="str">
        <f ca="1"/>
        <v>ExtendedShutterSpeedsManual</v>
      </c>
      <c r="E264" s="8" t="str">
        <f ca="1"/>
        <v>ExtendedShutterSpeedsManual</v>
      </c>
      <c r="F264" s="8" t="str">
        <f ca="1"/>
        <v>ExtendedShutterSpeedsManual</v>
      </c>
      <c r="G264" s="8" t="str">
        <f ca="1"/>
        <v>ExtendedShutterSpeedsManual</v>
      </c>
      <c r="H264" s="7" t="str">
        <f ca="1"/>
        <v/>
      </c>
      <c r="I264" s="7" t="str">
        <f ca="1"/>
        <v/>
      </c>
      <c r="J264" s="7" t="str">
        <f ca="1"/>
        <v/>
      </c>
      <c r="K264" s="7" t="str">
        <f ca="1"/>
        <v/>
      </c>
      <c r="L264" s="7" t="str">
        <f ca="1"/>
        <v>ExtendedShutterSpeedsManual</v>
      </c>
      <c r="M264" s="7" t="str">
        <f ca="1"/>
        <v/>
      </c>
      <c r="N264" s="7" t="str">
        <f ca="1"/>
        <v/>
      </c>
      <c r="O264" s="7" t="str">
        <f ca="1"/>
        <v/>
      </c>
      <c r="P264" s="7" t="str">
        <f ca="1"/>
        <v/>
      </c>
      <c r="Q264" s="7" t="str">
        <f ca="1"/>
        <v/>
      </c>
      <c r="T264" s="7" t="str">
        <f ca="1"/>
        <v>Z8</v>
      </c>
      <c r="U264" s="7" t="str">
        <f ca="1"/>
        <v>0xD22C</v>
      </c>
      <c r="V264" s="7" t="str">
        <f ca="1"/>
        <v>MovieWbTunePreset4</v>
      </c>
      <c r="X264" s="8" t="s">
        <v>651</v>
      </c>
      <c r="Y264" s="8" t="s">
        <v>651</v>
      </c>
      <c r="Z264" s="8" t="s">
        <v>671</v>
      </c>
      <c r="AA264" s="8" t="s">
        <v>671</v>
      </c>
      <c r="AB264" s="7" t="s">
        <v>693</v>
      </c>
      <c r="AC264" s="7" t="s">
        <v>667</v>
      </c>
      <c r="AD264" s="7" t="s">
        <v>667</v>
      </c>
      <c r="AE264" s="7" t="s">
        <v>673</v>
      </c>
      <c r="AF264" s="7" t="s">
        <v>643</v>
      </c>
      <c r="AG264" s="7" t="s">
        <v>637</v>
      </c>
      <c r="AH264" s="7" t="s">
        <v>649</v>
      </c>
      <c r="AI264" s="7" t="s">
        <v>679</v>
      </c>
      <c r="AJ264" s="7" t="s">
        <v>629</v>
      </c>
      <c r="AK264" s="7" t="s">
        <v>651</v>
      </c>
    </row>
    <row r="265" spans="1:37" x14ac:dyDescent="0.25">
      <c r="A265" s="13" t="str">
        <f ca="1"/>
        <v>0xD176</v>
      </c>
      <c r="B265" s="14" t="str">
        <f ca="1"/>
        <v>LimitedAFAreaMode</v>
      </c>
      <c r="D265" s="8" t="str">
        <f ca="1"/>
        <v/>
      </c>
      <c r="E265" s="8" t="str">
        <f ca="1"/>
        <v/>
      </c>
      <c r="F265" s="8" t="str">
        <f ca="1"/>
        <v/>
      </c>
      <c r="G265" s="8" t="str">
        <f ca="1"/>
        <v/>
      </c>
      <c r="H265" s="7" t="str">
        <f ca="1"/>
        <v/>
      </c>
      <c r="I265" s="7" t="str">
        <f ca="1"/>
        <v/>
      </c>
      <c r="J265" s="7" t="str">
        <f ca="1"/>
        <v/>
      </c>
      <c r="K265" s="7" t="str">
        <f ca="1"/>
        <v/>
      </c>
      <c r="L265" s="7" t="str">
        <f ca="1"/>
        <v/>
      </c>
      <c r="M265" s="7" t="str">
        <f ca="1"/>
        <v>LimitedAFAreaMode</v>
      </c>
      <c r="N265" s="7" t="str">
        <f ca="1"/>
        <v>LimitedAFAreaMode</v>
      </c>
      <c r="O265" s="7" t="str">
        <f ca="1"/>
        <v/>
      </c>
      <c r="P265" s="7" t="str">
        <f ca="1"/>
        <v/>
      </c>
      <c r="Q265" s="7" t="str">
        <f ca="1"/>
        <v/>
      </c>
      <c r="T265" s="7" t="str">
        <f ca="1"/>
        <v>Z8</v>
      </c>
      <c r="U265" s="7" t="str">
        <f ca="1"/>
        <v>0xD22D</v>
      </c>
      <c r="V265" s="7" t="str">
        <f ca="1"/>
        <v>MovieWbTunePreset5</v>
      </c>
      <c r="X265" s="8" t="s">
        <v>652</v>
      </c>
      <c r="Y265" s="8" t="s">
        <v>652</v>
      </c>
      <c r="Z265" s="8" t="s">
        <v>672</v>
      </c>
      <c r="AA265" s="8" t="s">
        <v>672</v>
      </c>
      <c r="AB265" s="7" t="s">
        <v>694</v>
      </c>
      <c r="AC265" s="7" t="s">
        <v>668</v>
      </c>
      <c r="AD265" s="7" t="s">
        <v>668</v>
      </c>
      <c r="AE265" s="7" t="s">
        <v>674</v>
      </c>
      <c r="AF265" s="7" t="s">
        <v>644</v>
      </c>
      <c r="AG265" s="7" t="s">
        <v>640</v>
      </c>
      <c r="AH265" s="7" t="s">
        <v>650</v>
      </c>
      <c r="AI265" s="7" t="s">
        <v>680</v>
      </c>
      <c r="AJ265" s="7" t="s">
        <v>630</v>
      </c>
      <c r="AK265" s="7" t="s">
        <v>652</v>
      </c>
    </row>
    <row r="266" spans="1:37" x14ac:dyDescent="0.25">
      <c r="A266" s="13" t="str">
        <f ca="1"/>
        <v>0xD177</v>
      </c>
      <c r="B266" s="14" t="str">
        <f ca="1"/>
        <v>FocusModeRestrictions</v>
      </c>
      <c r="D266" s="8" t="str">
        <f ca="1"/>
        <v>FocusModeRestrictions</v>
      </c>
      <c r="E266" s="8" t="str">
        <f ca="1"/>
        <v>FocusModeRestrictions</v>
      </c>
      <c r="F266" s="8" t="str">
        <f ca="1"/>
        <v/>
      </c>
      <c r="G266" s="8" t="str">
        <f ca="1"/>
        <v/>
      </c>
      <c r="H266" s="7" t="str">
        <f ca="1"/>
        <v/>
      </c>
      <c r="I266" s="7" t="str">
        <f ca="1"/>
        <v/>
      </c>
      <c r="J266" s="7" t="str">
        <f ca="1"/>
        <v/>
      </c>
      <c r="K266" s="7" t="str">
        <f ca="1"/>
        <v/>
      </c>
      <c r="L266" s="7" t="str">
        <f ca="1"/>
        <v>AFModeRestrictions</v>
      </c>
      <c r="M266" s="7" t="str">
        <f ca="1"/>
        <v>AFModeRestrictions</v>
      </c>
      <c r="N266" s="7" t="str">
        <f ca="1"/>
        <v>AFModeRestrictions</v>
      </c>
      <c r="O266" s="7" t="str">
        <f ca="1"/>
        <v/>
      </c>
      <c r="P266" s="7" t="str">
        <f ca="1"/>
        <v/>
      </c>
      <c r="Q266" s="7" t="str">
        <f ca="1"/>
        <v/>
      </c>
      <c r="T266" s="7" t="str">
        <f ca="1"/>
        <v>Z8</v>
      </c>
      <c r="U266" s="7" t="str">
        <f ca="1"/>
        <v>0xD22E</v>
      </c>
      <c r="V266" s="7" t="str">
        <f ca="1"/>
        <v>MovieWbTunePreset6</v>
      </c>
      <c r="X266" s="8" t="s">
        <v>653</v>
      </c>
      <c r="Y266" s="8" t="s">
        <v>653</v>
      </c>
      <c r="Z266" s="8" t="s">
        <v>673</v>
      </c>
      <c r="AA266" s="8" t="s">
        <v>673</v>
      </c>
      <c r="AB266" s="7" t="s">
        <v>695</v>
      </c>
      <c r="AC266" s="7" t="s">
        <v>669</v>
      </c>
      <c r="AD266" s="7" t="s">
        <v>669</v>
      </c>
      <c r="AE266" s="7" t="s">
        <v>675</v>
      </c>
      <c r="AF266" s="7" t="s">
        <v>645</v>
      </c>
      <c r="AG266" s="7" t="s">
        <v>641</v>
      </c>
      <c r="AH266" s="7" t="s">
        <v>651</v>
      </c>
      <c r="AI266" s="7" t="s">
        <v>681</v>
      </c>
      <c r="AJ266" s="7" t="s">
        <v>631</v>
      </c>
      <c r="AK266" s="7" t="s">
        <v>653</v>
      </c>
    </row>
    <row r="267" spans="1:37" x14ac:dyDescent="0.25">
      <c r="A267" s="13" t="str">
        <f ca="1"/>
        <v>0xD178</v>
      </c>
      <c r="B267" s="14" t="str">
        <f ca="1"/>
        <v>LimitStillCaptureMode</v>
      </c>
      <c r="D267" s="8" t="str">
        <f ca="1"/>
        <v/>
      </c>
      <c r="E267" s="8" t="str">
        <f ca="1"/>
        <v/>
      </c>
      <c r="F267" s="8" t="str">
        <f ca="1"/>
        <v/>
      </c>
      <c r="G267" s="8" t="str">
        <f ca="1"/>
        <v/>
      </c>
      <c r="H267" s="7" t="str">
        <f ca="1"/>
        <v/>
      </c>
      <c r="I267" s="7" t="str">
        <f ca="1"/>
        <v/>
      </c>
      <c r="J267" s="7" t="str">
        <f ca="1"/>
        <v/>
      </c>
      <c r="K267" s="7" t="str">
        <f ca="1"/>
        <v/>
      </c>
      <c r="L267" s="7" t="str">
        <f ca="1"/>
        <v/>
      </c>
      <c r="M267" s="7" t="str">
        <f ca="1"/>
        <v>LimitStillCaptureMode</v>
      </c>
      <c r="N267" s="7" t="str">
        <f ca="1"/>
        <v/>
      </c>
      <c r="O267" s="7" t="str">
        <f ca="1"/>
        <v/>
      </c>
      <c r="P267" s="7" t="str">
        <f ca="1"/>
        <v/>
      </c>
      <c r="Q267" s="7" t="str">
        <f ca="1"/>
        <v/>
      </c>
      <c r="T267" s="7" t="str">
        <f ca="1"/>
        <v>Z8</v>
      </c>
      <c r="U267" s="7" t="str">
        <f ca="1"/>
        <v>0xD22F</v>
      </c>
      <c r="V267" s="7" t="str">
        <f ca="1"/>
        <v>MovieWbPresetProtect1</v>
      </c>
      <c r="X267" s="8" t="s">
        <v>654</v>
      </c>
      <c r="Y267" s="8" t="s">
        <v>654</v>
      </c>
      <c r="Z267" s="8" t="s">
        <v>674</v>
      </c>
      <c r="AA267" s="8" t="s">
        <v>674</v>
      </c>
      <c r="AB267" s="7" t="s">
        <v>696</v>
      </c>
      <c r="AC267" s="7" t="s">
        <v>670</v>
      </c>
      <c r="AD267" s="7" t="s">
        <v>670</v>
      </c>
      <c r="AE267" s="7" t="s">
        <v>676</v>
      </c>
      <c r="AF267" s="7" t="s">
        <v>646</v>
      </c>
      <c r="AG267" s="7" t="s">
        <v>642</v>
      </c>
      <c r="AH267" s="7" t="s">
        <v>652</v>
      </c>
      <c r="AI267" s="7" t="s">
        <v>682</v>
      </c>
      <c r="AJ267" s="7" t="s">
        <v>632</v>
      </c>
      <c r="AK267" s="7" t="s">
        <v>660</v>
      </c>
    </row>
    <row r="268" spans="1:37" x14ac:dyDescent="0.25">
      <c r="A268" s="13" t="str">
        <f ca="1"/>
        <v>0xD179</v>
      </c>
      <c r="B268" s="14" t="str">
        <f ca="1"/>
        <v>FocusPointPersistence</v>
      </c>
      <c r="D268" s="8" t="str">
        <f ca="1"/>
        <v/>
      </c>
      <c r="E268" s="8" t="str">
        <f ca="1"/>
        <v/>
      </c>
      <c r="F268" s="8" t="str">
        <f ca="1"/>
        <v/>
      </c>
      <c r="G268" s="8" t="str">
        <f ca="1"/>
        <v/>
      </c>
      <c r="H268" s="7" t="str">
        <f ca="1"/>
        <v/>
      </c>
      <c r="I268" s="7" t="str">
        <f ca="1"/>
        <v/>
      </c>
      <c r="J268" s="7" t="str">
        <f ca="1"/>
        <v/>
      </c>
      <c r="K268" s="7" t="str">
        <f ca="1"/>
        <v/>
      </c>
      <c r="L268" s="7" t="str">
        <f ca="1"/>
        <v>FocusPointPersistence</v>
      </c>
      <c r="M268" s="7" t="str">
        <f ca="1"/>
        <v/>
      </c>
      <c r="N268" s="7" t="str">
        <f ca="1"/>
        <v/>
      </c>
      <c r="O268" s="7" t="str">
        <f ca="1"/>
        <v/>
      </c>
      <c r="P268" s="7" t="str">
        <f ca="1"/>
        <v/>
      </c>
      <c r="Q268" s="7" t="str">
        <f ca="1"/>
        <v/>
      </c>
      <c r="T268" s="7" t="str">
        <f ca="1"/>
        <v>Z8</v>
      </c>
      <c r="U268" s="7" t="str">
        <f ca="1"/>
        <v>0xD230</v>
      </c>
      <c r="V268" s="7" t="str">
        <f ca="1"/>
        <v>MovieWbPresetProtect2</v>
      </c>
      <c r="X268" s="8" t="s">
        <v>655</v>
      </c>
      <c r="Y268" s="8" t="s">
        <v>655</v>
      </c>
      <c r="Z268" s="8" t="s">
        <v>675</v>
      </c>
      <c r="AA268" s="8" t="s">
        <v>675</v>
      </c>
      <c r="AB268" s="7" t="s">
        <v>697</v>
      </c>
      <c r="AC268" s="7" t="s">
        <v>671</v>
      </c>
      <c r="AD268" s="7" t="s">
        <v>671</v>
      </c>
      <c r="AE268" s="7" t="s">
        <v>677</v>
      </c>
      <c r="AF268" s="7" t="s">
        <v>647</v>
      </c>
      <c r="AG268" s="7" t="s">
        <v>643</v>
      </c>
      <c r="AH268" s="7" t="s">
        <v>653</v>
      </c>
      <c r="AI268" s="7" t="s">
        <v>683</v>
      </c>
      <c r="AJ268" s="7" t="s">
        <v>633</v>
      </c>
      <c r="AK268" s="7" t="s">
        <v>661</v>
      </c>
    </row>
    <row r="269" spans="1:37" x14ac:dyDescent="0.25">
      <c r="A269" s="13" t="str">
        <f ca="1"/>
        <v>0xD17A</v>
      </c>
      <c r="B269" s="14" t="str">
        <f ca="1"/>
        <v>LowLightAF</v>
      </c>
      <c r="D269" s="8" t="str">
        <f ca="1"/>
        <v/>
      </c>
      <c r="E269" s="8" t="str">
        <f ca="1"/>
        <v/>
      </c>
      <c r="F269" s="8" t="str">
        <f ca="1"/>
        <v>LowLightAF</v>
      </c>
      <c r="G269" s="8" t="str">
        <f ca="1"/>
        <v>LowLightAF</v>
      </c>
      <c r="H269" s="7" t="str">
        <f ca="1"/>
        <v>LowLightAF</v>
      </c>
      <c r="I269" s="7" t="str">
        <f ca="1"/>
        <v>LowLightAF</v>
      </c>
      <c r="J269" s="7" t="str">
        <f ca="1"/>
        <v>LowLightAF</v>
      </c>
      <c r="K269" s="7" t="str">
        <f ca="1"/>
        <v>LowLightAF</v>
      </c>
      <c r="L269" s="7" t="str">
        <f ca="1"/>
        <v/>
      </c>
      <c r="M269" s="7" t="str">
        <f ca="1"/>
        <v/>
      </c>
      <c r="N269" s="7" t="str">
        <f ca="1"/>
        <v/>
      </c>
      <c r="O269" s="7" t="str">
        <f ca="1"/>
        <v/>
      </c>
      <c r="P269" s="7" t="str">
        <f ca="1"/>
        <v/>
      </c>
      <c r="Q269" s="7" t="str">
        <f ca="1"/>
        <v/>
      </c>
      <c r="T269" s="7" t="str">
        <f ca="1"/>
        <v>Z8</v>
      </c>
      <c r="U269" s="7" t="str">
        <f ca="1"/>
        <v>0xD231</v>
      </c>
      <c r="V269" s="7" t="str">
        <f ca="1"/>
        <v>MovieWbPresetProtect3</v>
      </c>
      <c r="X269" s="8" t="s">
        <v>656</v>
      </c>
      <c r="Y269" s="8" t="s">
        <v>1147</v>
      </c>
      <c r="Z269" s="8" t="s">
        <v>676</v>
      </c>
      <c r="AA269" s="8" t="s">
        <v>676</v>
      </c>
      <c r="AB269" s="7" t="s">
        <v>698</v>
      </c>
      <c r="AC269" s="7" t="s">
        <v>672</v>
      </c>
      <c r="AD269" s="7" t="s">
        <v>672</v>
      </c>
      <c r="AE269" s="7" t="s">
        <v>678</v>
      </c>
      <c r="AF269" s="7" t="s">
        <v>648</v>
      </c>
      <c r="AG269" s="7" t="s">
        <v>644</v>
      </c>
      <c r="AH269" s="7" t="s">
        <v>656</v>
      </c>
      <c r="AI269" s="7" t="s">
        <v>684</v>
      </c>
      <c r="AJ269" s="7" t="s">
        <v>640</v>
      </c>
      <c r="AK269" s="7" t="s">
        <v>662</v>
      </c>
    </row>
    <row r="270" spans="1:37" x14ac:dyDescent="0.25">
      <c r="A270" s="13" t="str">
        <f ca="1"/>
        <v>0xD17B</v>
      </c>
      <c r="B270" s="14" t="str">
        <f ca="1"/>
        <v>ViewMode</v>
      </c>
      <c r="D270" s="8" t="str">
        <f ca="1"/>
        <v>ViewMode</v>
      </c>
      <c r="E270" s="8" t="str">
        <f ca="1"/>
        <v>ViewMode</v>
      </c>
      <c r="F270" s="8" t="str">
        <f ca="1"/>
        <v>ApplyLiveViewSetting</v>
      </c>
      <c r="G270" s="8" t="str">
        <f ca="1"/>
        <v>ApplyLiveViewSetting</v>
      </c>
      <c r="H270" s="7" t="str">
        <f ca="1"/>
        <v>ApplyLiveViewSetting</v>
      </c>
      <c r="I270" s="7" t="str">
        <f ca="1"/>
        <v>ApplyLiveViewSetting</v>
      </c>
      <c r="J270" s="7" t="str">
        <f ca="1"/>
        <v>ApplyLiveViewSetting</v>
      </c>
      <c r="K270" s="7" t="str">
        <f ca="1"/>
        <v>ApplyLiveViewSetting</v>
      </c>
      <c r="L270" s="7" t="str">
        <f ca="1"/>
        <v/>
      </c>
      <c r="M270" s="7" t="str">
        <f ca="1"/>
        <v/>
      </c>
      <c r="N270" s="7" t="str">
        <f ca="1"/>
        <v/>
      </c>
      <c r="O270" s="7" t="str">
        <f ca="1"/>
        <v/>
      </c>
      <c r="P270" s="7" t="str">
        <f ca="1"/>
        <v/>
      </c>
      <c r="Q270" s="7" t="str">
        <f ca="1"/>
        <v/>
      </c>
      <c r="T270" s="7" t="str">
        <f ca="1"/>
        <v>Z8</v>
      </c>
      <c r="U270" s="7" t="str">
        <f ca="1"/>
        <v>0xD232</v>
      </c>
      <c r="V270" s="7" t="str">
        <f ca="1"/>
        <v>MovieWbPresetProtect4</v>
      </c>
      <c r="X270" s="8" t="s">
        <v>657</v>
      </c>
      <c r="Y270" s="8" t="s">
        <v>1148</v>
      </c>
      <c r="Z270" s="8" t="s">
        <v>677</v>
      </c>
      <c r="AA270" s="8" t="s">
        <v>677</v>
      </c>
      <c r="AB270" s="7" t="s">
        <v>699</v>
      </c>
      <c r="AC270" s="7" t="s">
        <v>673</v>
      </c>
      <c r="AD270" s="7" t="s">
        <v>673</v>
      </c>
      <c r="AE270" s="7" t="s">
        <v>679</v>
      </c>
      <c r="AF270" s="7" t="s">
        <v>649</v>
      </c>
      <c r="AG270" s="7" t="s">
        <v>1712</v>
      </c>
      <c r="AH270" s="7" t="s">
        <v>657</v>
      </c>
      <c r="AI270" s="7" t="s">
        <v>685</v>
      </c>
      <c r="AJ270" s="7" t="s">
        <v>641</v>
      </c>
      <c r="AK270" s="7" t="s">
        <v>663</v>
      </c>
    </row>
    <row r="271" spans="1:37" x14ac:dyDescent="0.25">
      <c r="A271" s="13" t="str">
        <f ca="1"/>
        <v>0xD17C</v>
      </c>
      <c r="B271" s="14" t="str">
        <f ca="1"/>
        <v>MovieAfSpeed</v>
      </c>
      <c r="D271" s="8" t="str">
        <f ca="1"/>
        <v>MovieAfSpeed</v>
      </c>
      <c r="E271" s="8" t="str">
        <f ca="1"/>
        <v>MovieAfSpeed</v>
      </c>
      <c r="F271" s="8" t="str">
        <f ca="1"/>
        <v>MovieAfSpeed</v>
      </c>
      <c r="G271" s="8" t="str">
        <f ca="1"/>
        <v>MovieAfSpeed</v>
      </c>
      <c r="H271" s="7" t="str">
        <f ca="1"/>
        <v>MovieAfSpeed</v>
      </c>
      <c r="I271" s="7" t="str">
        <f ca="1"/>
        <v>MovieAfSpeed</v>
      </c>
      <c r="J271" s="7" t="str">
        <f ca="1"/>
        <v>MovieAfSpeed</v>
      </c>
      <c r="K271" s="7" t="str">
        <f ca="1"/>
        <v>MovieAfSpeed</v>
      </c>
      <c r="L271" s="7" t="str">
        <f ca="1"/>
        <v/>
      </c>
      <c r="M271" s="7" t="str">
        <f ca="1"/>
        <v/>
      </c>
      <c r="N271" s="7" t="str">
        <f ca="1"/>
        <v/>
      </c>
      <c r="O271" s="7" t="str">
        <f ca="1"/>
        <v/>
      </c>
      <c r="P271" s="7" t="str">
        <f ca="1"/>
        <v/>
      </c>
      <c r="Q271" s="7" t="str">
        <f ca="1"/>
        <v/>
      </c>
      <c r="T271" s="7" t="str">
        <f ca="1"/>
        <v>Z8</v>
      </c>
      <c r="U271" s="7" t="str">
        <f ca="1"/>
        <v>0xD233</v>
      </c>
      <c r="V271" s="7" t="str">
        <f ca="1"/>
        <v>MovieWbPresetProtect5</v>
      </c>
      <c r="X271" s="8" t="s">
        <v>658</v>
      </c>
      <c r="Y271" s="8" t="s">
        <v>656</v>
      </c>
      <c r="Z271" s="8" t="s">
        <v>678</v>
      </c>
      <c r="AA271" s="8" t="s">
        <v>678</v>
      </c>
      <c r="AB271" s="7" t="s">
        <v>700</v>
      </c>
      <c r="AC271" s="7" t="s">
        <v>674</v>
      </c>
      <c r="AD271" s="7" t="s">
        <v>674</v>
      </c>
      <c r="AE271" s="7" t="s">
        <v>680</v>
      </c>
      <c r="AF271" s="7" t="s">
        <v>650</v>
      </c>
      <c r="AG271" s="7" t="s">
        <v>646</v>
      </c>
      <c r="AH271" s="7" t="s">
        <v>658</v>
      </c>
      <c r="AI271" s="7" t="s">
        <v>688</v>
      </c>
      <c r="AJ271" s="7" t="s">
        <v>642</v>
      </c>
      <c r="AK271" s="7" t="s">
        <v>664</v>
      </c>
    </row>
    <row r="272" spans="1:37" x14ac:dyDescent="0.25">
      <c r="A272" s="13" t="str">
        <f ca="1"/>
        <v>0xD17D</v>
      </c>
      <c r="B272" s="14" t="str">
        <f ca="1"/>
        <v>MovieAfSpeedWhenToApply</v>
      </c>
      <c r="D272" s="8" t="str">
        <f ca="1"/>
        <v>MovieAfSpeedWhenToApply</v>
      </c>
      <c r="E272" s="8" t="str">
        <f ca="1"/>
        <v>MovieAfSpeedWhenToApply</v>
      </c>
      <c r="F272" s="8" t="str">
        <f ca="1"/>
        <v>MovieAfSpeedWhenToApply</v>
      </c>
      <c r="G272" s="8" t="str">
        <f ca="1"/>
        <v>MovieAfSpeedWhenToApply</v>
      </c>
      <c r="H272" s="7" t="str">
        <f ca="1"/>
        <v>MovieAfSpeedWhenToApply</v>
      </c>
      <c r="I272" s="7" t="str">
        <f ca="1"/>
        <v>MovieAfSpeedWhenToApply</v>
      </c>
      <c r="J272" s="7" t="str">
        <f ca="1"/>
        <v>MovieAfSpeedWhenToApply</v>
      </c>
      <c r="K272" s="7" t="str">
        <f ca="1"/>
        <v>MovieAfSpeedWhenToApply</v>
      </c>
      <c r="L272" s="7" t="str">
        <f ca="1"/>
        <v/>
      </c>
      <c r="M272" s="7" t="str">
        <f ca="1"/>
        <v/>
      </c>
      <c r="N272" s="7" t="str">
        <f ca="1"/>
        <v/>
      </c>
      <c r="O272" s="7" t="str">
        <f ca="1"/>
        <v/>
      </c>
      <c r="P272" s="7" t="str">
        <f ca="1"/>
        <v/>
      </c>
      <c r="Q272" s="7" t="str">
        <f ca="1"/>
        <v/>
      </c>
      <c r="T272" s="7" t="str">
        <f ca="1"/>
        <v>Z8</v>
      </c>
      <c r="U272" s="7" t="str">
        <f ca="1"/>
        <v>0xD234</v>
      </c>
      <c r="V272" s="7" t="str">
        <f ca="1"/>
        <v>MovieWbPresetProtect6</v>
      </c>
      <c r="X272" s="8" t="s">
        <v>659</v>
      </c>
      <c r="Y272" s="8" t="s">
        <v>657</v>
      </c>
      <c r="Z272" s="8" t="s">
        <v>679</v>
      </c>
      <c r="AA272" s="8" t="s">
        <v>679</v>
      </c>
      <c r="AB272" s="7" t="s">
        <v>701</v>
      </c>
      <c r="AC272" s="7" t="s">
        <v>675</v>
      </c>
      <c r="AD272" s="7" t="s">
        <v>675</v>
      </c>
      <c r="AE272" s="7" t="s">
        <v>681</v>
      </c>
      <c r="AF272" s="7" t="s">
        <v>651</v>
      </c>
      <c r="AG272" s="7" t="s">
        <v>647</v>
      </c>
      <c r="AH272" s="7" t="s">
        <v>659</v>
      </c>
      <c r="AI272" s="7" t="s">
        <v>689</v>
      </c>
      <c r="AJ272" s="7" t="s">
        <v>643</v>
      </c>
      <c r="AK272" s="7" t="s">
        <v>665</v>
      </c>
    </row>
    <row r="273" spans="1:37" x14ac:dyDescent="0.25">
      <c r="A273" s="13" t="str">
        <f ca="1"/>
        <v>0xD17E</v>
      </c>
      <c r="B273" s="14" t="str">
        <f ca="1"/>
        <v>MovieAfTrackingSensitivity</v>
      </c>
      <c r="D273" s="8" t="str">
        <f ca="1"/>
        <v>MovieAfTrackingSensitivity</v>
      </c>
      <c r="E273" s="8" t="str">
        <f ca="1"/>
        <v>MovieAfTrackingSensitivity</v>
      </c>
      <c r="F273" s="8" t="str">
        <f ca="1"/>
        <v>MovieAfTrackingSensitivity</v>
      </c>
      <c r="G273" s="8" t="str">
        <f ca="1"/>
        <v>MovieAfTrackingSensitivity</v>
      </c>
      <c r="H273" s="7" t="str">
        <f ca="1"/>
        <v>MovieAfTrackingSensitivity</v>
      </c>
      <c r="I273" s="7" t="str">
        <f ca="1"/>
        <v>MovieAfTrackingSensitivity</v>
      </c>
      <c r="J273" s="7" t="str">
        <f ca="1"/>
        <v>MovieAfTrackingSensitivity</v>
      </c>
      <c r="K273" s="7" t="str">
        <f ca="1"/>
        <v>MovieAfTrackingSensitivity</v>
      </c>
      <c r="L273" s="7" t="str">
        <f ca="1"/>
        <v/>
      </c>
      <c r="M273" s="7" t="str">
        <f ca="1"/>
        <v/>
      </c>
      <c r="N273" s="7" t="str">
        <f ca="1"/>
        <v/>
      </c>
      <c r="O273" s="7" t="str">
        <f ca="1"/>
        <v/>
      </c>
      <c r="P273" s="7" t="str">
        <f ca="1"/>
        <v/>
      </c>
      <c r="Q273" s="7" t="str">
        <f ca="1"/>
        <v/>
      </c>
      <c r="T273" s="7" t="str">
        <f ca="1"/>
        <v>Z8</v>
      </c>
      <c r="U273" s="7" t="str">
        <f ca="1"/>
        <v>0xD236</v>
      </c>
      <c r="V273" s="7" t="str">
        <f ca="1"/>
        <v>MovieNoiseReductionHiIso</v>
      </c>
      <c r="X273" s="8" t="s">
        <v>660</v>
      </c>
      <c r="Y273" s="8" t="s">
        <v>658</v>
      </c>
      <c r="Z273" s="8" t="s">
        <v>680</v>
      </c>
      <c r="AA273" s="8" t="s">
        <v>680</v>
      </c>
      <c r="AB273" s="7" t="s">
        <v>702</v>
      </c>
      <c r="AC273" s="7" t="s">
        <v>676</v>
      </c>
      <c r="AD273" s="7" t="s">
        <v>676</v>
      </c>
      <c r="AE273" s="7" t="s">
        <v>682</v>
      </c>
      <c r="AF273" s="7" t="s">
        <v>652</v>
      </c>
      <c r="AG273" s="7" t="s">
        <v>648</v>
      </c>
      <c r="AH273" s="7" t="s">
        <v>660</v>
      </c>
      <c r="AI273" s="7" t="s">
        <v>690</v>
      </c>
      <c r="AJ273" s="7" t="s">
        <v>644</v>
      </c>
      <c r="AK273" s="7" t="s">
        <v>1736</v>
      </c>
    </row>
    <row r="274" spans="1:37" x14ac:dyDescent="0.25">
      <c r="A274" s="13" t="str">
        <f ca="1"/>
        <v>0xD17F</v>
      </c>
      <c r="B274" s="14" t="str">
        <f ca="1"/>
        <v>RearControlPanel</v>
      </c>
      <c r="D274" s="8" t="str">
        <f ca="1"/>
        <v/>
      </c>
      <c r="E274" s="8" t="str">
        <f ca="1"/>
        <v/>
      </c>
      <c r="F274" s="8" t="str">
        <f ca="1"/>
        <v/>
      </c>
      <c r="G274" s="8" t="str">
        <f ca="1"/>
        <v/>
      </c>
      <c r="H274" s="7" t="str">
        <f ca="1"/>
        <v/>
      </c>
      <c r="I274" s="7" t="str">
        <f ca="1"/>
        <v/>
      </c>
      <c r="J274" s="7" t="str">
        <f ca="1"/>
        <v/>
      </c>
      <c r="K274" s="7" t="str">
        <f ca="1"/>
        <v/>
      </c>
      <c r="L274" s="7" t="str">
        <f ca="1"/>
        <v>RearControlPanel</v>
      </c>
      <c r="M274" s="7" t="str">
        <f ca="1"/>
        <v/>
      </c>
      <c r="N274" s="7" t="str">
        <f ca="1"/>
        <v/>
      </c>
      <c r="O274" s="7" t="str">
        <f ca="1"/>
        <v/>
      </c>
      <c r="P274" s="7" t="str">
        <f ca="1"/>
        <v/>
      </c>
      <c r="Q274" s="7" t="str">
        <f ca="1"/>
        <v/>
      </c>
      <c r="T274" s="7" t="str">
        <f ca="1"/>
        <v>Z8</v>
      </c>
      <c r="U274" s="7" t="str">
        <f ca="1"/>
        <v>0xD237</v>
      </c>
      <c r="V274" s="7" t="str">
        <f ca="1"/>
        <v>MovieActivePicCtrlItem</v>
      </c>
      <c r="X274" s="8" t="s">
        <v>661</v>
      </c>
      <c r="Y274" s="8" t="s">
        <v>659</v>
      </c>
      <c r="Z274" s="8" t="s">
        <v>681</v>
      </c>
      <c r="AA274" s="8" t="s">
        <v>681</v>
      </c>
      <c r="AB274" s="7" t="s">
        <v>703</v>
      </c>
      <c r="AC274" s="7" t="s">
        <v>677</v>
      </c>
      <c r="AD274" s="7" t="s">
        <v>677</v>
      </c>
      <c r="AE274" s="7" t="s">
        <v>683</v>
      </c>
      <c r="AF274" s="7" t="s">
        <v>653</v>
      </c>
      <c r="AG274" s="7" t="s">
        <v>649</v>
      </c>
      <c r="AH274" s="7" t="s">
        <v>661</v>
      </c>
      <c r="AI274" s="7" t="s">
        <v>691</v>
      </c>
      <c r="AJ274" s="7" t="s">
        <v>1712</v>
      </c>
      <c r="AK274" s="7" t="s">
        <v>1737</v>
      </c>
    </row>
    <row r="275" spans="1:37" x14ac:dyDescent="0.25">
      <c r="A275" s="13" t="str">
        <f ca="1"/>
        <v>0xD180</v>
      </c>
      <c r="B275" s="14" t="str">
        <f ca="1"/>
        <v>FlushBurstPrioritize</v>
      </c>
      <c r="D275" s="8" t="str">
        <f ca="1"/>
        <v>FlushBurstPrioritize</v>
      </c>
      <c r="E275" s="8" t="str">
        <f ca="1"/>
        <v>FlushBurstPrioritize</v>
      </c>
      <c r="F275" s="8" t="str">
        <f ca="1"/>
        <v/>
      </c>
      <c r="G275" s="8" t="str">
        <f ca="1"/>
        <v/>
      </c>
      <c r="H275" s="7" t="str">
        <f ca="1"/>
        <v/>
      </c>
      <c r="I275" s="7" t="str">
        <f ca="1"/>
        <v/>
      </c>
      <c r="J275" s="7" t="str">
        <f ca="1"/>
        <v/>
      </c>
      <c r="K275" s="7" t="str">
        <f ca="1"/>
        <v/>
      </c>
      <c r="L275" s="7" t="str">
        <f ca="1"/>
        <v>FlushBurstPrioritize</v>
      </c>
      <c r="M275" s="7" t="str">
        <f ca="1"/>
        <v/>
      </c>
      <c r="N275" s="7" t="str">
        <f ca="1"/>
        <v/>
      </c>
      <c r="O275" s="7" t="str">
        <f ca="1"/>
        <v/>
      </c>
      <c r="P275" s="7" t="str">
        <f ca="1"/>
        <v/>
      </c>
      <c r="Q275" s="7" t="str">
        <f ca="1"/>
        <v/>
      </c>
      <c r="T275" s="7" t="str">
        <f ca="1"/>
        <v>Z8</v>
      </c>
      <c r="U275" s="7" t="str">
        <f ca="1"/>
        <v>0xD239</v>
      </c>
      <c r="V275" s="7" t="str">
        <f ca="1"/>
        <v>ExposureBaseCompHighlight</v>
      </c>
      <c r="X275" s="8" t="s">
        <v>662</v>
      </c>
      <c r="Y275" s="8" t="s">
        <v>660</v>
      </c>
      <c r="Z275" s="8" t="s">
        <v>682</v>
      </c>
      <c r="AA275" s="8" t="s">
        <v>682</v>
      </c>
      <c r="AB275" s="7" t="s">
        <v>706</v>
      </c>
      <c r="AC275" s="7" t="s">
        <v>678</v>
      </c>
      <c r="AD275" s="7" t="s">
        <v>678</v>
      </c>
      <c r="AE275" s="7" t="s">
        <v>684</v>
      </c>
      <c r="AF275" s="7" t="s">
        <v>1664</v>
      </c>
      <c r="AG275" s="7" t="s">
        <v>650</v>
      </c>
      <c r="AH275" s="7" t="s">
        <v>662</v>
      </c>
      <c r="AI275" s="7" t="s">
        <v>692</v>
      </c>
      <c r="AJ275" s="7" t="s">
        <v>646</v>
      </c>
      <c r="AK275" s="7" t="s">
        <v>666</v>
      </c>
    </row>
    <row r="276" spans="1:37" x14ac:dyDescent="0.25">
      <c r="A276" s="13" t="str">
        <f ca="1"/>
        <v>0xD183</v>
      </c>
      <c r="B276" s="14" t="str">
        <f ca="1"/>
        <v>ISOAutoHighLimit</v>
      </c>
      <c r="D276" s="8" t="str">
        <f ca="1"/>
        <v>ISOAutoHighLimit</v>
      </c>
      <c r="E276" s="8" t="str">
        <f ca="1"/>
        <v>ISOAutoHighLimit</v>
      </c>
      <c r="F276" s="8" t="str">
        <f ca="1"/>
        <v>ISOAutoHighLimit</v>
      </c>
      <c r="G276" s="8" t="str">
        <f ca="1"/>
        <v>ISOAutoHighLimit</v>
      </c>
      <c r="H276" s="7" t="str">
        <f ca="1"/>
        <v>ISOAutoHighLimit</v>
      </c>
      <c r="I276" s="7" t="str">
        <f ca="1"/>
        <v>ISOAutoHighLimit</v>
      </c>
      <c r="J276" s="7" t="str">
        <f ca="1"/>
        <v>ISOAutoHighLimit</v>
      </c>
      <c r="K276" s="7" t="str">
        <f ca="1"/>
        <v>ISOAutoHighLimit</v>
      </c>
      <c r="L276" s="7" t="str">
        <f ca="1"/>
        <v>ISOAutoHighLimit</v>
      </c>
      <c r="M276" s="7" t="str">
        <f ca="1"/>
        <v>ISOAutoHighLimit</v>
      </c>
      <c r="N276" s="7" t="str">
        <f ca="1"/>
        <v>ISOAutoHighLimit</v>
      </c>
      <c r="O276" s="7" t="str">
        <f ca="1"/>
        <v>ISOAutoHighLimit</v>
      </c>
      <c r="P276" s="7" t="str">
        <f ca="1"/>
        <v>ISOAutoHighLimit</v>
      </c>
      <c r="Q276" s="7" t="str">
        <f ca="1"/>
        <v>ISOAutoHighLimit</v>
      </c>
      <c r="T276" s="7" t="str">
        <f ca="1"/>
        <v>Z8</v>
      </c>
      <c r="U276" s="7" t="str">
        <f ca="1"/>
        <v>0xD23A</v>
      </c>
      <c r="V276" s="7" t="str">
        <f ca="1"/>
        <v>MovieWhiteBalance</v>
      </c>
      <c r="X276" s="8" t="s">
        <v>663</v>
      </c>
      <c r="Y276" s="8" t="s">
        <v>661</v>
      </c>
      <c r="Z276" s="8" t="s">
        <v>683</v>
      </c>
      <c r="AA276" s="8" t="s">
        <v>683</v>
      </c>
      <c r="AB276" s="7" t="s">
        <v>707</v>
      </c>
      <c r="AC276" s="7" t="s">
        <v>679</v>
      </c>
      <c r="AD276" s="7" t="s">
        <v>679</v>
      </c>
      <c r="AE276" s="7" t="s">
        <v>685</v>
      </c>
      <c r="AF276" s="7" t="s">
        <v>1665</v>
      </c>
      <c r="AG276" s="7" t="s">
        <v>651</v>
      </c>
      <c r="AH276" s="7" t="s">
        <v>663</v>
      </c>
      <c r="AI276" s="7" t="s">
        <v>693</v>
      </c>
      <c r="AJ276" s="7" t="s">
        <v>647</v>
      </c>
      <c r="AK276" s="7" t="s">
        <v>667</v>
      </c>
    </row>
    <row r="277" spans="1:37" x14ac:dyDescent="0.25">
      <c r="A277" s="13" t="str">
        <f ca="1"/>
        <v>0xD184</v>
      </c>
      <c r="B277" s="14" t="str">
        <f ca="1"/>
        <v>DynamicAFArea</v>
      </c>
      <c r="D277" s="8" t="str">
        <f ca="1"/>
        <v/>
      </c>
      <c r="E277" s="8" t="str">
        <f ca="1"/>
        <v/>
      </c>
      <c r="F277" s="8" t="str">
        <f ca="1"/>
        <v/>
      </c>
      <c r="G277" s="8" t="str">
        <f ca="1"/>
        <v/>
      </c>
      <c r="H277" s="7" t="str">
        <f ca="1"/>
        <v/>
      </c>
      <c r="I277" s="7" t="str">
        <f ca="1"/>
        <v/>
      </c>
      <c r="J277" s="7" t="str">
        <f ca="1"/>
        <v/>
      </c>
      <c r="K277" s="7" t="str">
        <f ca="1"/>
        <v/>
      </c>
      <c r="L277" s="7" t="str">
        <f ca="1"/>
        <v/>
      </c>
      <c r="M277" s="7" t="str">
        <f ca="1"/>
        <v/>
      </c>
      <c r="N277" s="7" t="str">
        <f ca="1"/>
        <v/>
      </c>
      <c r="O277" s="7" t="str">
        <f ca="1"/>
        <v/>
      </c>
      <c r="P277" s="7" t="str">
        <f ca="1"/>
        <v>DynamicAFArea</v>
      </c>
      <c r="Q277" s="7" t="str">
        <f ca="1"/>
        <v>DynamicAFArea</v>
      </c>
      <c r="T277" s="7" t="str">
        <f ca="1"/>
        <v>Z8</v>
      </c>
      <c r="U277" s="7" t="str">
        <f ca="1"/>
        <v>0xD23B</v>
      </c>
      <c r="V277" s="7" t="str">
        <f ca="1"/>
        <v>MovieActive</v>
      </c>
      <c r="X277" s="8" t="s">
        <v>664</v>
      </c>
      <c r="Y277" s="8" t="s">
        <v>662</v>
      </c>
      <c r="Z277" s="8" t="s">
        <v>684</v>
      </c>
      <c r="AA277" s="8" t="s">
        <v>684</v>
      </c>
      <c r="AB277" s="7" t="s">
        <v>1208</v>
      </c>
      <c r="AC277" s="7" t="s">
        <v>680</v>
      </c>
      <c r="AD277" s="7" t="s">
        <v>680</v>
      </c>
      <c r="AE277" s="7" t="s">
        <v>688</v>
      </c>
      <c r="AF277" s="7" t="s">
        <v>1666</v>
      </c>
      <c r="AG277" s="7" t="s">
        <v>652</v>
      </c>
      <c r="AH277" s="7" t="s">
        <v>664</v>
      </c>
      <c r="AI277" s="7" t="s">
        <v>694</v>
      </c>
      <c r="AJ277" s="7" t="s">
        <v>648</v>
      </c>
      <c r="AK277" s="7" t="s">
        <v>668</v>
      </c>
    </row>
    <row r="278" spans="1:37" x14ac:dyDescent="0.25">
      <c r="A278" s="13" t="str">
        <f ca="1"/>
        <v>0xD186</v>
      </c>
      <c r="B278" s="14" t="str">
        <f ca="1"/>
        <v>CSpeedHigh</v>
      </c>
      <c r="D278" s="8" t="str">
        <f ca="1"/>
        <v>CSpeedHigh</v>
      </c>
      <c r="E278" s="8" t="str">
        <f ca="1"/>
        <v>CSpeedHigh</v>
      </c>
      <c r="F278" s="8" t="str">
        <f ca="1"/>
        <v/>
      </c>
      <c r="G278" s="8" t="str">
        <f ca="1"/>
        <v/>
      </c>
      <c r="H278" s="7" t="str">
        <f ca="1"/>
        <v/>
      </c>
      <c r="I278" s="7" t="str">
        <f ca="1"/>
        <v/>
      </c>
      <c r="J278" s="7" t="str">
        <f ca="1"/>
        <v/>
      </c>
      <c r="K278" s="7" t="str">
        <f ca="1"/>
        <v/>
      </c>
      <c r="L278" s="7" t="str">
        <f ca="1"/>
        <v>CSpeedHigh</v>
      </c>
      <c r="M278" s="7" t="str">
        <f ca="1"/>
        <v>CSpeedHigh</v>
      </c>
      <c r="N278" s="7" t="str">
        <f ca="1"/>
        <v>CSpeedHigh</v>
      </c>
      <c r="O278" s="7" t="str">
        <f ca="1"/>
        <v>CSpeedHigh</v>
      </c>
      <c r="P278" s="7" t="str">
        <f ca="1"/>
        <v>CSpeedHigh</v>
      </c>
      <c r="Q278" s="7" t="str">
        <f ca="1"/>
        <v>CSpeedHigh</v>
      </c>
      <c r="T278" s="7" t="str">
        <f ca="1"/>
        <v>Z8</v>
      </c>
      <c r="U278" s="7" t="str">
        <f ca="1"/>
        <v>0xD23C</v>
      </c>
      <c r="V278" s="7" t="str">
        <f ca="1"/>
        <v>MovieWbTuneNatural</v>
      </c>
      <c r="X278" s="8" t="s">
        <v>665</v>
      </c>
      <c r="Y278" s="8" t="s">
        <v>663</v>
      </c>
      <c r="Z278" s="8" t="s">
        <v>685</v>
      </c>
      <c r="AA278" s="8" t="s">
        <v>685</v>
      </c>
      <c r="AB278" s="7" t="s">
        <v>1209</v>
      </c>
      <c r="AC278" s="7" t="s">
        <v>681</v>
      </c>
      <c r="AD278" s="7" t="s">
        <v>681</v>
      </c>
      <c r="AE278" s="7" t="s">
        <v>689</v>
      </c>
      <c r="AF278" s="7" t="s">
        <v>1667</v>
      </c>
      <c r="AG278" s="7" t="s">
        <v>653</v>
      </c>
      <c r="AH278" s="7" t="s">
        <v>665</v>
      </c>
      <c r="AI278" s="7" t="s">
        <v>695</v>
      </c>
      <c r="AJ278" s="7" t="s">
        <v>649</v>
      </c>
      <c r="AK278" s="7" t="s">
        <v>669</v>
      </c>
    </row>
    <row r="279" spans="1:37" x14ac:dyDescent="0.25">
      <c r="A279" s="13" t="str">
        <f ca="1"/>
        <v>0xD187</v>
      </c>
      <c r="B279" s="14" t="str">
        <f ca="1"/>
        <v>InformationScreenDisplaySetting</v>
      </c>
      <c r="D279" s="8" t="str">
        <f ca="1"/>
        <v/>
      </c>
      <c r="E279" s="8" t="str">
        <f ca="1"/>
        <v/>
      </c>
      <c r="F279" s="8" t="str">
        <f ca="1"/>
        <v/>
      </c>
      <c r="G279" s="8" t="str">
        <f ca="1"/>
        <v/>
      </c>
      <c r="H279" s="7" t="str">
        <f ca="1"/>
        <v/>
      </c>
      <c r="I279" s="7" t="str">
        <f ca="1"/>
        <v/>
      </c>
      <c r="J279" s="7" t="str">
        <f ca="1"/>
        <v/>
      </c>
      <c r="K279" s="7" t="str">
        <f ca="1"/>
        <v/>
      </c>
      <c r="L279" s="7" t="str">
        <f ca="1"/>
        <v/>
      </c>
      <c r="M279" s="7" t="str">
        <f ca="1"/>
        <v/>
      </c>
      <c r="N279" s="7" t="str">
        <f ca="1"/>
        <v/>
      </c>
      <c r="O279" s="7" t="str">
        <f ca="1"/>
        <v/>
      </c>
      <c r="P279" s="7" t="str">
        <f ca="1"/>
        <v>InformationScreenDisplaySetting</v>
      </c>
      <c r="Q279" s="7" t="str">
        <f ca="1"/>
        <v>InformationScreenDisplaySetting</v>
      </c>
      <c r="T279" s="7" t="str">
        <f ca="1"/>
        <v>Z8</v>
      </c>
      <c r="U279" s="7" t="str">
        <f ca="1"/>
        <v>0xD23D</v>
      </c>
      <c r="V279" s="7" t="str">
        <f ca="1"/>
        <v>MovieAttenuator</v>
      </c>
      <c r="X279" s="8" t="s">
        <v>666</v>
      </c>
      <c r="Y279" s="8" t="s">
        <v>664</v>
      </c>
      <c r="Z279" s="8" t="s">
        <v>688</v>
      </c>
      <c r="AA279" s="8" t="s">
        <v>688</v>
      </c>
      <c r="AB279" s="7" t="s">
        <v>708</v>
      </c>
      <c r="AC279" s="7" t="s">
        <v>682</v>
      </c>
      <c r="AD279" s="7" t="s">
        <v>682</v>
      </c>
      <c r="AE279" s="7" t="s">
        <v>690</v>
      </c>
      <c r="AF279" s="7" t="s">
        <v>1668</v>
      </c>
      <c r="AG279" s="7" t="s">
        <v>1674</v>
      </c>
      <c r="AH279" s="7" t="s">
        <v>666</v>
      </c>
      <c r="AI279" s="7" t="s">
        <v>696</v>
      </c>
      <c r="AJ279" s="7" t="s">
        <v>650</v>
      </c>
      <c r="AK279" s="7" t="s">
        <v>670</v>
      </c>
    </row>
    <row r="280" spans="1:37" x14ac:dyDescent="0.25">
      <c r="A280" s="13" t="str">
        <f ca="1"/>
        <v>0xD189</v>
      </c>
      <c r="B280" s="14" t="str">
        <f ca="1"/>
        <v>PreviewButton</v>
      </c>
      <c r="D280" s="8" t="str">
        <f ca="1"/>
        <v/>
      </c>
      <c r="E280" s="8" t="str">
        <f ca="1"/>
        <v/>
      </c>
      <c r="F280" s="8" t="str">
        <f ca="1"/>
        <v/>
      </c>
      <c r="G280" s="8" t="str">
        <f ca="1"/>
        <v/>
      </c>
      <c r="H280" s="7" t="str">
        <f ca="1"/>
        <v/>
      </c>
      <c r="I280" s="7" t="str">
        <f ca="1"/>
        <v/>
      </c>
      <c r="J280" s="7" t="str">
        <f ca="1"/>
        <v/>
      </c>
      <c r="K280" s="7" t="str">
        <f ca="1"/>
        <v/>
      </c>
      <c r="L280" s="7" t="str">
        <f ca="1"/>
        <v/>
      </c>
      <c r="M280" s="7" t="str">
        <f ca="1"/>
        <v/>
      </c>
      <c r="N280" s="7" t="str">
        <f ca="1"/>
        <v/>
      </c>
      <c r="O280" s="7" t="str">
        <f ca="1"/>
        <v/>
      </c>
      <c r="P280" s="7" t="str">
        <f ca="1"/>
        <v>PreviewButton</v>
      </c>
      <c r="Q280" s="7" t="str">
        <f ca="1"/>
        <v>PreviewButton</v>
      </c>
      <c r="T280" s="7" t="str">
        <f ca="1"/>
        <v>Z8</v>
      </c>
      <c r="U280" s="7" t="str">
        <f ca="1"/>
        <v>0xD23E</v>
      </c>
      <c r="V280" s="7" t="str">
        <f ca="1"/>
        <v>MovieVignetteControl</v>
      </c>
      <c r="X280" s="8" t="s">
        <v>667</v>
      </c>
      <c r="Y280" s="8" t="s">
        <v>665</v>
      </c>
      <c r="Z280" s="8" t="s">
        <v>689</v>
      </c>
      <c r="AA280" s="8" t="s">
        <v>689</v>
      </c>
      <c r="AB280" s="7" t="s">
        <v>1210</v>
      </c>
      <c r="AC280" s="7" t="s">
        <v>683</v>
      </c>
      <c r="AD280" s="7" t="s">
        <v>683</v>
      </c>
      <c r="AE280" s="7" t="s">
        <v>691</v>
      </c>
      <c r="AF280" s="7" t="s">
        <v>1669</v>
      </c>
      <c r="AG280" s="7" t="s">
        <v>1713</v>
      </c>
      <c r="AH280" s="7" t="s">
        <v>667</v>
      </c>
      <c r="AI280" s="7" t="s">
        <v>697</v>
      </c>
      <c r="AJ280" s="7" t="s">
        <v>651</v>
      </c>
      <c r="AK280" s="7" t="s">
        <v>671</v>
      </c>
    </row>
    <row r="281" spans="1:37" x14ac:dyDescent="0.25">
      <c r="A281" s="13" t="str">
        <f ca="1"/>
        <v>0xD18A</v>
      </c>
      <c r="B281" s="14" t="str">
        <f ca="1"/>
        <v>PreviewButton2</v>
      </c>
      <c r="D281" s="8" t="str">
        <f ca="1"/>
        <v/>
      </c>
      <c r="E281" s="8" t="str">
        <f ca="1"/>
        <v/>
      </c>
      <c r="F281" s="8" t="str">
        <f ca="1"/>
        <v/>
      </c>
      <c r="G281" s="8" t="str">
        <f ca="1"/>
        <v/>
      </c>
      <c r="H281" s="7" t="str">
        <f ca="1"/>
        <v/>
      </c>
      <c r="I281" s="7" t="str">
        <f ca="1"/>
        <v/>
      </c>
      <c r="J281" s="7" t="str">
        <f ca="1"/>
        <v/>
      </c>
      <c r="K281" s="7" t="str">
        <f ca="1"/>
        <v/>
      </c>
      <c r="L281" s="7" t="str">
        <f ca="1"/>
        <v/>
      </c>
      <c r="M281" s="7" t="str">
        <f ca="1"/>
        <v/>
      </c>
      <c r="N281" s="7" t="str">
        <f ca="1"/>
        <v/>
      </c>
      <c r="O281" s="7" t="str">
        <f ca="1"/>
        <v/>
      </c>
      <c r="P281" s="7" t="str">
        <f ca="1"/>
        <v>PreviewButton2</v>
      </c>
      <c r="Q281" s="7" t="str">
        <f ca="1"/>
        <v>PreviewButton2</v>
      </c>
      <c r="T281" s="7" t="str">
        <f ca="1"/>
        <v>Z8</v>
      </c>
      <c r="U281" s="7" t="str">
        <f ca="1"/>
        <v>0xD23F</v>
      </c>
      <c r="V281" s="7" t="str">
        <f ca="1"/>
        <v>MovieDiffractionCompensation</v>
      </c>
      <c r="X281" s="8" t="s">
        <v>668</v>
      </c>
      <c r="Y281" s="8" t="s">
        <v>666</v>
      </c>
      <c r="Z281" s="8" t="s">
        <v>690</v>
      </c>
      <c r="AA281" s="8" t="s">
        <v>690</v>
      </c>
      <c r="AB281" s="7" t="s">
        <v>710</v>
      </c>
      <c r="AC281" s="7" t="s">
        <v>684</v>
      </c>
      <c r="AD281" s="7" t="s">
        <v>684</v>
      </c>
      <c r="AE281" s="7" t="s">
        <v>692</v>
      </c>
      <c r="AF281" s="7" t="s">
        <v>1670</v>
      </c>
      <c r="AG281" s="7" t="s">
        <v>1147</v>
      </c>
      <c r="AH281" s="7" t="s">
        <v>668</v>
      </c>
      <c r="AI281" s="7" t="s">
        <v>706</v>
      </c>
      <c r="AJ281" s="7" t="s">
        <v>652</v>
      </c>
      <c r="AK281" s="7" t="s">
        <v>1680</v>
      </c>
    </row>
    <row r="282" spans="1:37" x14ac:dyDescent="0.25">
      <c r="A282" s="13" t="str">
        <f ca="1"/>
        <v>0xD18B</v>
      </c>
      <c r="B282" s="14" t="str">
        <f ca="1"/>
        <v>AEAFLockSetting2</v>
      </c>
      <c r="D282" s="8" t="str">
        <f ca="1"/>
        <v/>
      </c>
      <c r="E282" s="8" t="str">
        <f ca="1"/>
        <v/>
      </c>
      <c r="F282" s="8" t="str">
        <f ca="1"/>
        <v/>
      </c>
      <c r="G282" s="8" t="str">
        <f ca="1"/>
        <v/>
      </c>
      <c r="H282" s="7" t="str">
        <f ca="1"/>
        <v/>
      </c>
      <c r="I282" s="7" t="str">
        <f ca="1"/>
        <v/>
      </c>
      <c r="J282" s="7" t="str">
        <f ca="1"/>
        <v/>
      </c>
      <c r="K282" s="7" t="str">
        <f ca="1"/>
        <v/>
      </c>
      <c r="L282" s="7" t="str">
        <f ca="1"/>
        <v/>
      </c>
      <c r="M282" s="7" t="str">
        <f ca="1"/>
        <v/>
      </c>
      <c r="N282" s="7" t="str">
        <f ca="1"/>
        <v/>
      </c>
      <c r="O282" s="7" t="str">
        <f ca="1"/>
        <v/>
      </c>
      <c r="P282" s="7" t="str">
        <f ca="1"/>
        <v>AEAFLockSetting2</v>
      </c>
      <c r="Q282" s="7" t="str">
        <f ca="1"/>
        <v>AEAFLockSetting</v>
      </c>
      <c r="T282" s="7" t="str">
        <f ca="1"/>
        <v>Z8</v>
      </c>
      <c r="U282" s="7" t="str">
        <f ca="1"/>
        <v>0xD303</v>
      </c>
      <c r="V282" s="7" t="str">
        <f ca="1"/>
        <v>UseDeviceStageFlag</v>
      </c>
      <c r="X282" s="8" t="s">
        <v>669</v>
      </c>
      <c r="Y282" s="8" t="s">
        <v>667</v>
      </c>
      <c r="Z282" s="8" t="s">
        <v>691</v>
      </c>
      <c r="AA282" s="8" t="s">
        <v>691</v>
      </c>
      <c r="AB282" s="7" t="s">
        <v>711</v>
      </c>
      <c r="AC282" s="7" t="s">
        <v>685</v>
      </c>
      <c r="AD282" s="7" t="s">
        <v>685</v>
      </c>
      <c r="AE282" s="7" t="s">
        <v>693</v>
      </c>
      <c r="AF282" s="7" t="s">
        <v>1671</v>
      </c>
      <c r="AG282" s="7" t="s">
        <v>1714</v>
      </c>
      <c r="AH282" s="7" t="s">
        <v>669</v>
      </c>
      <c r="AI282" s="7" t="s">
        <v>707</v>
      </c>
      <c r="AJ282" s="7" t="s">
        <v>653</v>
      </c>
      <c r="AK282" s="7" t="s">
        <v>1681</v>
      </c>
    </row>
    <row r="283" spans="1:37" x14ac:dyDescent="0.25">
      <c r="A283" s="13" t="str">
        <f ca="1"/>
        <v>0xD18D</v>
      </c>
      <c r="B283" s="14" t="str">
        <f ca="1"/>
        <v>IndicatorDisplay</v>
      </c>
      <c r="D283" s="8" t="str">
        <f ca="1"/>
        <v/>
      </c>
      <c r="E283" s="8" t="str">
        <f ca="1"/>
        <v/>
      </c>
      <c r="F283" s="8" t="str">
        <f ca="1"/>
        <v/>
      </c>
      <c r="G283" s="8" t="str">
        <f ca="1"/>
        <v/>
      </c>
      <c r="H283" s="7" t="str">
        <f ca="1"/>
        <v/>
      </c>
      <c r="I283" s="7" t="str">
        <f ca="1"/>
        <v/>
      </c>
      <c r="J283" s="7" t="str">
        <f ca="1"/>
        <v/>
      </c>
      <c r="K283" s="7" t="str">
        <f ca="1"/>
        <v/>
      </c>
      <c r="L283" s="7" t="str">
        <f ca="1"/>
        <v/>
      </c>
      <c r="M283" s="7" t="str">
        <f ca="1"/>
        <v/>
      </c>
      <c r="N283" s="7" t="str">
        <f ca="1"/>
        <v/>
      </c>
      <c r="O283" s="7" t="str">
        <f ca="1"/>
        <v/>
      </c>
      <c r="P283" s="7" t="str">
        <f ca="1"/>
        <v>IndicatorDisplay</v>
      </c>
      <c r="Q283" s="7" t="str">
        <f ca="1"/>
        <v>IndicatorDisplay</v>
      </c>
      <c r="T283" s="7" t="str">
        <f ca="1"/>
        <v>Z8</v>
      </c>
      <c r="U283" s="7" t="str">
        <f ca="1"/>
        <v>0xD314</v>
      </c>
      <c r="V283" s="7" t="str">
        <f ca="1"/>
        <v>ElectronicVR</v>
      </c>
      <c r="X283" s="8" t="s">
        <v>670</v>
      </c>
      <c r="Y283" s="8" t="s">
        <v>668</v>
      </c>
      <c r="Z283" s="8" t="s">
        <v>692</v>
      </c>
      <c r="AA283" s="8" t="s">
        <v>692</v>
      </c>
      <c r="AB283" s="7" t="s">
        <v>712</v>
      </c>
      <c r="AC283" s="7" t="s">
        <v>688</v>
      </c>
      <c r="AD283" s="7" t="s">
        <v>688</v>
      </c>
      <c r="AE283" s="7" t="s">
        <v>694</v>
      </c>
      <c r="AF283" s="7" t="s">
        <v>1672</v>
      </c>
      <c r="AG283" s="7" t="s">
        <v>656</v>
      </c>
      <c r="AH283" s="7" t="s">
        <v>670</v>
      </c>
      <c r="AI283" s="7" t="s">
        <v>1208</v>
      </c>
      <c r="AJ283" s="7" t="s">
        <v>660</v>
      </c>
      <c r="AK283" s="7" t="s">
        <v>672</v>
      </c>
    </row>
    <row r="284" spans="1:37" x14ac:dyDescent="0.25">
      <c r="A284" s="13" t="str">
        <f ca="1"/>
        <v>0xD190</v>
      </c>
      <c r="B284" s="14" t="str">
        <f ca="1"/>
        <v>BracketingBurstOptions</v>
      </c>
      <c r="D284" s="8" t="str">
        <f ca="1"/>
        <v/>
      </c>
      <c r="E284" s="8" t="str">
        <f ca="1"/>
        <v/>
      </c>
      <c r="F284" s="8" t="str">
        <f ca="1"/>
        <v/>
      </c>
      <c r="G284" s="8" t="str">
        <f ca="1"/>
        <v/>
      </c>
      <c r="H284" s="7" t="str">
        <f ca="1"/>
        <v/>
      </c>
      <c r="I284" s="7" t="str">
        <f ca="1"/>
        <v/>
      </c>
      <c r="J284" s="7" t="str">
        <f ca="1"/>
        <v/>
      </c>
      <c r="K284" s="7" t="str">
        <f ca="1"/>
        <v/>
      </c>
      <c r="L284" s="7" t="str">
        <f ca="1"/>
        <v>BracketingBurstOptions</v>
      </c>
      <c r="M284" s="7" t="str">
        <f ca="1"/>
        <v/>
      </c>
      <c r="N284" s="7" t="str">
        <f ca="1"/>
        <v/>
      </c>
      <c r="O284" s="7" t="str">
        <f ca="1"/>
        <v/>
      </c>
      <c r="P284" s="7" t="str">
        <f ca="1"/>
        <v/>
      </c>
      <c r="Q284" s="7" t="str">
        <f ca="1"/>
        <v/>
      </c>
      <c r="T284" s="7" t="str">
        <f ca="1"/>
        <v>Z8</v>
      </c>
      <c r="U284" s="7" t="str">
        <f ca="1"/>
        <v>0xD406</v>
      </c>
      <c r="V284" s="7" t="str">
        <f ca="1"/>
        <v>SessionInitiatorVersionInfo</v>
      </c>
      <c r="X284" s="8" t="s">
        <v>671</v>
      </c>
      <c r="Y284" s="8" t="s">
        <v>669</v>
      </c>
      <c r="Z284" s="8" t="s">
        <v>693</v>
      </c>
      <c r="AA284" s="8" t="s">
        <v>693</v>
      </c>
      <c r="AB284" s="7" t="s">
        <v>713</v>
      </c>
      <c r="AC284" s="7" t="s">
        <v>689</v>
      </c>
      <c r="AD284" s="7" t="s">
        <v>689</v>
      </c>
      <c r="AE284" s="7" t="s">
        <v>695</v>
      </c>
      <c r="AF284" s="7" t="s">
        <v>1673</v>
      </c>
      <c r="AG284" s="7" t="s">
        <v>657</v>
      </c>
      <c r="AH284" s="7" t="s">
        <v>671</v>
      </c>
      <c r="AI284" s="7" t="s">
        <v>1209</v>
      </c>
      <c r="AJ284" s="7" t="s">
        <v>661</v>
      </c>
      <c r="AK284" s="7" t="s">
        <v>673</v>
      </c>
    </row>
    <row r="285" spans="1:37" x14ac:dyDescent="0.25">
      <c r="A285" s="13" t="str">
        <f ca="1"/>
        <v>0xD197</v>
      </c>
      <c r="B285" s="14" t="str">
        <f ca="1"/>
        <v>MovieReleaseButton</v>
      </c>
      <c r="D285" s="8" t="str">
        <f ca="1"/>
        <v/>
      </c>
      <c r="E285" s="8" t="str">
        <f ca="1"/>
        <v/>
      </c>
      <c r="F285" s="8" t="str">
        <f ca="1"/>
        <v>MovieReleaseButton</v>
      </c>
      <c r="G285" s="8" t="str">
        <f ca="1"/>
        <v>MovieReleaseButton</v>
      </c>
      <c r="H285" s="7" t="str">
        <f ca="1"/>
        <v/>
      </c>
      <c r="I285" s="7" t="str">
        <f ca="1"/>
        <v>MovieReleaseButton</v>
      </c>
      <c r="J285" s="7" t="str">
        <f ca="1"/>
        <v>MovieReleaseButton</v>
      </c>
      <c r="K285" s="7" t="str">
        <f ca="1"/>
        <v>MovieReleaseButton</v>
      </c>
      <c r="L285" s="7" t="str">
        <f ca="1"/>
        <v>MovieReleaseButton</v>
      </c>
      <c r="M285" s="7" t="str">
        <f ca="1"/>
        <v>MovieReleaseButton</v>
      </c>
      <c r="N285" s="7" t="str">
        <f ca="1"/>
        <v>MovieReleaseButton</v>
      </c>
      <c r="O285" s="7" t="str">
        <f ca="1"/>
        <v>MovieReleaseButton</v>
      </c>
      <c r="P285" s="7" t="str">
        <f ca="1"/>
        <v/>
      </c>
      <c r="Q285" s="7" t="str">
        <f ca="1"/>
        <v/>
      </c>
      <c r="T285" s="7" t="str">
        <f ca="1"/>
        <v>Z8</v>
      </c>
      <c r="U285" s="7" t="str">
        <f ca="1"/>
        <v>0xD407</v>
      </c>
      <c r="V285" s="7" t="str">
        <f ca="1"/>
        <v>PerceivedDeviceType</v>
      </c>
      <c r="X285" s="8" t="s">
        <v>672</v>
      </c>
      <c r="Y285" s="8" t="s">
        <v>670</v>
      </c>
      <c r="Z285" s="8" t="s">
        <v>694</v>
      </c>
      <c r="AA285" s="8" t="s">
        <v>694</v>
      </c>
      <c r="AB285" s="7" t="s">
        <v>714</v>
      </c>
      <c r="AC285" s="7" t="s">
        <v>690</v>
      </c>
      <c r="AD285" s="7" t="s">
        <v>690</v>
      </c>
      <c r="AE285" s="7" t="s">
        <v>696</v>
      </c>
      <c r="AF285" s="7" t="s">
        <v>1674</v>
      </c>
      <c r="AG285" s="7" t="s">
        <v>658</v>
      </c>
      <c r="AH285" s="7" t="s">
        <v>1680</v>
      </c>
      <c r="AI285" s="7" t="s">
        <v>708</v>
      </c>
      <c r="AJ285" s="7" t="s">
        <v>662</v>
      </c>
      <c r="AK285" s="7" t="s">
        <v>1824</v>
      </c>
    </row>
    <row r="286" spans="1:37" x14ac:dyDescent="0.25">
      <c r="A286" s="13" t="str">
        <f ca="1"/>
        <v>0xD199</v>
      </c>
      <c r="B286" s="14" t="str">
        <f ca="1"/>
        <v>FlashISOAutoHighLimit</v>
      </c>
      <c r="D286" s="8" t="str">
        <f ca="1"/>
        <v>FlashISOAutoHighLimit</v>
      </c>
      <c r="E286" s="8" t="str">
        <f ca="1"/>
        <v>FlashISOAutoHighLimit</v>
      </c>
      <c r="F286" s="8" t="str">
        <f ca="1"/>
        <v>FlashISOAutoHighLimit</v>
      </c>
      <c r="G286" s="8" t="str">
        <f ca="1"/>
        <v>FlashISOAutoHighLimit</v>
      </c>
      <c r="H286" s="7" t="str">
        <f ca="1"/>
        <v>FlashISOAutoHighLimit</v>
      </c>
      <c r="I286" s="7" t="str">
        <f ca="1"/>
        <v>FlashISOAutoHighLimit</v>
      </c>
      <c r="J286" s="7" t="str">
        <f ca="1"/>
        <v>FlashISOAutoHighLimit</v>
      </c>
      <c r="K286" s="7" t="str">
        <f ca="1"/>
        <v>FlashISOAutoHighLimit</v>
      </c>
      <c r="L286" s="7" t="str">
        <f ca="1"/>
        <v>FlashISOAutoHighLimit</v>
      </c>
      <c r="M286" s="7" t="str">
        <f ca="1"/>
        <v>FlashISOAutoHighLimit</v>
      </c>
      <c r="N286" s="7" t="str">
        <f ca="1"/>
        <v/>
      </c>
      <c r="O286" s="7" t="str">
        <f ca="1"/>
        <v/>
      </c>
      <c r="P286" s="7" t="str">
        <f ca="1"/>
        <v/>
      </c>
      <c r="Q286" s="7" t="str">
        <f ca="1"/>
        <v/>
      </c>
      <c r="T286" s="7" t="str">
        <f ca="1"/>
        <v>Z8</v>
      </c>
      <c r="U286" s="7" t="str">
        <f ca="1"/>
        <v>0x0001D000</v>
      </c>
      <c r="V286" s="7" t="str">
        <f ca="1"/>
        <v>MovieProResToneMode</v>
      </c>
      <c r="X286" s="8" t="s">
        <v>673</v>
      </c>
      <c r="Y286" s="8" t="s">
        <v>671</v>
      </c>
      <c r="Z286" s="8" t="s">
        <v>695</v>
      </c>
      <c r="AA286" s="8" t="s">
        <v>695</v>
      </c>
      <c r="AB286" s="7" t="s">
        <v>715</v>
      </c>
      <c r="AC286" s="7" t="s">
        <v>691</v>
      </c>
      <c r="AD286" s="7" t="s">
        <v>691</v>
      </c>
      <c r="AE286" s="7" t="s">
        <v>697</v>
      </c>
      <c r="AF286" s="7" t="s">
        <v>1675</v>
      </c>
      <c r="AG286" s="7" t="s">
        <v>659</v>
      </c>
      <c r="AH286" s="7" t="s">
        <v>1681</v>
      </c>
      <c r="AI286" s="7" t="s">
        <v>1210</v>
      </c>
      <c r="AJ286" s="7" t="s">
        <v>663</v>
      </c>
      <c r="AK286" s="7" t="s">
        <v>1825</v>
      </c>
    </row>
    <row r="287" spans="1:37" x14ac:dyDescent="0.25">
      <c r="A287" s="13" t="str">
        <f ca="1"/>
        <v>0xD1A0</v>
      </c>
      <c r="B287" s="14" t="str">
        <f ca="1"/>
        <v>LiveViewMode</v>
      </c>
      <c r="D287" s="8" t="str">
        <f ca="1"/>
        <v/>
      </c>
      <c r="E287" s="8" t="str">
        <f ca="1"/>
        <v/>
      </c>
      <c r="F287" s="8" t="str">
        <f ca="1"/>
        <v/>
      </c>
      <c r="G287" s="8" t="str">
        <f ca="1"/>
        <v/>
      </c>
      <c r="H287" s="7" t="str">
        <f ca="1"/>
        <v/>
      </c>
      <c r="I287" s="7" t="str">
        <f ca="1"/>
        <v/>
      </c>
      <c r="J287" s="7" t="str">
        <f ca="1"/>
        <v/>
      </c>
      <c r="K287" s="7" t="str">
        <f ca="1"/>
        <v/>
      </c>
      <c r="L287" s="7" t="str">
        <f ca="1"/>
        <v/>
      </c>
      <c r="M287" s="7" t="str">
        <f ca="1"/>
        <v/>
      </c>
      <c r="N287" s="7" t="str">
        <f ca="1"/>
        <v/>
      </c>
      <c r="O287" s="7" t="str">
        <f ca="1"/>
        <v/>
      </c>
      <c r="P287" s="7" t="str">
        <f ca="1"/>
        <v>LiveViewMode</v>
      </c>
      <c r="Q287" s="7" t="str">
        <f ca="1"/>
        <v>LiveViewMode</v>
      </c>
      <c r="T287" s="7" t="str">
        <f ca="1"/>
        <v>Z8</v>
      </c>
      <c r="U287" s="7" t="str">
        <f ca="1"/>
        <v>0x0001D001</v>
      </c>
      <c r="V287" s="7" t="str">
        <f ca="1"/>
        <v>MovieH265ToneMode</v>
      </c>
      <c r="X287" s="8" t="s">
        <v>674</v>
      </c>
      <c r="Y287" s="8" t="s">
        <v>672</v>
      </c>
      <c r="Z287" s="8" t="s">
        <v>696</v>
      </c>
      <c r="AA287" s="8" t="s">
        <v>696</v>
      </c>
      <c r="AB287" s="7" t="s">
        <v>1211</v>
      </c>
      <c r="AC287" s="7" t="s">
        <v>692</v>
      </c>
      <c r="AD287" s="7" t="s">
        <v>692</v>
      </c>
      <c r="AE287" s="7" t="s">
        <v>698</v>
      </c>
      <c r="AF287" s="7" t="s">
        <v>1147</v>
      </c>
      <c r="AG287" s="7" t="s">
        <v>660</v>
      </c>
      <c r="AH287" s="7" t="s">
        <v>672</v>
      </c>
      <c r="AI287" s="7" t="s">
        <v>714</v>
      </c>
      <c r="AJ287" s="7" t="s">
        <v>664</v>
      </c>
      <c r="AK287" s="7" t="s">
        <v>674</v>
      </c>
    </row>
    <row r="288" spans="1:37" x14ac:dyDescent="0.25">
      <c r="A288" s="13" t="str">
        <f ca="1"/>
        <v>0xD1A1</v>
      </c>
      <c r="B288" s="14" t="str">
        <f ca="1"/>
        <v>LiveViewStillCaptureMode</v>
      </c>
      <c r="D288" s="8" t="str">
        <f ca="1"/>
        <v/>
      </c>
      <c r="E288" s="8" t="str">
        <f ca="1"/>
        <v/>
      </c>
      <c r="F288" s="8" t="str">
        <f ca="1"/>
        <v/>
      </c>
      <c r="G288" s="8" t="str">
        <f ca="1"/>
        <v/>
      </c>
      <c r="H288" s="7" t="str">
        <f ca="1"/>
        <v/>
      </c>
      <c r="I288" s="7" t="str">
        <f ca="1"/>
        <v/>
      </c>
      <c r="J288" s="7" t="str">
        <f ca="1"/>
        <v/>
      </c>
      <c r="K288" s="7" t="str">
        <f ca="1"/>
        <v/>
      </c>
      <c r="L288" s="7" t="str">
        <f ca="1"/>
        <v/>
      </c>
      <c r="M288" s="7" t="str">
        <f ca="1"/>
        <v/>
      </c>
      <c r="N288" s="7" t="str">
        <f ca="1"/>
        <v/>
      </c>
      <c r="O288" s="7" t="str">
        <f ca="1"/>
        <v/>
      </c>
      <c r="P288" s="7" t="str">
        <f ca="1"/>
        <v>LiveViewStillCaptureMode</v>
      </c>
      <c r="Q288" s="7" t="str">
        <f ca="1"/>
        <v>LiveViewStillCaptureMode</v>
      </c>
      <c r="T288" s="7" t="str">
        <f ca="1"/>
        <v>Z8</v>
      </c>
      <c r="U288" s="7" t="str">
        <f ca="1"/>
        <v>0x0001D002</v>
      </c>
      <c r="V288" s="7" t="str">
        <f ca="1"/>
        <v>SpecialShootingMode</v>
      </c>
      <c r="X288" s="8" t="s">
        <v>675</v>
      </c>
      <c r="Y288" s="8" t="s">
        <v>673</v>
      </c>
      <c r="Z288" s="8" t="s">
        <v>697</v>
      </c>
      <c r="AA288" s="8" t="s">
        <v>697</v>
      </c>
      <c r="AB288" s="7" t="s">
        <v>1212</v>
      </c>
      <c r="AC288" s="7" t="s">
        <v>693</v>
      </c>
      <c r="AD288" s="7" t="s">
        <v>693</v>
      </c>
      <c r="AE288" s="7" t="s">
        <v>699</v>
      </c>
      <c r="AF288" s="7" t="s">
        <v>1148</v>
      </c>
      <c r="AG288" s="7" t="s">
        <v>661</v>
      </c>
      <c r="AH288" s="7" t="s">
        <v>673</v>
      </c>
      <c r="AI288" s="7" t="s">
        <v>1738</v>
      </c>
      <c r="AJ288" s="7" t="s">
        <v>665</v>
      </c>
      <c r="AK288" s="7" t="s">
        <v>675</v>
      </c>
    </row>
    <row r="289" spans="1:37" x14ac:dyDescent="0.25">
      <c r="A289" s="13" t="str">
        <f ca="1"/>
        <v>0xD1A2</v>
      </c>
      <c r="B289" s="14" t="str">
        <f ca="1"/>
        <v>RemoteLiveViewStatus</v>
      </c>
      <c r="D289" s="8" t="str">
        <f ca="1"/>
        <v>RemoteLiveViewStatus</v>
      </c>
      <c r="E289" s="8" t="str">
        <f ca="1"/>
        <v>RemoteLiveViewStatus</v>
      </c>
      <c r="F289" s="8" t="str">
        <f ca="1"/>
        <v>RemoteLiveViewStatus</v>
      </c>
      <c r="G289" s="8" t="str">
        <f ca="1"/>
        <v>RemoteLiveViewStatus</v>
      </c>
      <c r="H289" s="7" t="str">
        <f ca="1"/>
        <v>RemoteLiveViewStatus</v>
      </c>
      <c r="I289" s="7" t="str">
        <f ca="1"/>
        <v>RemoteLiveViewStatus</v>
      </c>
      <c r="J289" s="7" t="str">
        <f ca="1"/>
        <v>RemoteLiveViewStatus</v>
      </c>
      <c r="K289" s="7" t="str">
        <f ca="1"/>
        <v>RemoteLiveViewStatus</v>
      </c>
      <c r="L289" s="7" t="str">
        <f ca="1"/>
        <v>RemoteLiveViewStatus</v>
      </c>
      <c r="M289" s="7" t="str">
        <f ca="1"/>
        <v>LiveViewStatus</v>
      </c>
      <c r="N289" s="7" t="str">
        <f ca="1"/>
        <v>LiveViewStatus</v>
      </c>
      <c r="O289" s="7" t="str">
        <f ca="1"/>
        <v>LiveViewStatus</v>
      </c>
      <c r="P289" s="7" t="str">
        <f ca="1"/>
        <v>LiveViewStatus</v>
      </c>
      <c r="Q289" s="7" t="str">
        <f ca="1"/>
        <v>LiveViewStatus</v>
      </c>
      <c r="T289" s="7" t="str">
        <f ca="1"/>
        <v>Z8</v>
      </c>
      <c r="U289" s="7" t="str">
        <f ca="1"/>
        <v>0x0001D005</v>
      </c>
      <c r="V289" s="7" t="str">
        <f ca="1"/>
        <v>AFSubjectDetection</v>
      </c>
      <c r="X289" s="8" t="s">
        <v>676</v>
      </c>
      <c r="Y289" s="8" t="s">
        <v>674</v>
      </c>
      <c r="Z289" s="8" t="s">
        <v>698</v>
      </c>
      <c r="AA289" s="8" t="s">
        <v>698</v>
      </c>
      <c r="AB289" s="7" t="s">
        <v>718</v>
      </c>
      <c r="AC289" s="7" t="s">
        <v>694</v>
      </c>
      <c r="AD289" s="7" t="s">
        <v>694</v>
      </c>
      <c r="AE289" s="7" t="s">
        <v>700</v>
      </c>
      <c r="AF289" s="7" t="s">
        <v>656</v>
      </c>
      <c r="AG289" s="7" t="s">
        <v>662</v>
      </c>
      <c r="AH289" s="7" t="s">
        <v>674</v>
      </c>
      <c r="AI289" s="7" t="s">
        <v>716</v>
      </c>
      <c r="AJ289" s="7" t="s">
        <v>1736</v>
      </c>
      <c r="AK289" s="7" t="s">
        <v>676</v>
      </c>
    </row>
    <row r="290" spans="1:37" x14ac:dyDescent="0.25">
      <c r="A290" s="13" t="str">
        <f ca="1"/>
        <v>0xD1A3</v>
      </c>
      <c r="B290" s="14" t="str">
        <f ca="1"/>
        <v>LiveViewImageZoomRatio</v>
      </c>
      <c r="D290" s="8" t="str">
        <f ca="1"/>
        <v/>
      </c>
      <c r="E290" s="8" t="str">
        <f ca="1"/>
        <v/>
      </c>
      <c r="F290" s="8" t="str">
        <f ca="1"/>
        <v/>
      </c>
      <c r="G290" s="8" t="str">
        <f ca="1"/>
        <v/>
      </c>
      <c r="H290" s="7" t="str">
        <f ca="1"/>
        <v/>
      </c>
      <c r="I290" s="7" t="str">
        <f ca="1"/>
        <v/>
      </c>
      <c r="J290" s="7" t="str">
        <f ca="1"/>
        <v/>
      </c>
      <c r="K290" s="7" t="str">
        <f ca="1"/>
        <v/>
      </c>
      <c r="L290" s="7" t="str">
        <f ca="1"/>
        <v/>
      </c>
      <c r="M290" s="7" t="str">
        <f ca="1"/>
        <v>LiveViewImageZoomRatio</v>
      </c>
      <c r="N290" s="7" t="str">
        <f ca="1"/>
        <v>LiveViewImageZoomRatio</v>
      </c>
      <c r="O290" s="7" t="str">
        <f ca="1"/>
        <v>LiveViewImageZoomRatio</v>
      </c>
      <c r="P290" s="7" t="str">
        <f ca="1"/>
        <v>LiveViewImageZoomRatio</v>
      </c>
      <c r="Q290" s="7" t="str">
        <f ca="1"/>
        <v>LiveViewImageZoomRatio</v>
      </c>
      <c r="T290" s="7" t="str">
        <f ca="1"/>
        <v>Z8</v>
      </c>
      <c r="U290" s="7" t="str">
        <f ca="1"/>
        <v>0x0001D006</v>
      </c>
      <c r="V290" s="7" t="str">
        <f ca="1"/>
        <v>MovieAFSubjectDetection</v>
      </c>
      <c r="X290" s="8" t="s">
        <v>677</v>
      </c>
      <c r="Y290" s="8" t="s">
        <v>675</v>
      </c>
      <c r="Z290" s="8" t="s">
        <v>699</v>
      </c>
      <c r="AA290" s="8" t="s">
        <v>699</v>
      </c>
      <c r="AB290" s="7" t="s">
        <v>719</v>
      </c>
      <c r="AC290" s="7" t="s">
        <v>695</v>
      </c>
      <c r="AD290" s="7" t="s">
        <v>695</v>
      </c>
      <c r="AE290" s="7" t="s">
        <v>701</v>
      </c>
      <c r="AF290" s="7" t="s">
        <v>657</v>
      </c>
      <c r="AG290" s="7" t="s">
        <v>663</v>
      </c>
      <c r="AH290" s="7" t="s">
        <v>675</v>
      </c>
      <c r="AI290" s="7" t="s">
        <v>717</v>
      </c>
      <c r="AJ290" s="7" t="s">
        <v>1737</v>
      </c>
      <c r="AK290" s="7" t="s">
        <v>677</v>
      </c>
    </row>
    <row r="291" spans="1:37" x14ac:dyDescent="0.25">
      <c r="A291" s="13" t="str">
        <f ca="1"/>
        <v>0xD1A4</v>
      </c>
      <c r="B291" s="14" t="str">
        <f ca="1"/>
        <v>LiveViewProhibitionCondition</v>
      </c>
      <c r="D291" s="8" t="str">
        <f ca="1"/>
        <v>LiveViewProhibitionCondition</v>
      </c>
      <c r="E291" s="8" t="str">
        <f ca="1"/>
        <v>LiveViewProhibitionCondition</v>
      </c>
      <c r="F291" s="8" t="str">
        <f ca="1"/>
        <v>LiveViewProhibitionCondition</v>
      </c>
      <c r="G291" s="8" t="str">
        <f ca="1"/>
        <v>LiveViewProhibitionCondition</v>
      </c>
      <c r="H291" s="7" t="str">
        <f ca="1"/>
        <v>LiveViewProhibitionCondition</v>
      </c>
      <c r="I291" s="7" t="str">
        <f ca="1"/>
        <v>LiveViewProhibitionCondition</v>
      </c>
      <c r="J291" s="7" t="str">
        <f ca="1"/>
        <v>LiveViewProhibitionCondition</v>
      </c>
      <c r="K291" s="7" t="str">
        <f ca="1"/>
        <v>LiveViewProhibitionCondition</v>
      </c>
      <c r="L291" s="7" t="str">
        <f ca="1"/>
        <v>LiveViewProhibitionCondition</v>
      </c>
      <c r="M291" s="7" t="str">
        <f ca="1"/>
        <v>LiveViewProhibitionCondition</v>
      </c>
      <c r="N291" s="7" t="str">
        <f ca="1"/>
        <v>LiveViewProhibitionCondition</v>
      </c>
      <c r="O291" s="7" t="str">
        <f ca="1"/>
        <v>LiveViewProhibitionCondition</v>
      </c>
      <c r="P291" s="7" t="str">
        <f ca="1"/>
        <v>LiveViewProhibitionCondition</v>
      </c>
      <c r="Q291" s="7" t="str">
        <f ca="1"/>
        <v>LiveViewProhibitionCondition</v>
      </c>
      <c r="T291" s="7" t="str">
        <f ca="1"/>
        <v>Z8</v>
      </c>
      <c r="U291" s="7" t="str">
        <f ca="1"/>
        <v>0x0001D007</v>
      </c>
      <c r="V291" s="7" t="str">
        <f ca="1"/>
        <v>ViewModeEaseOfViewing</v>
      </c>
      <c r="X291" s="8" t="s">
        <v>678</v>
      </c>
      <c r="Y291" s="8" t="s">
        <v>676</v>
      </c>
      <c r="Z291" s="8" t="s">
        <v>700</v>
      </c>
      <c r="AA291" s="8" t="s">
        <v>700</v>
      </c>
      <c r="AB291" s="7" t="s">
        <v>720</v>
      </c>
      <c r="AC291" s="7" t="s">
        <v>696</v>
      </c>
      <c r="AD291" s="7" t="s">
        <v>696</v>
      </c>
      <c r="AE291" s="7" t="s">
        <v>702</v>
      </c>
      <c r="AF291" s="7" t="s">
        <v>658</v>
      </c>
      <c r="AG291" s="7" t="s">
        <v>664</v>
      </c>
      <c r="AH291" s="7" t="s">
        <v>678</v>
      </c>
      <c r="AI291" s="7" t="s">
        <v>1211</v>
      </c>
      <c r="AJ291" s="7" t="s">
        <v>666</v>
      </c>
      <c r="AK291" s="7" t="s">
        <v>1826</v>
      </c>
    </row>
    <row r="292" spans="1:37" x14ac:dyDescent="0.25">
      <c r="A292" s="13" t="str">
        <f ca="1"/>
        <v>0xD1A5</v>
      </c>
      <c r="B292" s="14" t="str">
        <f ca="1"/>
        <v>LiveViewExposurePreview</v>
      </c>
      <c r="D292" s="8" t="str">
        <f ca="1"/>
        <v/>
      </c>
      <c r="E292" s="8" t="str">
        <f ca="1"/>
        <v/>
      </c>
      <c r="F292" s="8" t="str">
        <f ca="1"/>
        <v/>
      </c>
      <c r="G292" s="8" t="str">
        <f ca="1"/>
        <v/>
      </c>
      <c r="H292" s="7" t="str">
        <f ca="1"/>
        <v/>
      </c>
      <c r="I292" s="7" t="str">
        <f ca="1"/>
        <v/>
      </c>
      <c r="J292" s="7" t="str">
        <f ca="1"/>
        <v/>
      </c>
      <c r="K292" s="7" t="str">
        <f ca="1"/>
        <v/>
      </c>
      <c r="L292" s="7" t="str">
        <f ca="1"/>
        <v>LiveViewExposurePreview</v>
      </c>
      <c r="M292" s="7" t="str">
        <f ca="1"/>
        <v>LiveViewExposurePreview</v>
      </c>
      <c r="N292" s="7" t="str">
        <f ca="1"/>
        <v>LiveViewExposurePreview</v>
      </c>
      <c r="O292" s="7" t="str">
        <f ca="1"/>
        <v>LiveViewExposurePreview</v>
      </c>
      <c r="P292" s="7" t="str">
        <f ca="1"/>
        <v/>
      </c>
      <c r="Q292" s="7" t="str">
        <f ca="1"/>
        <v/>
      </c>
      <c r="T292" s="7" t="str">
        <f ca="1"/>
        <v>Z8</v>
      </c>
      <c r="U292" s="7" t="str">
        <f ca="1"/>
        <v>0x0001D008</v>
      </c>
      <c r="V292" s="7" t="str">
        <f ca="1"/>
        <v>ViewModeWhiteBalance</v>
      </c>
      <c r="X292" s="8" t="s">
        <v>679</v>
      </c>
      <c r="Y292" s="8" t="s">
        <v>677</v>
      </c>
      <c r="Z292" s="8" t="s">
        <v>701</v>
      </c>
      <c r="AA292" s="8" t="s">
        <v>701</v>
      </c>
      <c r="AB292" s="7" t="s">
        <v>721</v>
      </c>
      <c r="AC292" s="7" t="s">
        <v>697</v>
      </c>
      <c r="AD292" s="7" t="s">
        <v>697</v>
      </c>
      <c r="AE292" s="7" t="s">
        <v>703</v>
      </c>
      <c r="AF292" s="7" t="s">
        <v>659</v>
      </c>
      <c r="AG292" s="7" t="s">
        <v>665</v>
      </c>
      <c r="AH292" s="7" t="s">
        <v>679</v>
      </c>
      <c r="AI292" s="7" t="s">
        <v>1212</v>
      </c>
      <c r="AJ292" s="7" t="s">
        <v>667</v>
      </c>
      <c r="AK292" s="7" t="s">
        <v>1827</v>
      </c>
    </row>
    <row r="293" spans="1:37" x14ac:dyDescent="0.25">
      <c r="A293" s="13" t="str">
        <f ca="1"/>
        <v>0xD1A6</v>
      </c>
      <c r="B293" s="14" t="str">
        <f ca="1"/>
        <v>LiveViewSelector</v>
      </c>
      <c r="D293" s="8" t="str">
        <f ca="1"/>
        <v>LiveViewSelector</v>
      </c>
      <c r="E293" s="8" t="str">
        <f ca="1"/>
        <v>LiveViewSelector</v>
      </c>
      <c r="F293" s="8" t="str">
        <f ca="1"/>
        <v>LiveViewSelector</v>
      </c>
      <c r="G293" s="8" t="str">
        <f ca="1"/>
        <v>LiveViewSelector</v>
      </c>
      <c r="H293" s="7" t="str">
        <f ca="1"/>
        <v>LiveViewSelector</v>
      </c>
      <c r="I293" s="7" t="str">
        <f ca="1"/>
        <v>LiveViewSelector</v>
      </c>
      <c r="J293" s="7" t="str">
        <f ca="1"/>
        <v>LiveViewSelector</v>
      </c>
      <c r="K293" s="7" t="str">
        <f ca="1"/>
        <v>LiveViewSelector</v>
      </c>
      <c r="L293" s="7" t="str">
        <f ca="1"/>
        <v>LiveViewSelector</v>
      </c>
      <c r="M293" s="7" t="str">
        <f ca="1"/>
        <v>LiveViewSelector</v>
      </c>
      <c r="N293" s="7" t="str">
        <f ca="1"/>
        <v>LiveViewSelector</v>
      </c>
      <c r="O293" s="7" t="str">
        <f ca="1"/>
        <v>LiveViewSelector</v>
      </c>
      <c r="P293" s="7" t="str">
        <f ca="1"/>
        <v/>
      </c>
      <c r="Q293" s="7" t="str">
        <f ca="1"/>
        <v/>
      </c>
      <c r="T293" s="7" t="str">
        <f ca="1"/>
        <v>Z8</v>
      </c>
      <c r="U293" s="7" t="str">
        <f ca="1"/>
        <v>0x0001D009</v>
      </c>
      <c r="V293" s="7" t="str">
        <f ca="1"/>
        <v>ViewModeWbColorTemp</v>
      </c>
      <c r="X293" s="8" t="s">
        <v>680</v>
      </c>
      <c r="Y293" s="8" t="s">
        <v>678</v>
      </c>
      <c r="Z293" s="8" t="s">
        <v>702</v>
      </c>
      <c r="AA293" s="8" t="s">
        <v>702</v>
      </c>
      <c r="AB293" s="7" t="s">
        <v>722</v>
      </c>
      <c r="AC293" s="7" t="s">
        <v>698</v>
      </c>
      <c r="AD293" s="7" t="s">
        <v>698</v>
      </c>
      <c r="AE293" s="7" t="s">
        <v>706</v>
      </c>
      <c r="AF293" s="7" t="s">
        <v>1676</v>
      </c>
      <c r="AG293" s="7" t="s">
        <v>666</v>
      </c>
      <c r="AH293" s="7" t="s">
        <v>680</v>
      </c>
      <c r="AI293" s="7" t="s">
        <v>718</v>
      </c>
      <c r="AJ293" s="7" t="s">
        <v>668</v>
      </c>
      <c r="AK293" s="7" t="s">
        <v>678</v>
      </c>
    </row>
    <row r="294" spans="1:37" x14ac:dyDescent="0.25">
      <c r="A294" s="13" t="str">
        <f ca="1"/>
        <v>0xD1A7</v>
      </c>
      <c r="B294" s="14" t="str">
        <f ca="1"/>
        <v>LiveViewWhiteBalance</v>
      </c>
      <c r="D294" s="8" t="str">
        <f ca="1"/>
        <v/>
      </c>
      <c r="E294" s="8" t="str">
        <f ca="1"/>
        <v/>
      </c>
      <c r="F294" s="8" t="str">
        <f ca="1"/>
        <v/>
      </c>
      <c r="G294" s="8" t="str">
        <f ca="1"/>
        <v/>
      </c>
      <c r="H294" s="7" t="str">
        <f ca="1"/>
        <v/>
      </c>
      <c r="I294" s="7" t="str">
        <f ca="1"/>
        <v/>
      </c>
      <c r="J294" s="7" t="str">
        <f ca="1"/>
        <v/>
      </c>
      <c r="K294" s="7" t="str">
        <f ca="1"/>
        <v/>
      </c>
      <c r="L294" s="7" t="str">
        <f ca="1"/>
        <v>LiveViewWhiteBalance</v>
      </c>
      <c r="M294" s="7" t="str">
        <f ca="1"/>
        <v>LiveViewWhiteBalance</v>
      </c>
      <c r="N294" s="7" t="str">
        <f ca="1"/>
        <v>LiveViewWhiteBalance</v>
      </c>
      <c r="O294" s="7" t="str">
        <f ca="1"/>
        <v>LiveViewWhiteBalance</v>
      </c>
      <c r="P294" s="7" t="str">
        <f ca="1"/>
        <v/>
      </c>
      <c r="Q294" s="7" t="str">
        <f ca="1"/>
        <v/>
      </c>
      <c r="T294" s="7" t="str">
        <f ca="1"/>
        <v>Z8</v>
      </c>
      <c r="U294" s="7" t="str">
        <f ca="1"/>
        <v>0x0001D00A</v>
      </c>
      <c r="V294" s="7" t="str">
        <f ca="1"/>
        <v>ViewModeWbTuneColorTemp</v>
      </c>
      <c r="X294" s="8" t="s">
        <v>681</v>
      </c>
      <c r="Y294" s="8" t="s">
        <v>679</v>
      </c>
      <c r="Z294" s="8" t="s">
        <v>703</v>
      </c>
      <c r="AA294" s="8" t="s">
        <v>703</v>
      </c>
      <c r="AB294" s="7" t="s">
        <v>723</v>
      </c>
      <c r="AC294" s="7" t="s">
        <v>699</v>
      </c>
      <c r="AD294" s="7" t="s">
        <v>699</v>
      </c>
      <c r="AE294" s="7" t="s">
        <v>707</v>
      </c>
      <c r="AF294" s="7" t="s">
        <v>1677</v>
      </c>
      <c r="AG294" s="7" t="s">
        <v>667</v>
      </c>
      <c r="AH294" s="7" t="s">
        <v>681</v>
      </c>
      <c r="AI294" s="7" t="s">
        <v>719</v>
      </c>
      <c r="AJ294" s="7" t="s">
        <v>669</v>
      </c>
      <c r="AK294" s="7" t="s">
        <v>679</v>
      </c>
    </row>
    <row r="295" spans="1:37" x14ac:dyDescent="0.25">
      <c r="A295" s="13" t="str">
        <f ca="1"/>
        <v>0xD1A8</v>
      </c>
      <c r="B295" s="14" t="str">
        <f ca="1"/>
        <v>MovieShutterSpeed</v>
      </c>
      <c r="D295" s="8" t="str">
        <f ca="1"/>
        <v>MovieShutterSpeed</v>
      </c>
      <c r="E295" s="8" t="str">
        <f ca="1"/>
        <v>MovieShutterSpeed</v>
      </c>
      <c r="F295" s="8" t="str">
        <f ca="1"/>
        <v>MovieShutterSpeed</v>
      </c>
      <c r="G295" s="8" t="str">
        <f ca="1"/>
        <v>MovieShutterSpeed</v>
      </c>
      <c r="H295" s="7" t="str">
        <f ca="1"/>
        <v>MovieShutterSpeed</v>
      </c>
      <c r="I295" s="7" t="str">
        <f ca="1"/>
        <v>MovieShutterSpeed</v>
      </c>
      <c r="J295" s="7" t="str">
        <f ca="1"/>
        <v>MovieShutterSpeed</v>
      </c>
      <c r="K295" s="7" t="str">
        <f ca="1"/>
        <v>MovieShutterSpeed</v>
      </c>
      <c r="L295" s="7" t="str">
        <f ca="1"/>
        <v>MovieShutterSpeed</v>
      </c>
      <c r="M295" s="7" t="str">
        <f ca="1"/>
        <v>MovieShutterSpeed</v>
      </c>
      <c r="N295" s="7" t="str">
        <f ca="1"/>
        <v>MovieShutterSpeed</v>
      </c>
      <c r="O295" s="7" t="str">
        <f ca="1"/>
        <v>MovieShutterSpeed</v>
      </c>
      <c r="P295" s="7" t="str">
        <f ca="1"/>
        <v/>
      </c>
      <c r="Q295" s="7" t="str">
        <f ca="1"/>
        <v/>
      </c>
      <c r="T295" s="7" t="str">
        <f ca="1"/>
        <v>Z8</v>
      </c>
      <c r="U295" s="7" t="str">
        <f ca="1"/>
        <v>0x0001D00B</v>
      </c>
      <c r="V295" s="7" t="str">
        <f ca="1"/>
        <v>ViewModePictureControl</v>
      </c>
      <c r="X295" s="8" t="s">
        <v>682</v>
      </c>
      <c r="Y295" s="8" t="s">
        <v>680</v>
      </c>
      <c r="Z295" s="8" t="s">
        <v>706</v>
      </c>
      <c r="AA295" s="8" t="s">
        <v>706</v>
      </c>
      <c r="AB295" s="7" t="s">
        <v>724</v>
      </c>
      <c r="AC295" s="7" t="s">
        <v>700</v>
      </c>
      <c r="AD295" s="7" t="s">
        <v>700</v>
      </c>
      <c r="AE295" s="7" t="s">
        <v>1208</v>
      </c>
      <c r="AF295" s="7" t="s">
        <v>1678</v>
      </c>
      <c r="AG295" s="7" t="s">
        <v>668</v>
      </c>
      <c r="AH295" s="7" t="s">
        <v>682</v>
      </c>
      <c r="AI295" s="7" t="s">
        <v>720</v>
      </c>
      <c r="AJ295" s="7" t="s">
        <v>670</v>
      </c>
      <c r="AK295" s="7" t="s">
        <v>1828</v>
      </c>
    </row>
    <row r="296" spans="1:37" x14ac:dyDescent="0.25">
      <c r="A296" s="13" t="str">
        <f ca="1"/>
        <v>0xD1A9</v>
      </c>
      <c r="B296" s="14" t="str">
        <f ca="1"/>
        <v>MovieFnumber</v>
      </c>
      <c r="D296" s="8" t="str">
        <f ca="1"/>
        <v>MovieFnumber</v>
      </c>
      <c r="E296" s="8" t="str">
        <f ca="1"/>
        <v>MovieFnumber</v>
      </c>
      <c r="F296" s="8" t="str">
        <f ca="1"/>
        <v>MovieFnumber</v>
      </c>
      <c r="G296" s="8" t="str">
        <f ca="1"/>
        <v>MovieFnumber</v>
      </c>
      <c r="H296" s="7" t="str">
        <f ca="1"/>
        <v>MovieFnumber</v>
      </c>
      <c r="I296" s="7" t="str">
        <f ca="1"/>
        <v>MovieFnumber</v>
      </c>
      <c r="J296" s="7" t="str">
        <f ca="1"/>
        <v>MovieFnumber</v>
      </c>
      <c r="K296" s="7" t="str">
        <f ca="1"/>
        <v>MovieFnumber</v>
      </c>
      <c r="L296" s="7" t="str">
        <f ca="1"/>
        <v>MovieFnumber</v>
      </c>
      <c r="M296" s="7" t="str">
        <f ca="1"/>
        <v>MovieFnumber</v>
      </c>
      <c r="N296" s="7" t="str">
        <f ca="1"/>
        <v>MovieFnumber</v>
      </c>
      <c r="O296" s="7" t="str">
        <f ca="1"/>
        <v>MovieFnumber</v>
      </c>
      <c r="P296" s="7" t="str">
        <f ca="1"/>
        <v/>
      </c>
      <c r="Q296" s="7" t="str">
        <f ca="1"/>
        <v/>
      </c>
      <c r="T296" s="7" t="str">
        <f ca="1"/>
        <v>Z8</v>
      </c>
      <c r="U296" s="7" t="str">
        <f ca="1"/>
        <v>0x0001D00C</v>
      </c>
      <c r="V296" s="7" t="str">
        <f ca="1"/>
        <v>ViewModeBrightenShadow</v>
      </c>
      <c r="X296" s="8" t="s">
        <v>683</v>
      </c>
      <c r="Y296" s="8" t="s">
        <v>681</v>
      </c>
      <c r="Z296" s="8" t="s">
        <v>707</v>
      </c>
      <c r="AA296" s="8" t="s">
        <v>707</v>
      </c>
      <c r="AB296" s="7" t="s">
        <v>725</v>
      </c>
      <c r="AC296" s="7" t="s">
        <v>701</v>
      </c>
      <c r="AD296" s="7" t="s">
        <v>701</v>
      </c>
      <c r="AE296" s="7" t="s">
        <v>1209</v>
      </c>
      <c r="AF296" s="7" t="s">
        <v>1679</v>
      </c>
      <c r="AG296" s="7" t="s">
        <v>669</v>
      </c>
      <c r="AH296" s="7" t="s">
        <v>683</v>
      </c>
      <c r="AI296" s="7" t="s">
        <v>1739</v>
      </c>
      <c r="AJ296" s="7" t="s">
        <v>671</v>
      </c>
      <c r="AK296" s="7" t="s">
        <v>1829</v>
      </c>
    </row>
    <row r="297" spans="1:37" x14ac:dyDescent="0.25">
      <c r="A297" s="13" t="str">
        <f ca="1"/>
        <v>0xD1AA</v>
      </c>
      <c r="B297" s="14" t="str">
        <f ca="1"/>
        <v>MovieExposureIndex</v>
      </c>
      <c r="D297" s="8" t="str">
        <f ca="1"/>
        <v>MovieExposureIndex</v>
      </c>
      <c r="E297" s="8" t="str">
        <f ca="1"/>
        <v>MovieExposureIndex</v>
      </c>
      <c r="F297" s="8" t="str">
        <f ca="1"/>
        <v>MovieExposureIndex</v>
      </c>
      <c r="G297" s="8" t="str">
        <f ca="1"/>
        <v>MovieExposureIndex</v>
      </c>
      <c r="H297" s="7" t="str">
        <f ca="1"/>
        <v>MovieExposureIndex</v>
      </c>
      <c r="I297" s="7" t="str">
        <f ca="1"/>
        <v>MovieExposureIndex</v>
      </c>
      <c r="J297" s="7" t="str">
        <f ca="1"/>
        <v>MovieExposureIndex</v>
      </c>
      <c r="K297" s="7" t="str">
        <f ca="1"/>
        <v>MovieExposureIndex</v>
      </c>
      <c r="L297" s="7" t="str">
        <f ca="1"/>
        <v>MovieExposureIndex</v>
      </c>
      <c r="M297" s="7" t="str">
        <f ca="1"/>
        <v>MovieExposureIndex</v>
      </c>
      <c r="N297" s="7" t="str">
        <f ca="1"/>
        <v>MovieExposureIndex</v>
      </c>
      <c r="O297" s="7" t="str">
        <f ca="1"/>
        <v>MovieExposureIndex</v>
      </c>
      <c r="P297" s="7" t="str">
        <f ca="1"/>
        <v/>
      </c>
      <c r="Q297" s="7" t="str">
        <f ca="1"/>
        <v/>
      </c>
      <c r="T297" s="7" t="str">
        <f ca="1"/>
        <v>Z8</v>
      </c>
      <c r="U297" s="7" t="str">
        <f ca="1"/>
        <v>0x0001D00E</v>
      </c>
      <c r="V297" s="7" t="str">
        <f ca="1"/>
        <v>StarlightView</v>
      </c>
      <c r="X297" s="8" t="s">
        <v>684</v>
      </c>
      <c r="Y297" s="8" t="s">
        <v>682</v>
      </c>
      <c r="Z297" s="8" t="s">
        <v>1208</v>
      </c>
      <c r="AA297" s="8" t="s">
        <v>1208</v>
      </c>
      <c r="AB297" s="7" t="s">
        <v>726</v>
      </c>
      <c r="AC297" s="7" t="s">
        <v>702</v>
      </c>
      <c r="AD297" s="7" t="s">
        <v>702</v>
      </c>
      <c r="AE297" s="7" t="s">
        <v>708</v>
      </c>
      <c r="AF297" s="7" t="s">
        <v>660</v>
      </c>
      <c r="AG297" s="7" t="s">
        <v>670</v>
      </c>
      <c r="AH297" s="7" t="s">
        <v>684</v>
      </c>
      <c r="AI297" s="7" t="s">
        <v>722</v>
      </c>
      <c r="AJ297" s="7" t="s">
        <v>1680</v>
      </c>
      <c r="AK297" s="7" t="s">
        <v>1830</v>
      </c>
    </row>
    <row r="298" spans="1:37" x14ac:dyDescent="0.25">
      <c r="A298" s="13" t="str">
        <f ca="1"/>
        <v>0xD1AB</v>
      </c>
      <c r="B298" s="14" t="str">
        <f ca="1"/>
        <v>MovieExposureBiasCompensation</v>
      </c>
      <c r="D298" s="8" t="str">
        <f ca="1"/>
        <v>MovieExposureBiasCompensation</v>
      </c>
      <c r="E298" s="8" t="str">
        <f ca="1"/>
        <v>MovieExposureBiasCompensation</v>
      </c>
      <c r="F298" s="8" t="str">
        <f ca="1"/>
        <v>MovieExposureBiasCompensation</v>
      </c>
      <c r="G298" s="8" t="str">
        <f ca="1"/>
        <v>MovieExposureBiasCompensation</v>
      </c>
      <c r="H298" s="7" t="str">
        <f ca="1"/>
        <v>MovieExposureBiasCompensation</v>
      </c>
      <c r="I298" s="7" t="str">
        <f ca="1"/>
        <v>MovieExposureBiasCompensation</v>
      </c>
      <c r="J298" s="7" t="str">
        <f ca="1"/>
        <v>MovieExposureBiasCompensation</v>
      </c>
      <c r="K298" s="7" t="str">
        <f ca="1"/>
        <v>MovieExposureBiasCompensation</v>
      </c>
      <c r="L298" s="7" t="str">
        <f ca="1"/>
        <v>MovieExposureBiasCompensation</v>
      </c>
      <c r="M298" s="7" t="str">
        <f ca="1"/>
        <v>MovieExposureBiasCompensation</v>
      </c>
      <c r="N298" s="7" t="str">
        <f ca="1"/>
        <v>MovieExposureBiasCompensation</v>
      </c>
      <c r="O298" s="7" t="str">
        <f ca="1"/>
        <v>MovieExposureBiasCompensation</v>
      </c>
      <c r="P298" s="7" t="str">
        <f ca="1"/>
        <v/>
      </c>
      <c r="Q298" s="7" t="str">
        <f ca="1"/>
        <v/>
      </c>
      <c r="T298" s="7" t="str">
        <f ca="1"/>
        <v>Z8</v>
      </c>
      <c r="U298" s="7" t="str">
        <f ca="1"/>
        <v>0x0001D00F</v>
      </c>
      <c r="V298" s="7" t="str">
        <f ca="1"/>
        <v>MovieTVLockSetting</v>
      </c>
      <c r="X298" s="8" t="s">
        <v>685</v>
      </c>
      <c r="Y298" s="8" t="s">
        <v>683</v>
      </c>
      <c r="Z298" s="8" t="s">
        <v>1209</v>
      </c>
      <c r="AA298" s="8" t="s">
        <v>1209</v>
      </c>
      <c r="AB298" s="7" t="s">
        <v>727</v>
      </c>
      <c r="AC298" s="7" t="s">
        <v>703</v>
      </c>
      <c r="AD298" s="7" t="s">
        <v>703</v>
      </c>
      <c r="AE298" s="7" t="s">
        <v>1210</v>
      </c>
      <c r="AF298" s="7" t="s">
        <v>661</v>
      </c>
      <c r="AG298" s="7" t="s">
        <v>671</v>
      </c>
      <c r="AH298" s="7" t="s">
        <v>685</v>
      </c>
      <c r="AI298" s="7" t="s">
        <v>723</v>
      </c>
      <c r="AJ298" s="7" t="s">
        <v>1681</v>
      </c>
      <c r="AK298" s="7" t="s">
        <v>1831</v>
      </c>
    </row>
    <row r="299" spans="1:37" x14ac:dyDescent="0.25">
      <c r="A299" s="13" t="str">
        <f ca="1"/>
        <v>0xD1AC</v>
      </c>
      <c r="B299" s="14" t="str">
        <f ca="1"/>
        <v>LiveViewImageSize</v>
      </c>
      <c r="D299" s="8" t="str">
        <f ca="1"/>
        <v>LiveViewImageSize</v>
      </c>
      <c r="E299" s="8" t="str">
        <f ca="1"/>
        <v>LiveViewImageSize</v>
      </c>
      <c r="F299" s="8" t="str">
        <f ca="1"/>
        <v>LiveViewImageSize</v>
      </c>
      <c r="G299" s="8" t="str">
        <f ca="1"/>
        <v>LiveViewImageSize</v>
      </c>
      <c r="H299" s="7" t="str">
        <f ca="1"/>
        <v>LiveViewImageSize</v>
      </c>
      <c r="I299" s="7" t="str">
        <f ca="1"/>
        <v>LiveViewImageSize</v>
      </c>
      <c r="J299" s="7" t="str">
        <f ca="1"/>
        <v>LiveViewImageSize</v>
      </c>
      <c r="K299" s="7" t="str">
        <f ca="1"/>
        <v>LiveViewImageSize</v>
      </c>
      <c r="L299" s="7" t="str">
        <f ca="1"/>
        <v>LiveViewImageSize</v>
      </c>
      <c r="M299" s="7" t="str">
        <f ca="1"/>
        <v>LiveViewImageSize</v>
      </c>
      <c r="N299" s="7" t="str">
        <f ca="1"/>
        <v>LiveViewImageSize</v>
      </c>
      <c r="O299" s="7" t="str">
        <f ca="1"/>
        <v>LiveViewImageSize</v>
      </c>
      <c r="P299" s="7" t="str">
        <f ca="1"/>
        <v/>
      </c>
      <c r="Q299" s="7" t="str">
        <f ca="1"/>
        <v/>
      </c>
      <c r="T299" s="7" t="str">
        <f ca="1"/>
        <v>Z8</v>
      </c>
      <c r="U299" s="7" t="str">
        <f ca="1"/>
        <v>0x0001D010</v>
      </c>
      <c r="V299" s="7" t="str">
        <f ca="1"/>
        <v>MovieAVLockSetting</v>
      </c>
      <c r="X299" s="8" t="s">
        <v>686</v>
      </c>
      <c r="Y299" s="8" t="s">
        <v>684</v>
      </c>
      <c r="Z299" s="8" t="s">
        <v>708</v>
      </c>
      <c r="AA299" s="8" t="s">
        <v>708</v>
      </c>
      <c r="AB299" s="7" t="s">
        <v>728</v>
      </c>
      <c r="AC299" s="7" t="s">
        <v>706</v>
      </c>
      <c r="AD299" s="7" t="s">
        <v>706</v>
      </c>
      <c r="AE299" s="7" t="s">
        <v>710</v>
      </c>
      <c r="AF299" s="7" t="s">
        <v>662</v>
      </c>
      <c r="AG299" s="7" t="s">
        <v>1680</v>
      </c>
      <c r="AH299" s="7" t="s">
        <v>688</v>
      </c>
      <c r="AI299" s="7" t="s">
        <v>724</v>
      </c>
      <c r="AJ299" s="7" t="s">
        <v>672</v>
      </c>
      <c r="AK299" s="7" t="s">
        <v>688</v>
      </c>
    </row>
    <row r="300" spans="1:37" x14ac:dyDescent="0.25">
      <c r="A300" s="13" t="str">
        <f ca="1"/>
        <v>0xD1AD</v>
      </c>
      <c r="B300" s="14" t="str">
        <f ca="1"/>
        <v>SilentPhotography</v>
      </c>
      <c r="D300" s="8" t="str">
        <f ca="1"/>
        <v/>
      </c>
      <c r="E300" s="8" t="str">
        <f ca="1"/>
        <v/>
      </c>
      <c r="F300" s="8" t="str">
        <f ca="1"/>
        <v>SilentPhotography</v>
      </c>
      <c r="G300" s="8" t="str">
        <f ca="1"/>
        <v>SilentPhotography</v>
      </c>
      <c r="H300" s="7" t="str">
        <f ca="1"/>
        <v>LiveViewPhotography</v>
      </c>
      <c r="I300" s="7" t="str">
        <f ca="1"/>
        <v>LiveViewPhotography</v>
      </c>
      <c r="J300" s="7" t="str">
        <f ca="1"/>
        <v>LiveViewPhotography</v>
      </c>
      <c r="K300" s="7" t="str">
        <f ca="1"/>
        <v>LiveViewPhotography</v>
      </c>
      <c r="L300" s="7" t="str">
        <f ca="1"/>
        <v>SilentPhotography</v>
      </c>
      <c r="M300" s="7" t="str">
        <f ca="1"/>
        <v>LiveViewPhotography</v>
      </c>
      <c r="N300" s="7" t="str">
        <f ca="1"/>
        <v>LiveViewPhotography</v>
      </c>
      <c r="O300" s="7" t="str">
        <f ca="1"/>
        <v>LiveViewPhotography</v>
      </c>
      <c r="P300" s="7" t="str">
        <f ca="1"/>
        <v/>
      </c>
      <c r="Q300" s="7" t="str">
        <f ca="1"/>
        <v/>
      </c>
      <c r="T300" s="7" t="str">
        <f ca="1"/>
        <v>Z8</v>
      </c>
      <c r="U300" s="7" t="str">
        <f ca="1"/>
        <v>0x0001D011</v>
      </c>
      <c r="V300" s="7" t="str">
        <f ca="1"/>
        <v>SilentMode</v>
      </c>
      <c r="X300" s="8" t="s">
        <v>687</v>
      </c>
      <c r="Y300" s="8" t="s">
        <v>685</v>
      </c>
      <c r="Z300" s="8" t="s">
        <v>1210</v>
      </c>
      <c r="AA300" s="8" t="s">
        <v>1210</v>
      </c>
      <c r="AB300" s="7" t="s">
        <v>729</v>
      </c>
      <c r="AC300" s="7" t="s">
        <v>707</v>
      </c>
      <c r="AD300" s="7" t="s">
        <v>707</v>
      </c>
      <c r="AE300" s="7" t="s">
        <v>711</v>
      </c>
      <c r="AF300" s="7" t="s">
        <v>663</v>
      </c>
      <c r="AG300" s="7" t="s">
        <v>1681</v>
      </c>
      <c r="AH300" s="7" t="s">
        <v>689</v>
      </c>
      <c r="AI300" s="7" t="s">
        <v>1740</v>
      </c>
      <c r="AJ300" s="7" t="s">
        <v>673</v>
      </c>
      <c r="AK300" s="7" t="s">
        <v>689</v>
      </c>
    </row>
    <row r="301" spans="1:37" x14ac:dyDescent="0.25">
      <c r="A301" s="13" t="str">
        <f ca="1"/>
        <v>0xD1AF</v>
      </c>
      <c r="B301" s="14" t="str">
        <f ca="1"/>
        <v>MovieExposureMeteringMode</v>
      </c>
      <c r="D301" s="8" t="str">
        <f ca="1"/>
        <v>MovieExposureMeteringMode</v>
      </c>
      <c r="E301" s="8" t="str">
        <f ca="1"/>
        <v>MovieExposureMeteringMode</v>
      </c>
      <c r="F301" s="8" t="str">
        <f ca="1"/>
        <v>MovieExposureMeteringMode</v>
      </c>
      <c r="G301" s="8" t="str">
        <f ca="1"/>
        <v>MovieExposureMeteringMode</v>
      </c>
      <c r="H301" s="7" t="str">
        <f ca="1"/>
        <v>MovieExposureMeteringMode</v>
      </c>
      <c r="I301" s="7" t="str">
        <f ca="1"/>
        <v>MovieExposureMeteringMode</v>
      </c>
      <c r="J301" s="7" t="str">
        <f ca="1"/>
        <v>MovieExposureMeteringMode</v>
      </c>
      <c r="K301" s="7" t="str">
        <f ca="1"/>
        <v>MovieExposureMeteringMode</v>
      </c>
      <c r="L301" s="7" t="str">
        <f ca="1"/>
        <v>MovieExposureMeteringMode</v>
      </c>
      <c r="M301" s="7" t="str">
        <f ca="1"/>
        <v>MovieExposureMeteringMode</v>
      </c>
      <c r="N301" s="7" t="str">
        <f ca="1"/>
        <v/>
      </c>
      <c r="O301" s="7" t="str">
        <f ca="1"/>
        <v/>
      </c>
      <c r="P301" s="7" t="str">
        <f ca="1"/>
        <v/>
      </c>
      <c r="Q301" s="7" t="str">
        <f ca="1"/>
        <v/>
      </c>
      <c r="T301" s="7" t="str">
        <f ca="1"/>
        <v>Z8</v>
      </c>
      <c r="U301" s="7" t="str">
        <f ca="1"/>
        <v>0x0001D012</v>
      </c>
      <c r="V301" s="7" t="str">
        <f ca="1"/>
        <v>ShutterSoundEffect</v>
      </c>
      <c r="X301" s="8" t="s">
        <v>688</v>
      </c>
      <c r="Y301" s="8" t="s">
        <v>686</v>
      </c>
      <c r="Z301" s="8" t="s">
        <v>710</v>
      </c>
      <c r="AA301" s="8" t="s">
        <v>710</v>
      </c>
      <c r="AB301" s="7" t="s">
        <v>730</v>
      </c>
      <c r="AC301" s="7" t="s">
        <v>1208</v>
      </c>
      <c r="AD301" s="7" t="s">
        <v>1208</v>
      </c>
      <c r="AE301" s="7" t="s">
        <v>712</v>
      </c>
      <c r="AF301" s="7" t="s">
        <v>664</v>
      </c>
      <c r="AG301" s="7" t="s">
        <v>672</v>
      </c>
      <c r="AH301" s="7" t="s">
        <v>690</v>
      </c>
      <c r="AI301" s="7" t="s">
        <v>726</v>
      </c>
      <c r="AJ301" s="7" t="s">
        <v>1824</v>
      </c>
      <c r="AK301" s="7" t="s">
        <v>690</v>
      </c>
    </row>
    <row r="302" spans="1:37" x14ac:dyDescent="0.25">
      <c r="A302" s="13" t="str">
        <f ca="1"/>
        <v>0xD1B0</v>
      </c>
      <c r="B302" s="14" t="str">
        <f ca="1"/>
        <v>ExposureDisplayStatus</v>
      </c>
      <c r="D302" s="8" t="str">
        <f ca="1"/>
        <v>ExposureDisplayStatus</v>
      </c>
      <c r="E302" s="8" t="str">
        <f ca="1"/>
        <v>ExposureDisplayStatus</v>
      </c>
      <c r="F302" s="8" t="str">
        <f ca="1"/>
        <v>ExposureDisplayStatus</v>
      </c>
      <c r="G302" s="8" t="str">
        <f ca="1"/>
        <v>ExposureDisplayStatus</v>
      </c>
      <c r="H302" s="7" t="str">
        <f ca="1"/>
        <v>ExposureDisplayStatus</v>
      </c>
      <c r="I302" s="7" t="str">
        <f ca="1"/>
        <v>ExposureDisplayStatus</v>
      </c>
      <c r="J302" s="7" t="str">
        <f ca="1"/>
        <v>ExposureDisplayStatus</v>
      </c>
      <c r="K302" s="7" t="str">
        <f ca="1"/>
        <v>ExposureDisplayStatus</v>
      </c>
      <c r="L302" s="7" t="str">
        <f ca="1"/>
        <v>ExposureDisplayStatus</v>
      </c>
      <c r="M302" s="7" t="str">
        <f ca="1"/>
        <v>ExposureDisplayStatus</v>
      </c>
      <c r="N302" s="7" t="str">
        <f ca="1"/>
        <v>ExposureDisplayStatus</v>
      </c>
      <c r="O302" s="7" t="str">
        <f ca="1"/>
        <v>ExposureDisplayStatus</v>
      </c>
      <c r="P302" s="7" t="str">
        <f ca="1"/>
        <v>ExposureDisplayStatus</v>
      </c>
      <c r="Q302" s="7" t="str">
        <f ca="1"/>
        <v>ExposureDisplayStatus</v>
      </c>
      <c r="T302" s="7" t="str">
        <f ca="1"/>
        <v>Z8</v>
      </c>
      <c r="U302" s="7" t="str">
        <f ca="1"/>
        <v>0x0001D014</v>
      </c>
      <c r="V302" s="7" t="str">
        <f ca="1"/>
        <v>AFWhenSubjectNotDetected</v>
      </c>
      <c r="X302" s="8" t="s">
        <v>689</v>
      </c>
      <c r="Y302" s="8" t="s">
        <v>687</v>
      </c>
      <c r="Z302" s="8" t="s">
        <v>711</v>
      </c>
      <c r="AA302" s="8" t="s">
        <v>711</v>
      </c>
      <c r="AB302" s="7" t="s">
        <v>731</v>
      </c>
      <c r="AC302" s="7" t="s">
        <v>1209</v>
      </c>
      <c r="AD302" s="7" t="s">
        <v>1209</v>
      </c>
      <c r="AE302" s="7" t="s">
        <v>713</v>
      </c>
      <c r="AF302" s="7" t="s">
        <v>665</v>
      </c>
      <c r="AG302" s="7" t="s">
        <v>673</v>
      </c>
      <c r="AH302" s="7" t="s">
        <v>691</v>
      </c>
      <c r="AI302" s="7" t="s">
        <v>1740</v>
      </c>
      <c r="AJ302" s="7" t="s">
        <v>1825</v>
      </c>
      <c r="AK302" s="7" t="s">
        <v>691</v>
      </c>
    </row>
    <row r="303" spans="1:37" x14ac:dyDescent="0.25">
      <c r="A303" s="13" t="str">
        <f ca="1"/>
        <v>0xD1B1</v>
      </c>
      <c r="B303" s="14" t="str">
        <f ca="1"/>
        <v>ExposureIndicateStatus</v>
      </c>
      <c r="D303" s="8" t="str">
        <f ca="1"/>
        <v>ExposureIndicateStatus</v>
      </c>
      <c r="E303" s="8" t="str">
        <f ca="1"/>
        <v>ExposureIndicateStatus</v>
      </c>
      <c r="F303" s="8" t="str">
        <f ca="1"/>
        <v>ExposureIndicateStatus</v>
      </c>
      <c r="G303" s="8" t="str">
        <f ca="1"/>
        <v>ExposureIndicateStatus</v>
      </c>
      <c r="H303" s="7" t="str">
        <f ca="1"/>
        <v>ExposureIndicateStatus</v>
      </c>
      <c r="I303" s="7" t="str">
        <f ca="1"/>
        <v>ExposureIndicateStatus</v>
      </c>
      <c r="J303" s="7" t="str">
        <f ca="1"/>
        <v>ExposureIndicateStatus</v>
      </c>
      <c r="K303" s="7" t="str">
        <f ca="1"/>
        <v>ExposureIndicateStatus</v>
      </c>
      <c r="L303" s="7" t="str">
        <f ca="1"/>
        <v>ExposureIndicateStatus</v>
      </c>
      <c r="M303" s="7" t="str">
        <f ca="1"/>
        <v>ExposureIndicateStatus</v>
      </c>
      <c r="N303" s="7" t="str">
        <f ca="1"/>
        <v>ExposureIndicateStatus</v>
      </c>
      <c r="O303" s="7" t="str">
        <f ca="1"/>
        <v>ExposureIndicateStatus</v>
      </c>
      <c r="P303" s="7" t="str">
        <f ca="1"/>
        <v>ExposureIndicateStatus</v>
      </c>
      <c r="Q303" s="7" t="str">
        <f ca="1"/>
        <v>ExposureIndicateStatus</v>
      </c>
      <c r="T303" s="7" t="str">
        <f ca="1"/>
        <v>Z8</v>
      </c>
      <c r="U303" s="7" t="str">
        <f ca="1"/>
        <v>0x0001D015</v>
      </c>
      <c r="V303" s="7" t="str">
        <f ca="1"/>
        <v>FocusPointLock</v>
      </c>
      <c r="X303" s="8" t="s">
        <v>690</v>
      </c>
      <c r="Y303" s="8" t="s">
        <v>688</v>
      </c>
      <c r="Z303" s="8" t="s">
        <v>712</v>
      </c>
      <c r="AA303" s="8" t="s">
        <v>712</v>
      </c>
      <c r="AB303" s="7" t="s">
        <v>734</v>
      </c>
      <c r="AC303" s="7" t="s">
        <v>708</v>
      </c>
      <c r="AD303" s="7" t="s">
        <v>708</v>
      </c>
      <c r="AE303" s="7" t="s">
        <v>714</v>
      </c>
      <c r="AF303" s="7" t="s">
        <v>666</v>
      </c>
      <c r="AG303" s="7" t="s">
        <v>674</v>
      </c>
      <c r="AH303" s="7" t="s">
        <v>692</v>
      </c>
      <c r="AI303" s="7" t="s">
        <v>728</v>
      </c>
      <c r="AJ303" s="7" t="s">
        <v>674</v>
      </c>
      <c r="AK303" s="7" t="s">
        <v>692</v>
      </c>
    </row>
    <row r="304" spans="1:37" x14ac:dyDescent="0.25">
      <c r="A304" s="13" t="str">
        <f ca="1"/>
        <v>0xD1B2</v>
      </c>
      <c r="B304" s="14" t="str">
        <f ca="1"/>
        <v>InfoDisplayErrorStatus</v>
      </c>
      <c r="D304" s="8" t="str">
        <f ca="1"/>
        <v>InfoDisplayErrorStatus</v>
      </c>
      <c r="E304" s="8" t="str">
        <f ca="1"/>
        <v>InfoDisplayErrorStatus</v>
      </c>
      <c r="F304" s="8" t="str">
        <f ca="1"/>
        <v>InfoDisplayErrorStatus</v>
      </c>
      <c r="G304" s="8" t="str">
        <f ca="1"/>
        <v>InfoDisplayErrorStatus</v>
      </c>
      <c r="H304" s="7" t="str">
        <f ca="1"/>
        <v>InfoDisplayErrorStatus</v>
      </c>
      <c r="I304" s="7" t="str">
        <f ca="1"/>
        <v>InfoDisplayErrorStatus</v>
      </c>
      <c r="J304" s="7" t="str">
        <f ca="1"/>
        <v>InfoDisplayErrorStatus</v>
      </c>
      <c r="K304" s="7" t="str">
        <f ca="1"/>
        <v>InfoDisplayErrorStatus</v>
      </c>
      <c r="L304" s="7" t="str">
        <f ca="1"/>
        <v>InfoDisplayErrorStatus</v>
      </c>
      <c r="M304" s="7" t="str">
        <f ca="1"/>
        <v>InfoDisplayErrorStatus</v>
      </c>
      <c r="N304" s="7" t="str">
        <f ca="1"/>
        <v>InfoDisplayErrorStatus</v>
      </c>
      <c r="O304" s="7" t="str">
        <f ca="1"/>
        <v>InfoDisplayErrorStatus</v>
      </c>
      <c r="P304" s="7" t="str">
        <f ca="1"/>
        <v>InfoDisplayErrorStatus</v>
      </c>
      <c r="Q304" s="7" t="str">
        <f ca="1"/>
        <v>InfoDisplayErrorStatus</v>
      </c>
      <c r="T304" s="7" t="str">
        <f ca="1"/>
        <v>Z8</v>
      </c>
      <c r="U304" s="7" t="str">
        <f ca="1"/>
        <v>0x0001D016</v>
      </c>
      <c r="V304" s="7" t="str">
        <f ca="1"/>
        <v>MovieFocusPointLock</v>
      </c>
      <c r="X304" s="8" t="s">
        <v>691</v>
      </c>
      <c r="Y304" s="8" t="s">
        <v>689</v>
      </c>
      <c r="Z304" s="8" t="s">
        <v>713</v>
      </c>
      <c r="AA304" s="8" t="s">
        <v>713</v>
      </c>
      <c r="AB304" s="7" t="s">
        <v>735</v>
      </c>
      <c r="AC304" s="7" t="s">
        <v>1210</v>
      </c>
      <c r="AD304" s="7" t="s">
        <v>1210</v>
      </c>
      <c r="AE304" s="7" t="s">
        <v>715</v>
      </c>
      <c r="AF304" s="7" t="s">
        <v>667</v>
      </c>
      <c r="AG304" s="7" t="s">
        <v>675</v>
      </c>
      <c r="AH304" s="7" t="s">
        <v>693</v>
      </c>
      <c r="AI304" s="7" t="s">
        <v>1740</v>
      </c>
      <c r="AJ304" s="7" t="s">
        <v>675</v>
      </c>
      <c r="AK304" s="7" t="s">
        <v>693</v>
      </c>
    </row>
    <row r="305" spans="1:37" x14ac:dyDescent="0.25">
      <c r="A305" s="13" t="str">
        <f ca="1"/>
        <v>0xD1B3</v>
      </c>
      <c r="B305" s="14" t="str">
        <f ca="1"/>
        <v>ExposureIndicateLightup</v>
      </c>
      <c r="D305" s="8" t="str">
        <f ca="1"/>
        <v>ExposureIndicateLightup</v>
      </c>
      <c r="E305" s="8" t="str">
        <f ca="1"/>
        <v>ExposureIndicateLightup</v>
      </c>
      <c r="F305" s="8" t="str">
        <f ca="1"/>
        <v>ExposureIndicateLightup</v>
      </c>
      <c r="G305" s="8" t="str">
        <f ca="1"/>
        <v>ExposureIndicateLightup</v>
      </c>
      <c r="H305" s="7" t="str">
        <f ca="1"/>
        <v>ExposureIndicateLightup</v>
      </c>
      <c r="I305" s="7" t="str">
        <f ca="1"/>
        <v>ExposureIndicateLightup</v>
      </c>
      <c r="J305" s="7" t="str">
        <f ca="1"/>
        <v>ExposureIndicateLightup</v>
      </c>
      <c r="K305" s="7" t="str">
        <f ca="1"/>
        <v>ExposureIndicateLightup</v>
      </c>
      <c r="L305" s="7" t="str">
        <f ca="1"/>
        <v>ExposureIndicateLightup</v>
      </c>
      <c r="M305" s="7" t="str">
        <f ca="1"/>
        <v>ExposureIndicateLightup</v>
      </c>
      <c r="N305" s="7" t="str">
        <f ca="1"/>
        <v>ExposureIndicateLightup</v>
      </c>
      <c r="O305" s="7" t="str">
        <f ca="1"/>
        <v>ExposureIndicateLightup</v>
      </c>
      <c r="P305" s="7" t="str">
        <f ca="1"/>
        <v>ExposureIndicateLightup</v>
      </c>
      <c r="Q305" s="7" t="str">
        <f ca="1"/>
        <v>ExposureIndicateLightup</v>
      </c>
      <c r="T305" s="7" t="str">
        <f ca="1"/>
        <v>Z8</v>
      </c>
      <c r="U305" s="7" t="str">
        <f ca="1"/>
        <v>0x0001D017</v>
      </c>
      <c r="V305" s="7" t="str">
        <f ca="1"/>
        <v>SkinSoftening</v>
      </c>
      <c r="X305" s="8" t="s">
        <v>692</v>
      </c>
      <c r="Y305" s="8" t="s">
        <v>690</v>
      </c>
      <c r="Z305" s="8" t="s">
        <v>714</v>
      </c>
      <c r="AA305" s="8" t="s">
        <v>714</v>
      </c>
      <c r="AB305" s="7" t="s">
        <v>736</v>
      </c>
      <c r="AC305" s="7" t="s">
        <v>710</v>
      </c>
      <c r="AD305" s="7" t="s">
        <v>710</v>
      </c>
      <c r="AE305" s="7" t="s">
        <v>716</v>
      </c>
      <c r="AF305" s="7" t="s">
        <v>668</v>
      </c>
      <c r="AG305" s="7" t="s">
        <v>676</v>
      </c>
      <c r="AH305" s="7" t="s">
        <v>694</v>
      </c>
      <c r="AI305" s="7" t="s">
        <v>730</v>
      </c>
      <c r="AJ305" s="7" t="s">
        <v>676</v>
      </c>
      <c r="AK305" s="7" t="s">
        <v>694</v>
      </c>
    </row>
    <row r="306" spans="1:37" x14ac:dyDescent="0.25">
      <c r="A306" s="13" t="str">
        <f ca="1"/>
        <v>0xD1B4</v>
      </c>
      <c r="B306" s="14" t="str">
        <f ca="1"/>
        <v>ContinuousShootingCount</v>
      </c>
      <c r="D306" s="8" t="str">
        <f ca="1"/>
        <v>ContinuousShootingCount</v>
      </c>
      <c r="E306" s="8" t="str">
        <f ca="1"/>
        <v>ContinuousShootingCount</v>
      </c>
      <c r="F306" s="8" t="str">
        <f ca="1"/>
        <v>ContinuousShootingCount</v>
      </c>
      <c r="G306" s="8" t="str">
        <f ca="1"/>
        <v>ContinuousShootingCount</v>
      </c>
      <c r="H306" s="7" t="str">
        <f ca="1"/>
        <v>ContinuousShootingCount</v>
      </c>
      <c r="I306" s="7" t="str">
        <f ca="1"/>
        <v>ContinuousShootingCount</v>
      </c>
      <c r="J306" s="7" t="str">
        <f ca="1"/>
        <v>ContinuousShootingCount</v>
      </c>
      <c r="K306" s="7" t="str">
        <f ca="1"/>
        <v>ContinuousShootingCount</v>
      </c>
      <c r="L306" s="7" t="str">
        <f ca="1"/>
        <v>ContinuousShootingCount</v>
      </c>
      <c r="M306" s="7" t="str">
        <f ca="1"/>
        <v>ContinuousShootingCount</v>
      </c>
      <c r="N306" s="7" t="str">
        <f ca="1"/>
        <v>ContinuousShootingCount</v>
      </c>
      <c r="O306" s="7" t="str">
        <f ca="1"/>
        <v>ContinuousShootingCount</v>
      </c>
      <c r="P306" s="7" t="str">
        <f ca="1"/>
        <v/>
      </c>
      <c r="Q306" s="7" t="str">
        <f ca="1"/>
        <v/>
      </c>
      <c r="T306" s="7" t="str">
        <f ca="1"/>
        <v>Z8</v>
      </c>
      <c r="U306" s="7" t="str">
        <f ca="1"/>
        <v>0x0001D018</v>
      </c>
      <c r="V306" s="7" t="str">
        <f ca="1"/>
        <v>MovieSkinSoftening</v>
      </c>
      <c r="X306" s="8" t="s">
        <v>693</v>
      </c>
      <c r="Y306" s="8" t="s">
        <v>691</v>
      </c>
      <c r="Z306" s="8" t="s">
        <v>715</v>
      </c>
      <c r="AA306" s="8" t="s">
        <v>715</v>
      </c>
      <c r="AB306" s="7" t="s">
        <v>737</v>
      </c>
      <c r="AC306" s="7" t="s">
        <v>711</v>
      </c>
      <c r="AD306" s="7" t="s">
        <v>711</v>
      </c>
      <c r="AE306" s="7" t="s">
        <v>717</v>
      </c>
      <c r="AF306" s="7" t="s">
        <v>669</v>
      </c>
      <c r="AG306" s="7" t="s">
        <v>677</v>
      </c>
      <c r="AH306" s="7" t="s">
        <v>695</v>
      </c>
      <c r="AI306" s="7" t="s">
        <v>1740</v>
      </c>
      <c r="AJ306" s="7" t="s">
        <v>677</v>
      </c>
      <c r="AK306" s="7" t="s">
        <v>695</v>
      </c>
    </row>
    <row r="307" spans="1:37" x14ac:dyDescent="0.25">
      <c r="A307" s="13" t="str">
        <f ca="1"/>
        <v>0xD1B7</v>
      </c>
      <c r="B307" s="14" t="str">
        <f ca="1"/>
        <v>MovieRecFrameCount</v>
      </c>
      <c r="D307" s="8" t="str">
        <f ca="1"/>
        <v/>
      </c>
      <c r="E307" s="8" t="str">
        <f ca="1"/>
        <v/>
      </c>
      <c r="F307" s="8" t="str">
        <f ca="1"/>
        <v>MovieRecFrameCount</v>
      </c>
      <c r="G307" s="8" t="str">
        <f ca="1"/>
        <v>MovieRecFrameCount</v>
      </c>
      <c r="H307" s="7" t="str">
        <f ca="1"/>
        <v>MovieRecFrameCount</v>
      </c>
      <c r="I307" s="7" t="str">
        <f ca="1"/>
        <v>MovieRecFrameCount</v>
      </c>
      <c r="J307" s="7" t="str">
        <f ca="1"/>
        <v>MovieRecFrameCount</v>
      </c>
      <c r="K307" s="7" t="str">
        <f ca="1"/>
        <v>MovieRecFrameCount</v>
      </c>
      <c r="L307" s="7" t="str">
        <f ca="1"/>
        <v>MovieRecFrameCount</v>
      </c>
      <c r="M307" s="7" t="str">
        <f ca="1"/>
        <v>MovieRecFrameCount</v>
      </c>
      <c r="N307" s="7" t="str">
        <f ca="1"/>
        <v>MovieRecFrameCount</v>
      </c>
      <c r="O307" s="7" t="str">
        <f ca="1"/>
        <v>MovieRecFrameCount</v>
      </c>
      <c r="P307" s="7" t="str">
        <f ca="1"/>
        <v/>
      </c>
      <c r="Q307" s="7" t="str">
        <f ca="1"/>
        <v/>
      </c>
      <c r="T307" s="7" t="str">
        <f ca="1"/>
        <v>Z8</v>
      </c>
      <c r="U307" s="7" t="str">
        <f ca="1"/>
        <v>0x0001D019</v>
      </c>
      <c r="V307" s="7" t="str">
        <f ca="1"/>
        <v>PortraitImpressionBalance</v>
      </c>
      <c r="X307" s="8" t="s">
        <v>694</v>
      </c>
      <c r="Y307" s="8" t="s">
        <v>692</v>
      </c>
      <c r="Z307" s="8" t="s">
        <v>716</v>
      </c>
      <c r="AA307" s="8" t="s">
        <v>716</v>
      </c>
      <c r="AB307" s="7" t="s">
        <v>738</v>
      </c>
      <c r="AC307" s="7" t="s">
        <v>712</v>
      </c>
      <c r="AD307" s="7" t="s">
        <v>712</v>
      </c>
      <c r="AE307" s="7" t="s">
        <v>1211</v>
      </c>
      <c r="AF307" s="7" t="s">
        <v>670</v>
      </c>
      <c r="AG307" s="7" t="s">
        <v>678</v>
      </c>
      <c r="AH307" s="7" t="s">
        <v>696</v>
      </c>
      <c r="AI307" s="7" t="s">
        <v>732</v>
      </c>
      <c r="AJ307" s="7" t="s">
        <v>1826</v>
      </c>
      <c r="AK307" s="7" t="s">
        <v>696</v>
      </c>
    </row>
    <row r="308" spans="1:37" x14ac:dyDescent="0.25">
      <c r="A308" s="13" t="str">
        <f ca="1"/>
        <v>0xD1B8</v>
      </c>
      <c r="B308" s="14" t="str">
        <f ca="1"/>
        <v>CameraLiveViewStatus</v>
      </c>
      <c r="D308" s="8" t="str">
        <f ca="1"/>
        <v>CameraLiveViewStatus</v>
      </c>
      <c r="E308" s="8" t="str">
        <f ca="1"/>
        <v>CameraLiveViewStatus</v>
      </c>
      <c r="F308" s="8" t="str">
        <f ca="1"/>
        <v>CameraLiveViewStatus</v>
      </c>
      <c r="G308" s="8" t="str">
        <f ca="1"/>
        <v>CameraLiveViewStatus</v>
      </c>
      <c r="H308" s="7" t="str">
        <f ca="1"/>
        <v>CameraLiveViewStatus</v>
      </c>
      <c r="I308" s="7" t="str">
        <f ca="1"/>
        <v>CameraLiveViewStatus</v>
      </c>
      <c r="J308" s="7" t="str">
        <f ca="1"/>
        <v>CameraLiveViewStatus</v>
      </c>
      <c r="K308" s="7" t="str">
        <f ca="1"/>
        <v>CameraLiveViewStatus</v>
      </c>
      <c r="L308" s="7" t="str">
        <f ca="1"/>
        <v>CameraLiveViewStatus</v>
      </c>
      <c r="M308" s="7" t="str">
        <f ca="1"/>
        <v/>
      </c>
      <c r="N308" s="7" t="str">
        <f ca="1"/>
        <v/>
      </c>
      <c r="O308" s="7" t="str">
        <f ca="1"/>
        <v/>
      </c>
      <c r="P308" s="7" t="str">
        <f ca="1"/>
        <v/>
      </c>
      <c r="Q308" s="7" t="str">
        <f ca="1"/>
        <v/>
      </c>
      <c r="T308" s="7" t="str">
        <f ca="1"/>
        <v>Z8</v>
      </c>
      <c r="U308" s="7" t="str">
        <f ca="1"/>
        <v>0x0001D01A</v>
      </c>
      <c r="V308" s="7" t="str">
        <f ca="1"/>
        <v>MoviePortraitImpressionBalance</v>
      </c>
      <c r="X308" s="8" t="s">
        <v>695</v>
      </c>
      <c r="Y308" s="8" t="s">
        <v>693</v>
      </c>
      <c r="Z308" s="8" t="s">
        <v>717</v>
      </c>
      <c r="AA308" s="8" t="s">
        <v>717</v>
      </c>
      <c r="AB308" s="7" t="s">
        <v>739</v>
      </c>
      <c r="AC308" s="7" t="s">
        <v>713</v>
      </c>
      <c r="AD308" s="7" t="s">
        <v>713</v>
      </c>
      <c r="AE308" s="7" t="s">
        <v>1212</v>
      </c>
      <c r="AF308" s="7" t="s">
        <v>671</v>
      </c>
      <c r="AG308" s="7" t="s">
        <v>679</v>
      </c>
      <c r="AH308" s="7" t="s">
        <v>697</v>
      </c>
      <c r="AI308" s="7" t="s">
        <v>733</v>
      </c>
      <c r="AJ308" s="7" t="s">
        <v>1827</v>
      </c>
      <c r="AK308" s="7" t="s">
        <v>697</v>
      </c>
    </row>
    <row r="309" spans="1:37" x14ac:dyDescent="0.25">
      <c r="A309" s="13" t="str">
        <f ca="1"/>
        <v>0xD1B9</v>
      </c>
      <c r="B309" s="14" t="str">
        <f ca="1"/>
        <v>DetectionPeaking</v>
      </c>
      <c r="D309" s="8" t="str">
        <f ca="1"/>
        <v/>
      </c>
      <c r="E309" s="8" t="str">
        <f ca="1"/>
        <v/>
      </c>
      <c r="F309" s="8" t="str">
        <f ca="1"/>
        <v>DetectionPeaking</v>
      </c>
      <c r="G309" s="8" t="str">
        <f ca="1"/>
        <v>DetectionPeaking</v>
      </c>
      <c r="H309" s="7" t="str">
        <f ca="1"/>
        <v>DetectionPeaking</v>
      </c>
      <c r="I309" s="7" t="str">
        <f ca="1"/>
        <v>DetectionPeaking</v>
      </c>
      <c r="J309" s="7" t="str">
        <f ca="1"/>
        <v>DetectionPeaking</v>
      </c>
      <c r="K309" s="7" t="str">
        <f ca="1"/>
        <v>DetectionPeaking</v>
      </c>
      <c r="L309" s="7" t="str">
        <f ca="1"/>
        <v>DetectionPeaking</v>
      </c>
      <c r="M309" s="7" t="str">
        <f ca="1"/>
        <v/>
      </c>
      <c r="N309" s="7" t="str">
        <f ca="1"/>
        <v/>
      </c>
      <c r="O309" s="7" t="str">
        <f ca="1"/>
        <v/>
      </c>
      <c r="P309" s="7" t="str">
        <f ca="1"/>
        <v/>
      </c>
      <c r="Q309" s="7" t="str">
        <f ca="1"/>
        <v/>
      </c>
      <c r="T309" s="7" t="str">
        <f ca="1"/>
        <v>Z8</v>
      </c>
      <c r="U309" s="7" t="str">
        <f ca="1"/>
        <v>0x0001D01B</v>
      </c>
      <c r="V309" s="7" t="str">
        <f ca="1"/>
        <v>MovieExtendedShutterSpeedsManual</v>
      </c>
      <c r="X309" s="8" t="s">
        <v>696</v>
      </c>
      <c r="Y309" s="8" t="s">
        <v>694</v>
      </c>
      <c r="Z309" s="8" t="s">
        <v>1211</v>
      </c>
      <c r="AA309" s="8" t="s">
        <v>1211</v>
      </c>
      <c r="AB309" s="7" t="s">
        <v>740</v>
      </c>
      <c r="AC309" s="7" t="s">
        <v>714</v>
      </c>
      <c r="AD309" s="7" t="s">
        <v>714</v>
      </c>
      <c r="AE309" s="7" t="s">
        <v>718</v>
      </c>
      <c r="AF309" s="7" t="s">
        <v>1680</v>
      </c>
      <c r="AG309" s="7" t="s">
        <v>680</v>
      </c>
      <c r="AH309" s="7" t="s">
        <v>706</v>
      </c>
      <c r="AI309" s="7" t="s">
        <v>734</v>
      </c>
      <c r="AJ309" s="7" t="s">
        <v>678</v>
      </c>
      <c r="AK309" s="7" t="s">
        <v>716</v>
      </c>
    </row>
    <row r="310" spans="1:37" x14ac:dyDescent="0.25">
      <c r="A310" s="13" t="str">
        <f ca="1"/>
        <v>0xD1BA</v>
      </c>
      <c r="B310" s="14" t="str">
        <f ca="1"/>
        <v>MonitorOffStatus</v>
      </c>
      <c r="D310" s="8" t="str">
        <f ca="1"/>
        <v>MonitorOffStatus</v>
      </c>
      <c r="E310" s="8" t="str">
        <f ca="1"/>
        <v>MonitorOffStatus</v>
      </c>
      <c r="F310" s="8" t="str">
        <f ca="1"/>
        <v>MonitorOffStatus</v>
      </c>
      <c r="G310" s="8" t="str">
        <f ca="1"/>
        <v>MonitorOffStatus</v>
      </c>
      <c r="H310" s="7" t="str">
        <f ca="1"/>
        <v/>
      </c>
      <c r="I310" s="7" t="str">
        <f ca="1"/>
        <v/>
      </c>
      <c r="J310" s="7" t="str">
        <f ca="1"/>
        <v/>
      </c>
      <c r="K310" s="7" t="str">
        <f ca="1"/>
        <v>MonitorOffStatus</v>
      </c>
      <c r="L310" s="7" t="str">
        <f ca="1"/>
        <v>MonitorOffStatus</v>
      </c>
      <c r="M310" s="7" t="str">
        <f ca="1"/>
        <v/>
      </c>
      <c r="N310" s="7" t="str">
        <f ca="1"/>
        <v/>
      </c>
      <c r="O310" s="7" t="str">
        <f ca="1"/>
        <v/>
      </c>
      <c r="P310" s="7" t="str">
        <f ca="1"/>
        <v/>
      </c>
      <c r="Q310" s="7" t="str">
        <f ca="1"/>
        <v/>
      </c>
      <c r="T310" s="7" t="str">
        <f ca="1"/>
        <v>Z8</v>
      </c>
      <c r="U310" s="7" t="str">
        <f ca="1"/>
        <v>0x0001D01C</v>
      </c>
      <c r="V310" s="7" t="str">
        <f ca="1"/>
        <v>ToneMode</v>
      </c>
      <c r="X310" s="8" t="s">
        <v>697</v>
      </c>
      <c r="Y310" s="8" t="s">
        <v>695</v>
      </c>
      <c r="Z310" s="8" t="s">
        <v>1212</v>
      </c>
      <c r="AA310" s="8" t="s">
        <v>1212</v>
      </c>
      <c r="AB310" s="7" t="s">
        <v>741</v>
      </c>
      <c r="AC310" s="7" t="s">
        <v>715</v>
      </c>
      <c r="AD310" s="7" t="s">
        <v>715</v>
      </c>
      <c r="AE310" s="7" t="s">
        <v>719</v>
      </c>
      <c r="AF310" s="7" t="s">
        <v>1681</v>
      </c>
      <c r="AG310" s="7" t="s">
        <v>681</v>
      </c>
      <c r="AH310" s="7" t="s">
        <v>707</v>
      </c>
      <c r="AI310" s="7" t="s">
        <v>1741</v>
      </c>
      <c r="AJ310" s="7" t="s">
        <v>679</v>
      </c>
      <c r="AK310" s="7" t="s">
        <v>717</v>
      </c>
    </row>
    <row r="311" spans="1:37" x14ac:dyDescent="0.25">
      <c r="A311" s="13" t="str">
        <f ca="1"/>
        <v>0xD1BB</v>
      </c>
      <c r="B311" s="14" t="str">
        <f ca="1"/>
        <v>LiveViewImageStatus</v>
      </c>
      <c r="D311" s="8" t="str">
        <f ca="1"/>
        <v>LiveViewImageStatus</v>
      </c>
      <c r="E311" s="8" t="str">
        <f ca="1"/>
        <v>LiveViewImageStatus</v>
      </c>
      <c r="F311" s="8" t="str">
        <f ca="1"/>
        <v>LiveViewImageStatus</v>
      </c>
      <c r="G311" s="8" t="str">
        <f ca="1"/>
        <v>LiveViewImageStatus</v>
      </c>
      <c r="H311" s="7" t="str">
        <f ca="1"/>
        <v>LiveViewImageStatus</v>
      </c>
      <c r="I311" s="7" t="str">
        <f ca="1"/>
        <v>LiveViewImageStatus</v>
      </c>
      <c r="J311" s="7" t="str">
        <f ca="1"/>
        <v>LiveViewImageStatus</v>
      </c>
      <c r="K311" s="7" t="str">
        <f ca="1"/>
        <v>LiveViewImageStatus</v>
      </c>
      <c r="L311" s="7" t="str">
        <f ca="1"/>
        <v>LiveViewImageStatus</v>
      </c>
      <c r="M311" s="7" t="str">
        <f ca="1"/>
        <v/>
      </c>
      <c r="N311" s="7" t="str">
        <f ca="1"/>
        <v/>
      </c>
      <c r="O311" s="7" t="str">
        <f ca="1"/>
        <v/>
      </c>
      <c r="P311" s="7" t="str">
        <f ca="1"/>
        <v/>
      </c>
      <c r="Q311" s="7" t="str">
        <f ca="1"/>
        <v/>
      </c>
      <c r="T311" s="7" t="str">
        <f ca="1"/>
        <v>Z8</v>
      </c>
      <c r="U311" s="7" t="str">
        <f ca="1"/>
        <v>0x0001D01D</v>
      </c>
      <c r="V311" s="7" t="str">
        <f ca="1"/>
        <v>ActivePicCtrlHlgItem</v>
      </c>
      <c r="X311" s="8" t="s">
        <v>698</v>
      </c>
      <c r="Y311" s="8" t="s">
        <v>696</v>
      </c>
      <c r="Z311" s="8" t="s">
        <v>718</v>
      </c>
      <c r="AA311" s="8" t="s">
        <v>718</v>
      </c>
      <c r="AB311" s="7" t="s">
        <v>742</v>
      </c>
      <c r="AC311" s="7" t="s">
        <v>1211</v>
      </c>
      <c r="AD311" s="7" t="s">
        <v>1211</v>
      </c>
      <c r="AE311" s="7" t="s">
        <v>720</v>
      </c>
      <c r="AF311" s="7" t="s">
        <v>672</v>
      </c>
      <c r="AG311" s="7" t="s">
        <v>682</v>
      </c>
      <c r="AH311" s="7" t="s">
        <v>1208</v>
      </c>
      <c r="AI311" s="7" t="s">
        <v>736</v>
      </c>
      <c r="AJ311" s="7" t="s">
        <v>1828</v>
      </c>
      <c r="AK311" s="7" t="s">
        <v>1211</v>
      </c>
    </row>
    <row r="312" spans="1:37" x14ac:dyDescent="0.25">
      <c r="A312" s="13" t="str">
        <f ca="1"/>
        <v>0xD1BC</v>
      </c>
      <c r="B312" s="14" t="str">
        <f ca="1"/>
        <v>LiveViewImageCompression</v>
      </c>
      <c r="D312" s="8" t="str">
        <f ca="1"/>
        <v>LiveViewImageCompression</v>
      </c>
      <c r="E312" s="8" t="str">
        <f ca="1"/>
        <v>LiveViewImageCompression</v>
      </c>
      <c r="F312" s="8" t="str">
        <f ca="1"/>
        <v>LiveViewImageCompression</v>
      </c>
      <c r="G312" s="8" t="str">
        <f ca="1"/>
        <v>LiveViewImageCompression</v>
      </c>
      <c r="H312" s="7" t="str">
        <f ca="1"/>
        <v>LiveViewImageCompression</v>
      </c>
      <c r="I312" s="7" t="str">
        <f ca="1"/>
        <v>LiveViewImageCompression</v>
      </c>
      <c r="J312" s="7" t="str">
        <f ca="1"/>
        <v>LiveViewImageCompression</v>
      </c>
      <c r="K312" s="7" t="str">
        <f ca="1"/>
        <v>LiveViewImageCompression</v>
      </c>
      <c r="L312" s="7" t="str">
        <f ca="1"/>
        <v>LiveViewImageCompression</v>
      </c>
      <c r="M312" s="7" t="str">
        <f ca="1"/>
        <v/>
      </c>
      <c r="N312" s="7" t="str">
        <f ca="1"/>
        <v/>
      </c>
      <c r="O312" s="7" t="str">
        <f ca="1"/>
        <v/>
      </c>
      <c r="P312" s="7" t="str">
        <f ca="1"/>
        <v/>
      </c>
      <c r="Q312" s="7" t="str">
        <f ca="1"/>
        <v/>
      </c>
      <c r="T312" s="7" t="str">
        <f ca="1"/>
        <v>Z8</v>
      </c>
      <c r="U312" s="7" t="str">
        <f ca="1"/>
        <v>0x0001D01E</v>
      </c>
      <c r="V312" s="7" t="str">
        <f ca="1"/>
        <v>ExtendedOverSampling</v>
      </c>
      <c r="X312" s="8" t="s">
        <v>699</v>
      </c>
      <c r="Y312" s="8" t="s">
        <v>697</v>
      </c>
      <c r="Z312" s="8" t="s">
        <v>719</v>
      </c>
      <c r="AA312" s="8" t="s">
        <v>719</v>
      </c>
      <c r="AB312" s="7" t="s">
        <v>743</v>
      </c>
      <c r="AC312" s="7" t="s">
        <v>1212</v>
      </c>
      <c r="AD312" s="7" t="s">
        <v>1212</v>
      </c>
      <c r="AE312" s="7" t="s">
        <v>721</v>
      </c>
      <c r="AF312" s="7" t="s">
        <v>673</v>
      </c>
      <c r="AG312" s="7" t="s">
        <v>683</v>
      </c>
      <c r="AH312" s="7" t="s">
        <v>1209</v>
      </c>
      <c r="AI312" s="7" t="s">
        <v>1742</v>
      </c>
      <c r="AJ312" s="7" t="s">
        <v>1829</v>
      </c>
      <c r="AK312" s="7" t="s">
        <v>1212</v>
      </c>
    </row>
    <row r="313" spans="1:37" x14ac:dyDescent="0.25">
      <c r="A313" s="13" t="str">
        <f ca="1"/>
        <v>0xD1BD</v>
      </c>
      <c r="B313" s="14" t="str">
        <f ca="1"/>
        <v>LiveViewZoomArea</v>
      </c>
      <c r="D313" s="8" t="str">
        <f ca="1"/>
        <v>LiveViewZoomArea</v>
      </c>
      <c r="E313" s="8" t="str">
        <f ca="1"/>
        <v>LiveViewZoomArea</v>
      </c>
      <c r="F313" s="8" t="str">
        <f ca="1"/>
        <v>LiveViewZoomArea</v>
      </c>
      <c r="G313" s="8" t="str">
        <f ca="1"/>
        <v>LiveViewZoomArea</v>
      </c>
      <c r="H313" s="7" t="str">
        <f ca="1"/>
        <v>LiveViewZoomArea</v>
      </c>
      <c r="I313" s="7" t="str">
        <f ca="1"/>
        <v>LiveViewZoomArea</v>
      </c>
      <c r="J313" s="7" t="str">
        <f ca="1"/>
        <v>LiveViewZoomArea</v>
      </c>
      <c r="K313" s="7" t="str">
        <f ca="1"/>
        <v>LiveViewZoomArea</v>
      </c>
      <c r="L313" s="7" t="str">
        <f ca="1"/>
        <v>LiveViewZoomArea</v>
      </c>
      <c r="M313" s="7" t="str">
        <f ca="1"/>
        <v/>
      </c>
      <c r="N313" s="7" t="str">
        <f ca="1"/>
        <v/>
      </c>
      <c r="O313" s="7" t="str">
        <f ca="1"/>
        <v/>
      </c>
      <c r="P313" s="7" t="str">
        <f ca="1"/>
        <v/>
      </c>
      <c r="Q313" s="7" t="str">
        <f ca="1"/>
        <v/>
      </c>
      <c r="T313" s="7" t="str">
        <f ca="1"/>
        <v>Z8</v>
      </c>
      <c r="U313" s="7" t="str">
        <f ca="1"/>
        <v>0x0001D01F</v>
      </c>
      <c r="V313" s="7" t="str">
        <f ca="1"/>
        <v>MovieExtendedIsoStepManual</v>
      </c>
      <c r="X313" s="8" t="s">
        <v>700</v>
      </c>
      <c r="Y313" s="8" t="s">
        <v>698</v>
      </c>
      <c r="Z313" s="8" t="s">
        <v>720</v>
      </c>
      <c r="AA313" s="8" t="s">
        <v>720</v>
      </c>
      <c r="AB313" s="7" t="s">
        <v>1525</v>
      </c>
      <c r="AC313" s="7" t="s">
        <v>718</v>
      </c>
      <c r="AD313" s="7" t="s">
        <v>718</v>
      </c>
      <c r="AE313" s="7" t="s">
        <v>722</v>
      </c>
      <c r="AF313" s="7" t="s">
        <v>674</v>
      </c>
      <c r="AG313" s="7" t="s">
        <v>684</v>
      </c>
      <c r="AH313" s="7" t="s">
        <v>708</v>
      </c>
      <c r="AI313" s="7" t="s">
        <v>738</v>
      </c>
      <c r="AJ313" s="7" t="s">
        <v>1830</v>
      </c>
      <c r="AK313" s="7" t="s">
        <v>718</v>
      </c>
    </row>
    <row r="314" spans="1:37" x14ac:dyDescent="0.25">
      <c r="A314" s="13" t="str">
        <f ca="1"/>
        <v>0xD1C0</v>
      </c>
      <c r="B314" s="14" t="str">
        <f ca="1"/>
        <v>InternalFlashPopup</v>
      </c>
      <c r="D314" s="8" t="str">
        <f ca="1"/>
        <v/>
      </c>
      <c r="E314" s="8" t="str">
        <f ca="1"/>
        <v/>
      </c>
      <c r="F314" s="8" t="str">
        <f ca="1"/>
        <v/>
      </c>
      <c r="G314" s="8" t="str">
        <f ca="1"/>
        <v/>
      </c>
      <c r="H314" s="7" t="str">
        <f ca="1"/>
        <v>InternalFlashPopup</v>
      </c>
      <c r="I314" s="7" t="str">
        <f ca="1"/>
        <v/>
      </c>
      <c r="J314" s="7" t="str">
        <f ca="1"/>
        <v/>
      </c>
      <c r="K314" s="7" t="str">
        <f ca="1"/>
        <v/>
      </c>
      <c r="L314" s="7" t="str">
        <f ca="1"/>
        <v/>
      </c>
      <c r="M314" s="7" t="str">
        <f ca="1"/>
        <v/>
      </c>
      <c r="N314" s="7" t="str">
        <f ca="1"/>
        <v/>
      </c>
      <c r="O314" s="7" t="str">
        <f ca="1"/>
        <v/>
      </c>
      <c r="P314" s="7" t="str">
        <f ca="1"/>
        <v/>
      </c>
      <c r="Q314" s="7" t="str">
        <f ca="1"/>
        <v/>
      </c>
      <c r="T314" s="7" t="str">
        <f ca="1"/>
        <v>Z8</v>
      </c>
      <c r="U314" s="7" t="str">
        <f ca="1"/>
        <v>0x0001D025</v>
      </c>
      <c r="V314" s="7" t="str">
        <f ca="1"/>
        <v>PreCapturePreReleaseBurst</v>
      </c>
      <c r="X314" s="8" t="s">
        <v>701</v>
      </c>
      <c r="Y314" s="8" t="s">
        <v>699</v>
      </c>
      <c r="Z314" s="8" t="s">
        <v>721</v>
      </c>
      <c r="AA314" s="8" t="s">
        <v>721</v>
      </c>
      <c r="AB314" s="7" t="s">
        <v>1526</v>
      </c>
      <c r="AC314" s="7" t="s">
        <v>719</v>
      </c>
      <c r="AD314" s="7" t="s">
        <v>719</v>
      </c>
      <c r="AE314" s="7" t="s">
        <v>723</v>
      </c>
      <c r="AF314" s="7" t="s">
        <v>675</v>
      </c>
      <c r="AG314" s="7" t="s">
        <v>685</v>
      </c>
      <c r="AH314" s="7" t="s">
        <v>1210</v>
      </c>
      <c r="AI314" s="7" t="s">
        <v>1743</v>
      </c>
      <c r="AJ314" s="7" t="s">
        <v>1831</v>
      </c>
      <c r="AK314" s="7" t="s">
        <v>719</v>
      </c>
    </row>
    <row r="315" spans="1:37" x14ac:dyDescent="0.25">
      <c r="A315" s="13" t="str">
        <f ca="1"/>
        <v>0xD1C1</v>
      </c>
      <c r="B315" s="14" t="str">
        <f ca="1"/>
        <v>InternalFlashStatus</v>
      </c>
      <c r="D315" s="8" t="str">
        <f ca="1"/>
        <v/>
      </c>
      <c r="E315" s="8" t="str">
        <f ca="1"/>
        <v/>
      </c>
      <c r="F315" s="8" t="str">
        <f ca="1"/>
        <v/>
      </c>
      <c r="G315" s="8" t="str">
        <f ca="1"/>
        <v/>
      </c>
      <c r="H315" s="7" t="str">
        <f ca="1"/>
        <v>InternalFlashStatus</v>
      </c>
      <c r="I315" s="7" t="str">
        <f ca="1"/>
        <v/>
      </c>
      <c r="J315" s="7" t="str">
        <f ca="1"/>
        <v/>
      </c>
      <c r="K315" s="7" t="str">
        <f ca="1"/>
        <v/>
      </c>
      <c r="L315" s="7" t="str">
        <f ca="1"/>
        <v/>
      </c>
      <c r="M315" s="7" t="str">
        <f ca="1"/>
        <v/>
      </c>
      <c r="N315" s="7" t="str">
        <f ca="1"/>
        <v/>
      </c>
      <c r="O315" s="7" t="str">
        <f ca="1"/>
        <v/>
      </c>
      <c r="P315" s="7" t="str">
        <f ca="1"/>
        <v/>
      </c>
      <c r="Q315" s="7" t="str">
        <f ca="1"/>
        <v/>
      </c>
      <c r="T315" s="7" t="str">
        <f ca="1"/>
        <v>Z8</v>
      </c>
      <c r="U315" s="7" t="str">
        <f ca="1"/>
        <v>0x0001D026</v>
      </c>
      <c r="V315" s="7" t="str">
        <f ca="1"/>
        <v>PreCapturePostReleaseBurst</v>
      </c>
      <c r="X315" s="8" t="s">
        <v>702</v>
      </c>
      <c r="Y315" s="8" t="s">
        <v>700</v>
      </c>
      <c r="Z315" s="8" t="s">
        <v>722</v>
      </c>
      <c r="AA315" s="8" t="s">
        <v>722</v>
      </c>
      <c r="AB315" s="7" t="s">
        <v>744</v>
      </c>
      <c r="AC315" s="7" t="s">
        <v>720</v>
      </c>
      <c r="AD315" s="7" t="s">
        <v>720</v>
      </c>
      <c r="AE315" s="7" t="s">
        <v>724</v>
      </c>
      <c r="AF315" s="7" t="s">
        <v>676</v>
      </c>
      <c r="AG315" s="7" t="s">
        <v>688</v>
      </c>
      <c r="AH315" s="7" t="s">
        <v>714</v>
      </c>
      <c r="AI315" s="7" t="s">
        <v>740</v>
      </c>
      <c r="AJ315" s="7" t="s">
        <v>1832</v>
      </c>
      <c r="AK315" s="7" t="s">
        <v>720</v>
      </c>
    </row>
    <row r="316" spans="1:37" x14ac:dyDescent="0.25">
      <c r="A316" s="13" t="str">
        <f ca="1"/>
        <v>0xD1C4</v>
      </c>
      <c r="B316" s="14" t="str">
        <f ca="1"/>
        <v>3D</v>
      </c>
      <c r="D316" s="8" t="str">
        <f ca="1"/>
        <v/>
      </c>
      <c r="E316" s="8" t="str">
        <f ca="1"/>
        <v/>
      </c>
      <c r="F316" s="8" t="str">
        <f ca="1"/>
        <v/>
      </c>
      <c r="G316" s="8" t="str">
        <f ca="1"/>
        <v/>
      </c>
      <c r="H316" s="7" t="str">
        <f ca="1"/>
        <v/>
      </c>
      <c r="I316" s="7" t="str">
        <f ca="1"/>
        <v/>
      </c>
      <c r="J316" s="7" t="str">
        <f ca="1"/>
        <v/>
      </c>
      <c r="K316" s="7" t="str">
        <f ca="1"/>
        <v/>
      </c>
      <c r="L316" s="7" t="str">
        <f ca="1"/>
        <v>3D</v>
      </c>
      <c r="M316" s="7" t="str">
        <f ca="1"/>
        <v/>
      </c>
      <c r="N316" s="7" t="str">
        <f ca="1"/>
        <v/>
      </c>
      <c r="O316" s="7" t="str">
        <f ca="1"/>
        <v/>
      </c>
      <c r="P316" s="7" t="str">
        <f ca="1"/>
        <v/>
      </c>
      <c r="Q316" s="7" t="str">
        <f ca="1"/>
        <v/>
      </c>
      <c r="T316" s="7" t="str">
        <f ca="1"/>
        <v>Z8</v>
      </c>
      <c r="U316" s="7" t="str">
        <f ca="1"/>
        <v>0x0001D028</v>
      </c>
      <c r="V316" s="7" t="str">
        <f ca="1"/>
        <v>MovieNRaw12bitToneMode</v>
      </c>
      <c r="X316" s="8" t="s">
        <v>703</v>
      </c>
      <c r="Y316" s="8" t="s">
        <v>701</v>
      </c>
      <c r="Z316" s="8" t="s">
        <v>723</v>
      </c>
      <c r="AA316" s="8" t="s">
        <v>723</v>
      </c>
      <c r="AB316" s="7" t="s">
        <v>745</v>
      </c>
      <c r="AC316" s="7" t="s">
        <v>721</v>
      </c>
      <c r="AD316" s="7" t="s">
        <v>721</v>
      </c>
      <c r="AE316" s="7" t="s">
        <v>725</v>
      </c>
      <c r="AF316" s="7" t="s">
        <v>677</v>
      </c>
      <c r="AG316" s="7" t="s">
        <v>689</v>
      </c>
      <c r="AH316" s="7" t="s">
        <v>715</v>
      </c>
      <c r="AI316" s="7" t="s">
        <v>741</v>
      </c>
      <c r="AJ316" s="7" t="s">
        <v>1833</v>
      </c>
      <c r="AK316" s="7" t="s">
        <v>1739</v>
      </c>
    </row>
    <row r="317" spans="1:37" x14ac:dyDescent="0.25">
      <c r="A317" s="13" t="str">
        <f ca="1"/>
        <v>0xD1C5</v>
      </c>
      <c r="B317" s="14" t="str">
        <f ca="1"/>
        <v>AutoFlashIsoSensitivityControl</v>
      </c>
      <c r="D317" s="8" t="str">
        <f ca="1"/>
        <v>AutoFlashIsoSensitivityControl</v>
      </c>
      <c r="E317" s="8" t="str">
        <f ca="1"/>
        <v>AutoFlashIsoSensitivityControl</v>
      </c>
      <c r="F317" s="8" t="str">
        <f ca="1"/>
        <v>AutoFlashIsoSensitivityControl</v>
      </c>
      <c r="G317" s="8" t="str">
        <f ca="1"/>
        <v>AutoFlashIsoSensitivityControl</v>
      </c>
      <c r="H317" s="7" t="str">
        <f ca="1"/>
        <v/>
      </c>
      <c r="I317" s="7" t="str">
        <f ca="1"/>
        <v/>
      </c>
      <c r="J317" s="7" t="str">
        <f ca="1"/>
        <v/>
      </c>
      <c r="K317" s="7" t="str">
        <f ca="1"/>
        <v>AutoFlashIsoSensitivityControl</v>
      </c>
      <c r="L317" s="7" t="str">
        <f ca="1"/>
        <v>AutoFlashIsoSensitivityControl</v>
      </c>
      <c r="M317" s="7" t="str">
        <f ca="1"/>
        <v/>
      </c>
      <c r="N317" s="7" t="str">
        <f ca="1"/>
        <v/>
      </c>
      <c r="O317" s="7" t="str">
        <f ca="1"/>
        <v/>
      </c>
      <c r="P317" s="7" t="str">
        <f ca="1"/>
        <v/>
      </c>
      <c r="Q317" s="7" t="str">
        <f ca="1"/>
        <v/>
      </c>
      <c r="T317" s="7" t="str">
        <f ca="1"/>
        <v>Z8</v>
      </c>
      <c r="U317" s="7" t="str">
        <f ca="1"/>
        <v>0x0001D029</v>
      </c>
      <c r="V317" s="7" t="str">
        <f ca="1"/>
        <v>MovieProResRawHq12bitToneMode</v>
      </c>
      <c r="X317" s="8" t="s">
        <v>704</v>
      </c>
      <c r="Y317" s="8" t="s">
        <v>702</v>
      </c>
      <c r="Z317" s="8" t="s">
        <v>724</v>
      </c>
      <c r="AA317" s="8" t="s">
        <v>724</v>
      </c>
      <c r="AB317" s="7" t="s">
        <v>746</v>
      </c>
      <c r="AC317" s="7" t="s">
        <v>722</v>
      </c>
      <c r="AD317" s="7" t="s">
        <v>722</v>
      </c>
      <c r="AE317" s="7" t="s">
        <v>726</v>
      </c>
      <c r="AF317" s="7" t="s">
        <v>678</v>
      </c>
      <c r="AG317" s="7" t="s">
        <v>690</v>
      </c>
      <c r="AH317" s="7" t="s">
        <v>716</v>
      </c>
      <c r="AI317" s="7" t="s">
        <v>742</v>
      </c>
      <c r="AJ317" s="7" t="s">
        <v>688</v>
      </c>
      <c r="AK317" s="7" t="s">
        <v>722</v>
      </c>
    </row>
    <row r="318" spans="1:37" x14ac:dyDescent="0.25">
      <c r="A318" s="13" t="str">
        <f ca="1"/>
        <v>0xD1C6</v>
      </c>
      <c r="B318" s="14" t="str">
        <f ca="1"/>
        <v>KeepExposureWhenFNumberChanges</v>
      </c>
      <c r="D318" s="8" t="str">
        <f ca="1"/>
        <v>KeepExposureWhenFNumberChanges</v>
      </c>
      <c r="E318" s="8" t="str">
        <f ca="1"/>
        <v>KeepExposureWhenFNumberChanges</v>
      </c>
      <c r="F318" s="8" t="str">
        <f ca="1"/>
        <v/>
      </c>
      <c r="G318" s="8" t="str">
        <f ca="1"/>
        <v/>
      </c>
      <c r="H318" s="7" t="str">
        <f ca="1"/>
        <v/>
      </c>
      <c r="I318" s="7" t="str">
        <f ca="1"/>
        <v/>
      </c>
      <c r="J318" s="7" t="str">
        <f ca="1"/>
        <v/>
      </c>
      <c r="K318" s="7" t="str">
        <f ca="1"/>
        <v/>
      </c>
      <c r="L318" s="7" t="str">
        <f ca="1"/>
        <v/>
      </c>
      <c r="M318" s="7" t="str">
        <f ca="1"/>
        <v/>
      </c>
      <c r="N318" s="7" t="str">
        <f ca="1"/>
        <v/>
      </c>
      <c r="O318" s="7" t="str">
        <f ca="1"/>
        <v/>
      </c>
      <c r="P318" s="7" t="str">
        <f ca="1"/>
        <v/>
      </c>
      <c r="Q318" s="7" t="str">
        <f ca="1"/>
        <v/>
      </c>
      <c r="T318" s="7" t="str">
        <f ca="1"/>
        <v>Z8</v>
      </c>
      <c r="U318" s="7" t="str">
        <f ca="1"/>
        <v>0x0001D02A</v>
      </c>
      <c r="V318" s="7" t="str">
        <f ca="1"/>
        <v>MovieQualityNRaw</v>
      </c>
      <c r="X318" s="8" t="s">
        <v>705</v>
      </c>
      <c r="Y318" s="8" t="s">
        <v>703</v>
      </c>
      <c r="Z318" s="8" t="s">
        <v>725</v>
      </c>
      <c r="AA318" s="8" t="s">
        <v>725</v>
      </c>
      <c r="AB318" s="7" t="s">
        <v>747</v>
      </c>
      <c r="AC318" s="7" t="s">
        <v>723</v>
      </c>
      <c r="AD318" s="7" t="s">
        <v>723</v>
      </c>
      <c r="AE318" s="7" t="s">
        <v>727</v>
      </c>
      <c r="AF318" s="7" t="s">
        <v>679</v>
      </c>
      <c r="AG318" s="7" t="s">
        <v>691</v>
      </c>
      <c r="AH318" s="7" t="s">
        <v>717</v>
      </c>
      <c r="AI318" s="7" t="s">
        <v>1744</v>
      </c>
      <c r="AJ318" s="7" t="s">
        <v>689</v>
      </c>
      <c r="AK318" s="7" t="s">
        <v>723</v>
      </c>
    </row>
    <row r="319" spans="1:37" x14ac:dyDescent="0.25">
      <c r="A319" s="13" t="str">
        <f ca="1"/>
        <v>0xD1DE</v>
      </c>
      <c r="B319" s="14" t="str">
        <f ca="1"/>
        <v>ExternalRecordingControl</v>
      </c>
      <c r="D319" s="8" t="str">
        <f ca="1"/>
        <v>ExternalRecordingControl</v>
      </c>
      <c r="E319" s="8" t="str">
        <f ca="1"/>
        <v>ExternalRecordingControl</v>
      </c>
      <c r="F319" s="8" t="str">
        <f ca="1"/>
        <v>ExternalRecordingControl</v>
      </c>
      <c r="G319" s="8" t="str">
        <f ca="1"/>
        <v>ExternalRecordingControl</v>
      </c>
      <c r="H319" s="7" t="str">
        <f ca="1"/>
        <v/>
      </c>
      <c r="I319" s="7" t="str">
        <f ca="1"/>
        <v>ExternalRecordingControl</v>
      </c>
      <c r="J319" s="7" t="str">
        <f ca="1"/>
        <v>ExternalRecordingControl</v>
      </c>
      <c r="K319" s="7" t="str">
        <f ca="1"/>
        <v>ExternalRecordingControl</v>
      </c>
      <c r="L319" s="7" t="str">
        <f ca="1"/>
        <v>ExternalRecordingControl</v>
      </c>
      <c r="M319" s="7" t="str">
        <f ca="1"/>
        <v/>
      </c>
      <c r="N319" s="7" t="str">
        <f ca="1"/>
        <v/>
      </c>
      <c r="O319" s="7" t="str">
        <f ca="1"/>
        <v/>
      </c>
      <c r="P319" s="7" t="str">
        <f ca="1"/>
        <v/>
      </c>
      <c r="Q319" s="7" t="str">
        <f ca="1"/>
        <v/>
      </c>
      <c r="T319" s="7" t="str">
        <f ca="1"/>
        <v>Z8</v>
      </c>
      <c r="U319" s="7" t="str">
        <f ca="1"/>
        <v>0x0001D031</v>
      </c>
      <c r="V319" s="7" t="str">
        <f ca="1"/>
        <v>HighFrequencyFlickerReduction</v>
      </c>
      <c r="X319" s="8" t="s">
        <v>706</v>
      </c>
      <c r="Y319" s="8" t="s">
        <v>704</v>
      </c>
      <c r="Z319" s="8" t="s">
        <v>726</v>
      </c>
      <c r="AA319" s="8" t="s">
        <v>726</v>
      </c>
      <c r="AB319" s="7" t="s">
        <v>1527</v>
      </c>
      <c r="AC319" s="7" t="s">
        <v>724</v>
      </c>
      <c r="AD319" s="7" t="s">
        <v>724</v>
      </c>
      <c r="AE319" s="7" t="s">
        <v>728</v>
      </c>
      <c r="AF319" s="7" t="s">
        <v>680</v>
      </c>
      <c r="AG319" s="7" t="s">
        <v>692</v>
      </c>
      <c r="AH319" s="7" t="s">
        <v>1211</v>
      </c>
      <c r="AI319" s="7" t="s">
        <v>1525</v>
      </c>
      <c r="AJ319" s="7" t="s">
        <v>690</v>
      </c>
      <c r="AK319" s="7" t="s">
        <v>1834</v>
      </c>
    </row>
    <row r="320" spans="1:37" x14ac:dyDescent="0.25">
      <c r="A320" s="13" t="str">
        <f ca="1"/>
        <v>0xD1DF</v>
      </c>
      <c r="B320" s="14" t="str">
        <f ca="1"/>
        <v>HighlightBrightness</v>
      </c>
      <c r="D320" s="8" t="str">
        <f ca="1"/>
        <v>HighlightBrightness</v>
      </c>
      <c r="E320" s="8" t="str">
        <f ca="1"/>
        <v>HighlightBrightness</v>
      </c>
      <c r="F320" s="8" t="str">
        <f ca="1"/>
        <v>HighlightBrightness</v>
      </c>
      <c r="G320" s="8" t="str">
        <f ca="1"/>
        <v>HighlightBrightness</v>
      </c>
      <c r="H320" s="7" t="str">
        <f ca="1"/>
        <v>HighlightBrightness</v>
      </c>
      <c r="I320" s="7" t="str">
        <f ca="1"/>
        <v>HighlightBrightness</v>
      </c>
      <c r="J320" s="7" t="str">
        <f ca="1"/>
        <v>HighlightBrightness</v>
      </c>
      <c r="K320" s="7" t="str">
        <f ca="1"/>
        <v>HighlightBrightness</v>
      </c>
      <c r="L320" s="7" t="str">
        <f ca="1"/>
        <v>HighlightBrightness</v>
      </c>
      <c r="M320" s="7" t="str">
        <f ca="1"/>
        <v/>
      </c>
      <c r="N320" s="7" t="str">
        <f ca="1"/>
        <v/>
      </c>
      <c r="O320" s="7" t="str">
        <f ca="1"/>
        <v/>
      </c>
      <c r="P320" s="7" t="str">
        <f ca="1"/>
        <v/>
      </c>
      <c r="Q320" s="7" t="str">
        <f ca="1"/>
        <v/>
      </c>
      <c r="T320" s="7" t="str">
        <f ca="1"/>
        <v>Z8</v>
      </c>
      <c r="U320" s="7" t="str">
        <f ca="1"/>
        <v>0x0001D032</v>
      </c>
      <c r="V320" s="7" t="str">
        <f ca="1"/>
        <v>MovieHighFrequencyFlickerReduction</v>
      </c>
      <c r="X320" s="8" t="s">
        <v>707</v>
      </c>
      <c r="Y320" s="8" t="s">
        <v>705</v>
      </c>
      <c r="Z320" s="8" t="s">
        <v>727</v>
      </c>
      <c r="AA320" s="8" t="s">
        <v>727</v>
      </c>
      <c r="AB320" s="7" t="s">
        <v>1528</v>
      </c>
      <c r="AC320" s="7" t="s">
        <v>725</v>
      </c>
      <c r="AD320" s="7" t="s">
        <v>725</v>
      </c>
      <c r="AE320" s="7" t="s">
        <v>729</v>
      </c>
      <c r="AF320" s="7" t="s">
        <v>681</v>
      </c>
      <c r="AG320" s="7" t="s">
        <v>693</v>
      </c>
      <c r="AH320" s="7" t="s">
        <v>1212</v>
      </c>
      <c r="AI320" s="7" t="s">
        <v>1526</v>
      </c>
      <c r="AJ320" s="7" t="s">
        <v>691</v>
      </c>
      <c r="AK320" s="7" t="s">
        <v>1835</v>
      </c>
    </row>
    <row r="321" spans="1:37" x14ac:dyDescent="0.25">
      <c r="A321" s="13" t="str">
        <f ca="1"/>
        <v>0xD1E2</v>
      </c>
      <c r="B321" s="14" t="str">
        <f ca="1"/>
        <v>SBWirelessMode</v>
      </c>
      <c r="D321" s="8" t="str">
        <f ca="1"/>
        <v>SBWirelessMode</v>
      </c>
      <c r="E321" s="8" t="str">
        <f ca="1"/>
        <v>SBWirelessMode</v>
      </c>
      <c r="F321" s="8" t="str">
        <f ca="1"/>
        <v>SBWirelessMode</v>
      </c>
      <c r="G321" s="8" t="str">
        <f ca="1"/>
        <v>SBWirelessMode</v>
      </c>
      <c r="H321" s="7" t="str">
        <f ca="1"/>
        <v/>
      </c>
      <c r="I321" s="7" t="str">
        <f ca="1"/>
        <v>SBWirelessMode</v>
      </c>
      <c r="J321" s="7" t="str">
        <f ca="1"/>
        <v>SBWirelessMode</v>
      </c>
      <c r="K321" s="7" t="str">
        <f ca="1"/>
        <v>SBWirelessMode</v>
      </c>
      <c r="L321" s="7" t="str">
        <f ca="1"/>
        <v>SBWirelessMode</v>
      </c>
      <c r="M321" s="7" t="str">
        <f ca="1"/>
        <v>SBWirelessMode</v>
      </c>
      <c r="N321" s="7" t="str">
        <f ca="1"/>
        <v/>
      </c>
      <c r="O321" s="7" t="str">
        <f ca="1"/>
        <v/>
      </c>
      <c r="P321" s="7" t="str">
        <f ca="1"/>
        <v/>
      </c>
      <c r="Q321" s="7" t="str">
        <f ca="1"/>
        <v/>
      </c>
      <c r="T321" s="7" t="str">
        <f ca="1"/>
        <v>Z8</v>
      </c>
      <c r="U321" s="7" t="str">
        <f ca="1"/>
        <v>0x0001D033</v>
      </c>
      <c r="V321" s="7" t="str">
        <f ca="1"/>
        <v>HiResZoom</v>
      </c>
      <c r="X321" s="8" t="s">
        <v>708</v>
      </c>
      <c r="Y321" s="8" t="s">
        <v>706</v>
      </c>
      <c r="Z321" s="8" t="s">
        <v>728</v>
      </c>
      <c r="AA321" s="8" t="s">
        <v>728</v>
      </c>
      <c r="AB321" s="7" t="s">
        <v>1213</v>
      </c>
      <c r="AC321" s="7" t="s">
        <v>726</v>
      </c>
      <c r="AD321" s="7" t="s">
        <v>726</v>
      </c>
      <c r="AE321" s="7" t="s">
        <v>730</v>
      </c>
      <c r="AF321" s="7" t="s">
        <v>682</v>
      </c>
      <c r="AG321" s="7" t="s">
        <v>694</v>
      </c>
      <c r="AH321" s="7" t="s">
        <v>718</v>
      </c>
      <c r="AI321" s="7" t="s">
        <v>1682</v>
      </c>
      <c r="AJ321" s="7" t="s">
        <v>692</v>
      </c>
      <c r="AK321" s="7" t="s">
        <v>724</v>
      </c>
    </row>
    <row r="322" spans="1:37" x14ac:dyDescent="0.25">
      <c r="A322" s="13" t="str">
        <f ca="1"/>
        <v>0xD1E3</v>
      </c>
      <c r="B322" s="14" t="str">
        <f ca="1"/>
        <v>SBWirelessMultipleFlashMode</v>
      </c>
      <c r="D322" s="8" t="str">
        <f ca="1"/>
        <v>SBWirelessMultipleFlashMode</v>
      </c>
      <c r="E322" s="8" t="str">
        <f ca="1"/>
        <v>SBWirelessMultipleFlashMode</v>
      </c>
      <c r="F322" s="8" t="str">
        <f ca="1"/>
        <v>SBWirelessMultipleFlashMode</v>
      </c>
      <c r="G322" s="8" t="str">
        <f ca="1"/>
        <v>SBWirelessMultipleFlashMode</v>
      </c>
      <c r="H322" s="7" t="str">
        <f ca="1"/>
        <v/>
      </c>
      <c r="I322" s="7" t="str">
        <f ca="1"/>
        <v>SBWirelessMultipleFlashMode</v>
      </c>
      <c r="J322" s="7" t="str">
        <f ca="1"/>
        <v>SBWirelessMultipleFlashMode</v>
      </c>
      <c r="K322" s="7" t="str">
        <f ca="1"/>
        <v>SBWirelessMultipleFlashMode</v>
      </c>
      <c r="L322" s="7" t="str">
        <f ca="1"/>
        <v>SBWirelessMultipleFlashMode</v>
      </c>
      <c r="M322" s="7" t="str">
        <f ca="1"/>
        <v>SBWirelessMultipleFlashMode</v>
      </c>
      <c r="N322" s="7" t="str">
        <f ca="1"/>
        <v/>
      </c>
      <c r="O322" s="7" t="str">
        <f ca="1"/>
        <v/>
      </c>
      <c r="P322" s="7" t="str">
        <f ca="1"/>
        <v/>
      </c>
      <c r="Q322" s="7" t="str">
        <f ca="1"/>
        <v/>
      </c>
      <c r="T322" s="7" t="str">
        <f ca="1"/>
        <v>Z8</v>
      </c>
      <c r="U322" s="7" t="str">
        <f ca="1"/>
        <v>0x0001D036</v>
      </c>
      <c r="V322" s="7" t="str">
        <f ca="1"/>
        <v>ViewModeShowEffectsOfSettings</v>
      </c>
      <c r="X322" s="8" t="s">
        <v>709</v>
      </c>
      <c r="Y322" s="8" t="s">
        <v>707</v>
      </c>
      <c r="Z322" s="8" t="s">
        <v>729</v>
      </c>
      <c r="AA322" s="8" t="s">
        <v>729</v>
      </c>
      <c r="AB322" s="7" t="s">
        <v>1214</v>
      </c>
      <c r="AC322" s="7" t="s">
        <v>727</v>
      </c>
      <c r="AD322" s="7" t="s">
        <v>727</v>
      </c>
      <c r="AE322" s="7" t="s">
        <v>731</v>
      </c>
      <c r="AF322" s="7" t="s">
        <v>683</v>
      </c>
      <c r="AG322" s="7" t="s">
        <v>695</v>
      </c>
      <c r="AH322" s="7" t="s">
        <v>719</v>
      </c>
      <c r="AI322" s="7" t="s">
        <v>1715</v>
      </c>
      <c r="AJ322" s="7" t="s">
        <v>693</v>
      </c>
      <c r="AK322" s="7" t="s">
        <v>725</v>
      </c>
    </row>
    <row r="323" spans="1:37" x14ac:dyDescent="0.25">
      <c r="A323" s="13" t="str">
        <f ca="1"/>
        <v>0xD1E4</v>
      </c>
      <c r="B323" s="14" t="str">
        <f ca="1"/>
        <v>SBUsableGroup</v>
      </c>
      <c r="D323" s="8" t="str">
        <f ca="1"/>
        <v>SBUsableGroup</v>
      </c>
      <c r="E323" s="8" t="str">
        <f ca="1"/>
        <v>SBUsableGroup</v>
      </c>
      <c r="F323" s="8" t="str">
        <f ca="1"/>
        <v>SBUsableGroup</v>
      </c>
      <c r="G323" s="8" t="str">
        <f ca="1"/>
        <v>SBUsableGroup</v>
      </c>
      <c r="H323" s="7" t="str">
        <f ca="1"/>
        <v/>
      </c>
      <c r="I323" s="7" t="str">
        <f ca="1"/>
        <v>SBUsableGroup</v>
      </c>
      <c r="J323" s="7" t="str">
        <f ca="1"/>
        <v>SBUsableGroup</v>
      </c>
      <c r="K323" s="7" t="str">
        <f ca="1"/>
        <v>SBUsableGroup</v>
      </c>
      <c r="L323" s="7" t="str">
        <f ca="1"/>
        <v>SBUsableGroup</v>
      </c>
      <c r="M323" s="7" t="str">
        <f ca="1"/>
        <v>SBUsableGroup</v>
      </c>
      <c r="N323" s="7" t="str">
        <f ca="1"/>
        <v/>
      </c>
      <c r="O323" s="7" t="str">
        <f ca="1"/>
        <v/>
      </c>
      <c r="P323" s="7" t="str">
        <f ca="1"/>
        <v/>
      </c>
      <c r="Q323" s="7" t="str">
        <f ca="1"/>
        <v/>
      </c>
      <c r="T323" s="7" t="str">
        <f ca="1"/>
        <v>Z8</v>
      </c>
      <c r="U323" s="7" t="str">
        <f ca="1"/>
        <v>0x0001D03D</v>
      </c>
      <c r="V323" s="7" t="str">
        <f ca="1"/>
        <v>FlickerReductionShutterSpeed</v>
      </c>
      <c r="X323" s="8" t="s">
        <v>710</v>
      </c>
      <c r="Y323" s="8" t="s">
        <v>708</v>
      </c>
      <c r="Z323" s="8" t="s">
        <v>730</v>
      </c>
      <c r="AA323" s="8" t="s">
        <v>730</v>
      </c>
      <c r="AB323" s="7" t="s">
        <v>1215</v>
      </c>
      <c r="AC323" s="7" t="s">
        <v>728</v>
      </c>
      <c r="AD323" s="7" t="s">
        <v>728</v>
      </c>
      <c r="AE323" s="7" t="s">
        <v>734</v>
      </c>
      <c r="AF323" s="7" t="s">
        <v>684</v>
      </c>
      <c r="AG323" s="7" t="s">
        <v>696</v>
      </c>
      <c r="AH323" s="7" t="s">
        <v>720</v>
      </c>
      <c r="AI323" s="7" t="s">
        <v>746</v>
      </c>
      <c r="AJ323" s="7" t="s">
        <v>694</v>
      </c>
      <c r="AK323" s="7" t="s">
        <v>726</v>
      </c>
    </row>
    <row r="324" spans="1:37" x14ac:dyDescent="0.25">
      <c r="A324" s="13" t="str">
        <f ca="1"/>
        <v>0xD1E5</v>
      </c>
      <c r="B324" s="14" t="str">
        <f ca="1"/>
        <v>WirelessCLSEntryMode</v>
      </c>
      <c r="D324" s="8" t="str">
        <f ca="1"/>
        <v>WirelessCLSEntryMode</v>
      </c>
      <c r="E324" s="8" t="str">
        <f ca="1"/>
        <v>WirelessCLSEntryMode</v>
      </c>
      <c r="F324" s="8" t="str">
        <f ca="1"/>
        <v>WirelessCLSEntryMode</v>
      </c>
      <c r="G324" s="8" t="str">
        <f ca="1"/>
        <v>WirelessCLSEntryMode</v>
      </c>
      <c r="H324" s="7" t="str">
        <f ca="1"/>
        <v/>
      </c>
      <c r="I324" s="7" t="str">
        <f ca="1"/>
        <v>WirelessCLSEntryMode</v>
      </c>
      <c r="J324" s="7" t="str">
        <f ca="1"/>
        <v>WirelessCLSEntryMode</v>
      </c>
      <c r="K324" s="7" t="str">
        <f ca="1"/>
        <v>WirelessCLSEntryMode</v>
      </c>
      <c r="L324" s="7" t="str">
        <f ca="1"/>
        <v>WirelessCLSEntryMode</v>
      </c>
      <c r="M324" s="7" t="str">
        <f ca="1"/>
        <v>WirelessCLSEntryMode</v>
      </c>
      <c r="N324" s="7" t="str">
        <f ca="1"/>
        <v/>
      </c>
      <c r="O324" s="7" t="str">
        <f ca="1"/>
        <v/>
      </c>
      <c r="P324" s="7" t="str">
        <f ca="1"/>
        <v/>
      </c>
      <c r="Q324" s="7" t="str">
        <f ca="1"/>
        <v/>
      </c>
      <c r="T324" s="7" t="str">
        <f ca="1"/>
        <v>Z8</v>
      </c>
      <c r="U324" s="7" t="str">
        <f ca="1"/>
        <v>0x0001D041</v>
      </c>
      <c r="V324" s="7" t="str">
        <f ca="1"/>
        <v>EnableDXImageSize</v>
      </c>
      <c r="X324" s="8" t="s">
        <v>711</v>
      </c>
      <c r="Y324" s="8" t="s">
        <v>709</v>
      </c>
      <c r="Z324" s="8" t="s">
        <v>731</v>
      </c>
      <c r="AA324" s="8" t="s">
        <v>731</v>
      </c>
      <c r="AB324" s="7" t="s">
        <v>1216</v>
      </c>
      <c r="AC324" s="7" t="s">
        <v>729</v>
      </c>
      <c r="AD324" s="7" t="s">
        <v>729</v>
      </c>
      <c r="AE324" s="7" t="s">
        <v>735</v>
      </c>
      <c r="AF324" s="7" t="s">
        <v>685</v>
      </c>
      <c r="AG324" s="7" t="s">
        <v>697</v>
      </c>
      <c r="AH324" s="7" t="s">
        <v>721</v>
      </c>
      <c r="AI324" s="7" t="s">
        <v>747</v>
      </c>
      <c r="AJ324" s="7" t="s">
        <v>695</v>
      </c>
      <c r="AK324" s="7" t="s">
        <v>727</v>
      </c>
    </row>
    <row r="325" spans="1:37" x14ac:dyDescent="0.25">
      <c r="A325" s="13" t="str">
        <f ca="1"/>
        <v>0xD1E6</v>
      </c>
      <c r="B325" s="14" t="str">
        <f ca="1"/>
        <v>SBPINCode</v>
      </c>
      <c r="D325" s="8" t="str">
        <f ca="1"/>
        <v>SBPINCode</v>
      </c>
      <c r="E325" s="8" t="str">
        <f ca="1"/>
        <v>SBPINCode</v>
      </c>
      <c r="F325" s="8" t="str">
        <f ca="1"/>
        <v>SBPINCode</v>
      </c>
      <c r="G325" s="8" t="str">
        <f ca="1"/>
        <v>SBPINCode</v>
      </c>
      <c r="H325" s="7" t="str">
        <f ca="1"/>
        <v/>
      </c>
      <c r="I325" s="7" t="str">
        <f ca="1"/>
        <v>SBPINCode</v>
      </c>
      <c r="J325" s="7" t="str">
        <f ca="1"/>
        <v>SBPINCode</v>
      </c>
      <c r="K325" s="7" t="str">
        <f ca="1"/>
        <v>SBPINCode</v>
      </c>
      <c r="L325" s="7" t="str">
        <f ca="1"/>
        <v>SBPINCode</v>
      </c>
      <c r="M325" s="7" t="str">
        <f ca="1"/>
        <v>SBPINCode</v>
      </c>
      <c r="N325" s="7" t="str">
        <f ca="1"/>
        <v/>
      </c>
      <c r="O325" s="7" t="str">
        <f ca="1"/>
        <v/>
      </c>
      <c r="P325" s="7" t="str">
        <f ca="1"/>
        <v/>
      </c>
      <c r="Q325" s="7" t="str">
        <f ca="1"/>
        <v/>
      </c>
      <c r="T325" s="7" t="str">
        <f ca="1"/>
        <v>Z8</v>
      </c>
      <c r="U325" s="7" t="str">
        <f ca="1"/>
        <v>0x0001D042</v>
      </c>
      <c r="V325" s="7" t="str">
        <f ca="1"/>
        <v>ImageSizeDX</v>
      </c>
      <c r="X325" s="8" t="s">
        <v>712</v>
      </c>
      <c r="Y325" s="8" t="s">
        <v>710</v>
      </c>
      <c r="Z325" s="8" t="s">
        <v>734</v>
      </c>
      <c r="AA325" s="8" t="s">
        <v>734</v>
      </c>
      <c r="AB325" s="7" t="s">
        <v>752</v>
      </c>
      <c r="AC325" s="7" t="s">
        <v>730</v>
      </c>
      <c r="AD325" s="7" t="s">
        <v>730</v>
      </c>
      <c r="AE325" s="7" t="s">
        <v>736</v>
      </c>
      <c r="AF325" s="7" t="s">
        <v>686</v>
      </c>
      <c r="AG325" s="7" t="s">
        <v>700</v>
      </c>
      <c r="AH325" s="7" t="s">
        <v>722</v>
      </c>
      <c r="AI325" s="7" t="s">
        <v>762</v>
      </c>
      <c r="AJ325" s="7" t="s">
        <v>696</v>
      </c>
      <c r="AK325" s="7" t="s">
        <v>728</v>
      </c>
    </row>
    <row r="326" spans="1:37" x14ac:dyDescent="0.25">
      <c r="A326" s="13" t="str">
        <f ca="1"/>
        <v>0xD1E7</v>
      </c>
      <c r="B326" s="14" t="str">
        <f ca="1"/>
        <v>RadioMultipleFlashChannel</v>
      </c>
      <c r="D326" s="8" t="str">
        <f ca="1"/>
        <v>RadioMultipleFlashChannel</v>
      </c>
      <c r="E326" s="8" t="str">
        <f ca="1"/>
        <v>RadioMultipleFlashChannel</v>
      </c>
      <c r="F326" s="8" t="str">
        <f ca="1"/>
        <v>RadioMultipleFlashChannel</v>
      </c>
      <c r="G326" s="8" t="str">
        <f ca="1"/>
        <v>RadioMultipleFlashChannel</v>
      </c>
      <c r="H326" s="7" t="str">
        <f ca="1"/>
        <v/>
      </c>
      <c r="I326" s="7" t="str">
        <f ca="1"/>
        <v>RadioMultipleFlashChannel</v>
      </c>
      <c r="J326" s="7" t="str">
        <f ca="1"/>
        <v>RadioMultipleFlashChannel</v>
      </c>
      <c r="K326" s="7" t="str">
        <f ca="1"/>
        <v>RadioMultipleFlashChannel</v>
      </c>
      <c r="L326" s="7" t="str">
        <f ca="1"/>
        <v>RadioMultipleFlashChannel</v>
      </c>
      <c r="M326" s="7" t="str">
        <f ca="1"/>
        <v>RadioMultipleFlashChannel</v>
      </c>
      <c r="N326" s="7" t="str">
        <f ca="1"/>
        <v/>
      </c>
      <c r="O326" s="7" t="str">
        <f ca="1"/>
        <v/>
      </c>
      <c r="P326" s="7" t="str">
        <f ca="1"/>
        <v/>
      </c>
      <c r="Q326" s="7" t="str">
        <f ca="1"/>
        <v/>
      </c>
      <c r="T326" s="7" t="str">
        <f ca="1"/>
        <v>Z8</v>
      </c>
      <c r="U326" s="7" t="str">
        <f ca="1"/>
        <v>0x0001D046</v>
      </c>
      <c r="V326" s="7" t="str">
        <f ca="1"/>
        <v>WideAreaAFC1</v>
      </c>
      <c r="X326" s="8" t="s">
        <v>713</v>
      </c>
      <c r="Y326" s="8" t="s">
        <v>711</v>
      </c>
      <c r="Z326" s="8" t="s">
        <v>735</v>
      </c>
      <c r="AA326" s="8" t="s">
        <v>735</v>
      </c>
      <c r="AB326" s="7" t="s">
        <v>1217</v>
      </c>
      <c r="AC326" s="7" t="s">
        <v>731</v>
      </c>
      <c r="AD326" s="7" t="s">
        <v>731</v>
      </c>
      <c r="AE326" s="7" t="s">
        <v>737</v>
      </c>
      <c r="AF326" s="7" t="s">
        <v>687</v>
      </c>
      <c r="AG326" s="7" t="s">
        <v>701</v>
      </c>
      <c r="AH326" s="7" t="s">
        <v>723</v>
      </c>
      <c r="AI326" s="7" t="s">
        <v>763</v>
      </c>
      <c r="AJ326" s="7" t="s">
        <v>697</v>
      </c>
      <c r="AK326" s="7" t="s">
        <v>729</v>
      </c>
    </row>
    <row r="327" spans="1:37" x14ac:dyDescent="0.25">
      <c r="A327" s="13" t="str">
        <f ca="1"/>
        <v>0xD1E8</v>
      </c>
      <c r="B327" s="14" t="str">
        <f ca="1"/>
        <v>OpticalMultipleFlashChannel</v>
      </c>
      <c r="D327" s="8" t="str">
        <f ca="1"/>
        <v>OpticalMultipleFlashChannel</v>
      </c>
      <c r="E327" s="8" t="str">
        <f ca="1"/>
        <v>OpticalMultipleFlashChannel</v>
      </c>
      <c r="F327" s="8" t="str">
        <f ca="1"/>
        <v>OpticalMultipleFlashChannel</v>
      </c>
      <c r="G327" s="8" t="str">
        <f ca="1"/>
        <v>OpticalMultipleFlashChannel</v>
      </c>
      <c r="H327" s="7" t="str">
        <f ca="1"/>
        <v/>
      </c>
      <c r="I327" s="7" t="str">
        <f ca="1"/>
        <v>OpticalMultipleFlashChannel</v>
      </c>
      <c r="J327" s="7" t="str">
        <f ca="1"/>
        <v>OpticalMultipleFlashChannel</v>
      </c>
      <c r="K327" s="7" t="str">
        <f ca="1"/>
        <v>OpticalMultipleFlashChannel</v>
      </c>
      <c r="L327" s="7" t="str">
        <f ca="1"/>
        <v>OpticalMultipleFlashChannel</v>
      </c>
      <c r="M327" s="7" t="str">
        <f ca="1"/>
        <v>OpticalMultipleFlashChannel</v>
      </c>
      <c r="N327" s="7" t="str">
        <f ca="1"/>
        <v/>
      </c>
      <c r="O327" s="7" t="str">
        <f ca="1"/>
        <v/>
      </c>
      <c r="P327" s="7" t="str">
        <f ca="1"/>
        <v/>
      </c>
      <c r="Q327" s="7" t="str">
        <f ca="1"/>
        <v/>
      </c>
      <c r="T327" s="7" t="str">
        <f ca="1"/>
        <v>Z8</v>
      </c>
      <c r="U327" s="7" t="str">
        <f ca="1"/>
        <v>0x0001D045</v>
      </c>
      <c r="V327" s="7" t="str">
        <f ca="1"/>
        <v>PixelShiftShootingMode</v>
      </c>
      <c r="X327" s="8" t="s">
        <v>714</v>
      </c>
      <c r="Y327" s="8" t="s">
        <v>712</v>
      </c>
      <c r="Z327" s="8" t="s">
        <v>736</v>
      </c>
      <c r="AA327" s="8" t="s">
        <v>736</v>
      </c>
      <c r="AB327" s="7" t="s">
        <v>754</v>
      </c>
      <c r="AC327" s="7" t="s">
        <v>734</v>
      </c>
      <c r="AD327" s="7" t="s">
        <v>734</v>
      </c>
      <c r="AE327" s="7" t="s">
        <v>738</v>
      </c>
      <c r="AF327" s="7" t="s">
        <v>688</v>
      </c>
      <c r="AG327" s="7" t="s">
        <v>706</v>
      </c>
      <c r="AH327" s="7" t="s">
        <v>724</v>
      </c>
      <c r="AI327" s="7" t="s">
        <v>764</v>
      </c>
      <c r="AJ327" s="7" t="s">
        <v>716</v>
      </c>
      <c r="AK327" s="7" t="s">
        <v>730</v>
      </c>
    </row>
    <row r="328" spans="1:37" x14ac:dyDescent="0.25">
      <c r="A328" s="13" t="str">
        <f ca="1"/>
        <v>0xD1E9</v>
      </c>
      <c r="B328" s="14" t="str">
        <f ca="1"/>
        <v>FlashRangeDisplay</v>
      </c>
      <c r="D328" s="8" t="str">
        <f ca="1"/>
        <v>FlashRangeDisplay</v>
      </c>
      <c r="E328" s="8" t="str">
        <f ca="1"/>
        <v>FlashRangeDisplay</v>
      </c>
      <c r="F328" s="8" t="str">
        <f ca="1"/>
        <v>FlashRangeDisplay</v>
      </c>
      <c r="G328" s="8" t="str">
        <f ca="1"/>
        <v>FlashRangeDisplay</v>
      </c>
      <c r="H328" s="7" t="str">
        <f ca="1"/>
        <v/>
      </c>
      <c r="I328" s="7" t="str">
        <f ca="1"/>
        <v>FlashRangeDisplay</v>
      </c>
      <c r="J328" s="7" t="str">
        <f ca="1"/>
        <v>FlashRangeDisplay</v>
      </c>
      <c r="K328" s="7" t="str">
        <f ca="1"/>
        <v>FlashRangeDisplay</v>
      </c>
      <c r="L328" s="7" t="str">
        <f ca="1"/>
        <v>FlashRangeDisplay</v>
      </c>
      <c r="M328" s="7" t="str">
        <f ca="1"/>
        <v>FlashRangeDisplay</v>
      </c>
      <c r="N328" s="7" t="str">
        <f ca="1"/>
        <v/>
      </c>
      <c r="O328" s="7" t="str">
        <f ca="1"/>
        <v/>
      </c>
      <c r="P328" s="7" t="str">
        <f ca="1"/>
        <v/>
      </c>
      <c r="Q328" s="7" t="str">
        <f ca="1"/>
        <v/>
      </c>
      <c r="T328" s="7" t="str">
        <f ca="1"/>
        <v>Z8</v>
      </c>
      <c r="U328" s="7" t="str">
        <f ca="1"/>
        <v>0x0001D047</v>
      </c>
      <c r="V328" s="7" t="str">
        <f ca="1"/>
        <v>WideAreaAFC2</v>
      </c>
      <c r="X328" s="8" t="s">
        <v>715</v>
      </c>
      <c r="Y328" s="8" t="s">
        <v>713</v>
      </c>
      <c r="Z328" s="8" t="s">
        <v>737</v>
      </c>
      <c r="AA328" s="8" t="s">
        <v>737</v>
      </c>
      <c r="AB328" s="7" t="s">
        <v>755</v>
      </c>
      <c r="AC328" s="7" t="s">
        <v>735</v>
      </c>
      <c r="AD328" s="7" t="s">
        <v>735</v>
      </c>
      <c r="AE328" s="7" t="s">
        <v>739</v>
      </c>
      <c r="AF328" s="7" t="s">
        <v>689</v>
      </c>
      <c r="AG328" s="7" t="s">
        <v>707</v>
      </c>
      <c r="AH328" s="7" t="s">
        <v>725</v>
      </c>
      <c r="AI328" s="7" t="s">
        <v>765</v>
      </c>
      <c r="AJ328" s="7" t="s">
        <v>717</v>
      </c>
      <c r="AK328" s="7" t="s">
        <v>731</v>
      </c>
    </row>
    <row r="329" spans="1:37" x14ac:dyDescent="0.25">
      <c r="A329" s="13" t="str">
        <f ca="1"/>
        <v>0xD1EA</v>
      </c>
      <c r="B329" s="14" t="str">
        <f ca="1"/>
        <v>AllTestFiringDisable</v>
      </c>
      <c r="D329" s="8" t="str">
        <f ca="1"/>
        <v>AllTestFiringDisable</v>
      </c>
      <c r="E329" s="8" t="str">
        <f ca="1"/>
        <v>AllTestFiringDisable</v>
      </c>
      <c r="F329" s="8" t="str">
        <f ca="1"/>
        <v>AllTestFiringDisable</v>
      </c>
      <c r="G329" s="8" t="str">
        <f ca="1"/>
        <v>AllTestFiringDisable</v>
      </c>
      <c r="H329" s="7" t="str">
        <f ca="1"/>
        <v/>
      </c>
      <c r="I329" s="7" t="str">
        <f ca="1"/>
        <v>AllTestFiringDisable</v>
      </c>
      <c r="J329" s="7" t="str">
        <f ca="1"/>
        <v>AllTestFiringDisable</v>
      </c>
      <c r="K329" s="7" t="str">
        <f ca="1"/>
        <v>AllTestFiringDisable</v>
      </c>
      <c r="L329" s="7" t="str">
        <f ca="1"/>
        <v>AllTestFiringDisable</v>
      </c>
      <c r="M329" s="7" t="str">
        <f ca="1"/>
        <v>AllTestFiringDisable</v>
      </c>
      <c r="N329" s="7" t="str">
        <f ca="1"/>
        <v/>
      </c>
      <c r="O329" s="7" t="str">
        <f ca="1"/>
        <v/>
      </c>
      <c r="P329" s="7" t="str">
        <f ca="1"/>
        <v/>
      </c>
      <c r="Q329" s="7" t="str">
        <f ca="1"/>
        <v/>
      </c>
      <c r="T329" s="7" t="str">
        <f ca="1"/>
        <v>Z8</v>
      </c>
      <c r="U329" s="7" t="str">
        <f ca="1"/>
        <v>0x0001D048</v>
      </c>
      <c r="V329" s="7" t="str">
        <f ca="1"/>
        <v>MovieWideAreaAFC1</v>
      </c>
      <c r="X329" s="8" t="s">
        <v>716</v>
      </c>
      <c r="Y329" s="8" t="s">
        <v>714</v>
      </c>
      <c r="Z329" s="8" t="s">
        <v>738</v>
      </c>
      <c r="AA329" s="8" t="s">
        <v>738</v>
      </c>
      <c r="AB329" s="7" t="s">
        <v>756</v>
      </c>
      <c r="AC329" s="7" t="s">
        <v>736</v>
      </c>
      <c r="AD329" s="7" t="s">
        <v>736</v>
      </c>
      <c r="AE329" s="7" t="s">
        <v>740</v>
      </c>
      <c r="AF329" s="7" t="s">
        <v>690</v>
      </c>
      <c r="AG329" s="7" t="s">
        <v>1208</v>
      </c>
      <c r="AH329" s="7" t="s">
        <v>726</v>
      </c>
      <c r="AI329" s="7" t="s">
        <v>1218</v>
      </c>
      <c r="AJ329" s="7" t="s">
        <v>1211</v>
      </c>
      <c r="AK329" s="7" t="s">
        <v>1836</v>
      </c>
    </row>
    <row r="330" spans="1:37" x14ac:dyDescent="0.25">
      <c r="A330" s="13" t="str">
        <f ca="1"/>
        <v>0xD1EC</v>
      </c>
      <c r="B330" s="14" t="str">
        <f ca="1"/>
        <v>SBSettingMemberLock</v>
      </c>
      <c r="D330" s="8" t="str">
        <f ca="1"/>
        <v>SBSettingMemberLock</v>
      </c>
      <c r="E330" s="8" t="str">
        <f ca="1"/>
        <v>SBSettingMemberLock</v>
      </c>
      <c r="F330" s="8" t="str">
        <f ca="1"/>
        <v>SBSettingMemberLock</v>
      </c>
      <c r="G330" s="8" t="str">
        <f ca="1"/>
        <v>SBSettingMemberLock</v>
      </c>
      <c r="H330" s="7" t="str">
        <f ca="1"/>
        <v/>
      </c>
      <c r="I330" s="7" t="str">
        <f ca="1"/>
        <v>SBSettingMemberLock</v>
      </c>
      <c r="J330" s="7" t="str">
        <f ca="1"/>
        <v>SBSettingMemberLock</v>
      </c>
      <c r="K330" s="7" t="str">
        <f ca="1"/>
        <v>SBSettingMemberLock</v>
      </c>
      <c r="L330" s="7" t="str">
        <f ca="1"/>
        <v>SBSettingMemberLock</v>
      </c>
      <c r="M330" s="7" t="str">
        <f ca="1"/>
        <v>SBSettingMemberLock</v>
      </c>
      <c r="N330" s="7" t="str">
        <f ca="1"/>
        <v/>
      </c>
      <c r="O330" s="7" t="str">
        <f ca="1"/>
        <v/>
      </c>
      <c r="P330" s="7" t="str">
        <f ca="1"/>
        <v/>
      </c>
      <c r="Q330" s="7" t="str">
        <f ca="1"/>
        <v/>
      </c>
      <c r="T330" s="7" t="str">
        <f ca="1"/>
        <v>Z8</v>
      </c>
      <c r="U330" s="7" t="str">
        <f ca="1"/>
        <v>0x0001D049</v>
      </c>
      <c r="V330" s="7" t="str">
        <f ca="1"/>
        <v>MovieWideAreaAFC2</v>
      </c>
      <c r="X330" s="8" t="s">
        <v>717</v>
      </c>
      <c r="Y330" s="8" t="s">
        <v>715</v>
      </c>
      <c r="Z330" s="8" t="s">
        <v>739</v>
      </c>
      <c r="AA330" s="8" t="s">
        <v>739</v>
      </c>
      <c r="AB330" s="7" t="s">
        <v>757</v>
      </c>
      <c r="AC330" s="7" t="s">
        <v>737</v>
      </c>
      <c r="AD330" s="7" t="s">
        <v>737</v>
      </c>
      <c r="AE330" s="7" t="s">
        <v>741</v>
      </c>
      <c r="AF330" s="7" t="s">
        <v>691</v>
      </c>
      <c r="AG330" s="7" t="s">
        <v>1209</v>
      </c>
      <c r="AH330" s="7" t="s">
        <v>727</v>
      </c>
      <c r="AI330" s="7" t="s">
        <v>1219</v>
      </c>
      <c r="AJ330" s="7" t="s">
        <v>1212</v>
      </c>
      <c r="AK330" s="7" t="s">
        <v>1837</v>
      </c>
    </row>
    <row r="331" spans="1:37" x14ac:dyDescent="0.25">
      <c r="A331" s="13" t="str">
        <f ca="1"/>
        <v>0xD1ED</v>
      </c>
      <c r="B331" s="14" t="str">
        <f ca="1"/>
        <v>SBIntegrationFlashReady</v>
      </c>
      <c r="D331" s="8" t="str">
        <f ca="1"/>
        <v>SBIntegrationFlashReady</v>
      </c>
      <c r="E331" s="8" t="str">
        <f ca="1"/>
        <v>SBIntegrationFlashReady</v>
      </c>
      <c r="F331" s="8" t="str">
        <f ca="1"/>
        <v>SBIntegrationFlashReady</v>
      </c>
      <c r="G331" s="8" t="str">
        <f ca="1"/>
        <v>SBIntegrationFlashReady</v>
      </c>
      <c r="H331" s="7" t="str">
        <f ca="1"/>
        <v>SBIntegrationFlashReady</v>
      </c>
      <c r="I331" s="7" t="str">
        <f ca="1"/>
        <v>SBIntegrationFlashReady</v>
      </c>
      <c r="J331" s="7" t="str">
        <f ca="1"/>
        <v>SBIntegrationFlashReady</v>
      </c>
      <c r="K331" s="7" t="str">
        <f ca="1"/>
        <v>SBIntegrationFlashReady</v>
      </c>
      <c r="L331" s="7" t="str">
        <f ca="1"/>
        <v>SBIntegrationFlashReady</v>
      </c>
      <c r="M331" s="7" t="str">
        <f ca="1"/>
        <v>SBIntegrationFlashReady</v>
      </c>
      <c r="N331" s="7" t="str">
        <f ca="1"/>
        <v/>
      </c>
      <c r="O331" s="7" t="str">
        <f ca="1"/>
        <v/>
      </c>
      <c r="P331" s="7" t="str">
        <f ca="1"/>
        <v/>
      </c>
      <c r="Q331" s="7" t="str">
        <f ca="1"/>
        <v/>
      </c>
      <c r="T331" s="7" t="str">
        <f ca="1"/>
        <v>Z8</v>
      </c>
      <c r="U331" s="7" t="str">
        <f ca="1"/>
        <v>0x0001D04A</v>
      </c>
      <c r="V331" s="7" t="str">
        <f ca="1"/>
        <v>FmmManualSetting2</v>
      </c>
      <c r="X331" s="8" t="s">
        <v>718</v>
      </c>
      <c r="Y331" s="8" t="s">
        <v>716</v>
      </c>
      <c r="Z331" s="8" t="s">
        <v>740</v>
      </c>
      <c r="AA331" s="8" t="s">
        <v>740</v>
      </c>
      <c r="AB331" s="7" t="s">
        <v>758</v>
      </c>
      <c r="AC331" s="7" t="s">
        <v>738</v>
      </c>
      <c r="AD331" s="7" t="s">
        <v>738</v>
      </c>
      <c r="AE331" s="7" t="s">
        <v>742</v>
      </c>
      <c r="AF331" s="7" t="s">
        <v>692</v>
      </c>
      <c r="AG331" s="7" t="s">
        <v>708</v>
      </c>
      <c r="AH331" s="7" t="s">
        <v>728</v>
      </c>
      <c r="AI331" s="7" t="s">
        <v>768</v>
      </c>
      <c r="AJ331" s="7" t="s">
        <v>718</v>
      </c>
      <c r="AK331" s="7" t="s">
        <v>746</v>
      </c>
    </row>
    <row r="332" spans="1:37" x14ac:dyDescent="0.25">
      <c r="A332" s="13" t="str">
        <f ca="1"/>
        <v>0xD1F0</v>
      </c>
      <c r="B332" s="14" t="str">
        <f ca="1"/>
        <v>ApplicationMode</v>
      </c>
      <c r="D332" s="8" t="str">
        <f ca="1"/>
        <v/>
      </c>
      <c r="E332" s="8" t="str">
        <f ca="1"/>
        <v/>
      </c>
      <c r="F332" s="8" t="str">
        <f ca="1"/>
        <v/>
      </c>
      <c r="G332" s="8" t="str">
        <f ca="1"/>
        <v/>
      </c>
      <c r="H332" s="7" t="str">
        <f ca="1"/>
        <v>ApplicationMode</v>
      </c>
      <c r="I332" s="7" t="str">
        <f ca="1"/>
        <v>ApplicationMode</v>
      </c>
      <c r="J332" s="7" t="str">
        <f ca="1"/>
        <v>ApplicationMode</v>
      </c>
      <c r="K332" s="7" t="str">
        <f ca="1"/>
        <v>ApplicationMode</v>
      </c>
      <c r="L332" s="7" t="str">
        <f ca="1"/>
        <v/>
      </c>
      <c r="M332" s="7" t="str">
        <f ca="1"/>
        <v>ApplicationMode</v>
      </c>
      <c r="N332" s="7" t="str">
        <f ca="1"/>
        <v>ApplicationMode</v>
      </c>
      <c r="O332" s="7" t="str">
        <f ca="1"/>
        <v>ApplicationMode</v>
      </c>
      <c r="P332" s="7" t="str">
        <f ca="1"/>
        <v>ApplicationMode</v>
      </c>
      <c r="Q332" s="7" t="str">
        <f ca="1"/>
        <v/>
      </c>
      <c r="T332" s="7" t="str">
        <f ca="1"/>
        <v>Z8</v>
      </c>
      <c r="U332" s="7" t="str">
        <f ca="1"/>
        <v>0x0001D04B</v>
      </c>
      <c r="V332" s="7" t="str">
        <f ca="1"/>
        <v>F0ManualSetting2</v>
      </c>
      <c r="X332" s="8" t="s">
        <v>719</v>
      </c>
      <c r="Y332" s="8" t="s">
        <v>717</v>
      </c>
      <c r="Z332" s="8" t="s">
        <v>741</v>
      </c>
      <c r="AA332" s="8" t="s">
        <v>741</v>
      </c>
      <c r="AB332" s="7" t="s">
        <v>759</v>
      </c>
      <c r="AC332" s="7" t="s">
        <v>739</v>
      </c>
      <c r="AD332" s="7" t="s">
        <v>739</v>
      </c>
      <c r="AE332" s="7" t="s">
        <v>743</v>
      </c>
      <c r="AF332" s="7" t="s">
        <v>693</v>
      </c>
      <c r="AG332" s="7" t="s">
        <v>1210</v>
      </c>
      <c r="AH332" s="7" t="s">
        <v>729</v>
      </c>
      <c r="AI332" s="7" t="s">
        <v>1720</v>
      </c>
      <c r="AJ332" s="7" t="s">
        <v>719</v>
      </c>
      <c r="AK332" s="7" t="s">
        <v>747</v>
      </c>
    </row>
    <row r="333" spans="1:37" x14ac:dyDescent="0.25">
      <c r="A333" s="13" t="str">
        <f ca="1"/>
        <v>0xD1F1</v>
      </c>
      <c r="B333" s="14" t="str">
        <f ca="1"/>
        <v>ExposureRemaining</v>
      </c>
      <c r="D333" s="8" t="str">
        <f ca="1"/>
        <v>ExposureRemaining</v>
      </c>
      <c r="E333" s="8" t="str">
        <f ca="1"/>
        <v>ExposureRemaining</v>
      </c>
      <c r="F333" s="8" t="str">
        <f ca="1"/>
        <v>ExposureRemaining</v>
      </c>
      <c r="G333" s="8" t="str">
        <f ca="1"/>
        <v>ExposureRemaining</v>
      </c>
      <c r="H333" s="7" t="str">
        <f ca="1"/>
        <v>ExposureRemaining</v>
      </c>
      <c r="I333" s="7" t="str">
        <f ca="1"/>
        <v>ExposureRemaining</v>
      </c>
      <c r="J333" s="7" t="str">
        <f ca="1"/>
        <v>ExposureRemaining</v>
      </c>
      <c r="K333" s="7" t="str">
        <f ca="1"/>
        <v>ExposureRemaining</v>
      </c>
      <c r="L333" s="7" t="str">
        <f ca="1"/>
        <v>ExposureRemaining</v>
      </c>
      <c r="M333" s="7" t="str">
        <f ca="1"/>
        <v>ExposureRemaining</v>
      </c>
      <c r="N333" s="7" t="str">
        <f ca="1"/>
        <v>ExposureRemaining</v>
      </c>
      <c r="O333" s="7" t="str">
        <f ca="1"/>
        <v>ExposureRemaining</v>
      </c>
      <c r="P333" s="7" t="str">
        <f ca="1"/>
        <v>ExposuresRemaining</v>
      </c>
      <c r="Q333" s="7" t="str">
        <f ca="1"/>
        <v/>
      </c>
      <c r="T333" s="7" t="str">
        <f ca="1"/>
        <v>Z8</v>
      </c>
      <c r="U333" s="7" t="str">
        <f ca="1"/>
        <v>0x0001D04C</v>
      </c>
      <c r="V333" s="7" t="str">
        <f ca="1"/>
        <v>ManualSettingLensName</v>
      </c>
      <c r="X333" s="8" t="s">
        <v>720</v>
      </c>
      <c r="Y333" s="8" t="s">
        <v>718</v>
      </c>
      <c r="Z333" s="8" t="s">
        <v>742</v>
      </c>
      <c r="AA333" s="8" t="s">
        <v>742</v>
      </c>
      <c r="AB333" s="7" t="s">
        <v>762</v>
      </c>
      <c r="AC333" s="7" t="s">
        <v>740</v>
      </c>
      <c r="AD333" s="7" t="s">
        <v>740</v>
      </c>
      <c r="AE333" s="7" t="s">
        <v>1525</v>
      </c>
      <c r="AF333" s="7" t="s">
        <v>694</v>
      </c>
      <c r="AG333" s="7" t="s">
        <v>714</v>
      </c>
      <c r="AH333" s="7" t="s">
        <v>730</v>
      </c>
      <c r="AI333" s="7" t="s">
        <v>1721</v>
      </c>
      <c r="AJ333" s="7" t="s">
        <v>720</v>
      </c>
      <c r="AK333" s="7" t="s">
        <v>762</v>
      </c>
    </row>
    <row r="334" spans="1:37" x14ac:dyDescent="0.25">
      <c r="A334" s="13" t="str">
        <f ca="1"/>
        <v>0xD1F2</v>
      </c>
      <c r="B334" s="14" t="str">
        <f ca="1"/>
        <v>ActiveSlot</v>
      </c>
      <c r="D334" s="8" t="str">
        <f ca="1"/>
        <v>ActiveSlot</v>
      </c>
      <c r="E334" s="8" t="str">
        <f ca="1"/>
        <v>ActiveSlot</v>
      </c>
      <c r="F334" s="8" t="str">
        <f ca="1"/>
        <v>ActiveSlot</v>
      </c>
      <c r="G334" s="8" t="str">
        <f ca="1"/>
        <v>ActiveSlot</v>
      </c>
      <c r="H334" s="7" t="str">
        <f ca="1"/>
        <v/>
      </c>
      <c r="I334" s="7" t="str">
        <f ca="1"/>
        <v/>
      </c>
      <c r="J334" s="7" t="str">
        <f ca="1"/>
        <v/>
      </c>
      <c r="K334" s="7" t="str">
        <f ca="1"/>
        <v>ActiveSlot</v>
      </c>
      <c r="L334" s="7" t="str">
        <f ca="1"/>
        <v>ActiveSlot</v>
      </c>
      <c r="M334" s="7" t="str">
        <f ca="1"/>
        <v>ActiveSlot</v>
      </c>
      <c r="N334" s="7" t="str">
        <f ca="1"/>
        <v>ActiveSlot</v>
      </c>
      <c r="O334" s="7" t="str">
        <f ca="1"/>
        <v>ActiveSlot</v>
      </c>
      <c r="P334" s="7" t="str">
        <f ca="1"/>
        <v>ActiveSlot</v>
      </c>
      <c r="Q334" s="7" t="str">
        <f ca="1"/>
        <v/>
      </c>
      <c r="T334" s="7" t="str">
        <f ca="1"/>
        <v>Z8</v>
      </c>
      <c r="U334" s="7" t="str">
        <f ca="1"/>
        <v>0x0001D050</v>
      </c>
      <c r="V334" s="7" t="str">
        <f ca="1"/>
        <v>PixelShiftShootingInterval</v>
      </c>
      <c r="X334" s="8" t="s">
        <v>721</v>
      </c>
      <c r="Y334" s="8" t="s">
        <v>719</v>
      </c>
      <c r="Z334" s="8" t="s">
        <v>743</v>
      </c>
      <c r="AA334" s="8" t="s">
        <v>743</v>
      </c>
      <c r="AB334" s="7" t="s">
        <v>763</v>
      </c>
      <c r="AC334" s="7" t="s">
        <v>741</v>
      </c>
      <c r="AD334" s="7" t="s">
        <v>741</v>
      </c>
      <c r="AE334" s="7" t="s">
        <v>1526</v>
      </c>
      <c r="AF334" s="7" t="s">
        <v>695</v>
      </c>
      <c r="AG334" s="7" t="s">
        <v>715</v>
      </c>
      <c r="AH334" s="7" t="s">
        <v>731</v>
      </c>
      <c r="AI334" s="7" t="s">
        <v>1722</v>
      </c>
      <c r="AJ334" s="7" t="s">
        <v>1739</v>
      </c>
      <c r="AK334" s="7" t="s">
        <v>763</v>
      </c>
    </row>
    <row r="335" spans="1:37" x14ac:dyDescent="0.25">
      <c r="A335" s="13" t="str">
        <f ca="1"/>
        <v>0xD1F4</v>
      </c>
      <c r="B335" s="14" t="str">
        <f ca="1"/>
        <v>ISOAutoShutterTimeCorrectionValue</v>
      </c>
      <c r="D335" s="8" t="str">
        <f ca="1"/>
        <v>ISOAutoShutterTimeCorrectionValue</v>
      </c>
      <c r="E335" s="8" t="str">
        <f ca="1"/>
        <v>ISOAutoShutterTimeCorrectionValue</v>
      </c>
      <c r="F335" s="8" t="str">
        <f ca="1"/>
        <v>ISOAutoShutterTimeCorrectionValue</v>
      </c>
      <c r="G335" s="8" t="str">
        <f ca="1"/>
        <v>ISOAutoShutterTimeCorrectionValue</v>
      </c>
      <c r="H335" s="7" t="str">
        <f ca="1"/>
        <v>ISOAutoShutterTimeCorrectionValue</v>
      </c>
      <c r="I335" s="7" t="str">
        <f ca="1"/>
        <v>ISOAutoShutterTimeCorrectionValue</v>
      </c>
      <c r="J335" s="7" t="str">
        <f ca="1"/>
        <v>ISOAutoShutterTimeCorrectionValue</v>
      </c>
      <c r="K335" s="7" t="str">
        <f ca="1"/>
        <v>ISOAutoShutterTimeCorrectionValue</v>
      </c>
      <c r="L335" s="7" t="str">
        <f ca="1"/>
        <v>ISOAutoShutterTimeCorrectionValue</v>
      </c>
      <c r="M335" s="7" t="str">
        <f ca="1"/>
        <v>ISOAutoShutterTimeCorrectionValue</v>
      </c>
      <c r="N335" s="7" t="str">
        <f ca="1"/>
        <v>ISOAutoShutterTimeCorrectionValue</v>
      </c>
      <c r="O335" s="7" t="str">
        <f ca="1"/>
        <v>ISOAutoShutterTimeCorrectionValue</v>
      </c>
      <c r="P335" s="7" t="str">
        <f ca="1"/>
        <v/>
      </c>
      <c r="Q335" s="7" t="str">
        <f ca="1"/>
        <v/>
      </c>
      <c r="T335" s="7" t="str">
        <f ca="1"/>
        <v>Z9</v>
      </c>
      <c r="U335" s="7" t="str">
        <f ca="1"/>
        <v>0x5001</v>
      </c>
      <c r="V335" s="7" t="str">
        <f ca="1"/>
        <v>BatteryLevel</v>
      </c>
      <c r="X335" s="8" t="s">
        <v>722</v>
      </c>
      <c r="Y335" s="8" t="s">
        <v>720</v>
      </c>
      <c r="Z335" s="8" t="s">
        <v>744</v>
      </c>
      <c r="AA335" s="8" t="s">
        <v>744</v>
      </c>
      <c r="AB335" s="7" t="s">
        <v>766</v>
      </c>
      <c r="AC335" s="7" t="s">
        <v>742</v>
      </c>
      <c r="AD335" s="7" t="s">
        <v>742</v>
      </c>
      <c r="AE335" s="7" t="s">
        <v>744</v>
      </c>
      <c r="AF335" s="7" t="s">
        <v>696</v>
      </c>
      <c r="AG335" s="7" t="s">
        <v>716</v>
      </c>
      <c r="AH335" s="7" t="s">
        <v>732</v>
      </c>
      <c r="AI335" s="7" t="s">
        <v>770</v>
      </c>
      <c r="AJ335" s="7" t="s">
        <v>722</v>
      </c>
      <c r="AK335" s="7" t="s">
        <v>1838</v>
      </c>
    </row>
    <row r="336" spans="1:37" x14ac:dyDescent="0.25">
      <c r="A336" s="13" t="str">
        <f ca="1"/>
        <v>0xD1F6</v>
      </c>
      <c r="B336" s="14" t="str">
        <f ca="1"/>
        <v>MirrorUpStatus</v>
      </c>
      <c r="D336" s="8" t="str">
        <f ca="1"/>
        <v/>
      </c>
      <c r="E336" s="8" t="str">
        <f ca="1"/>
        <v/>
      </c>
      <c r="F336" s="8" t="str">
        <f ca="1"/>
        <v/>
      </c>
      <c r="G336" s="8" t="str">
        <f ca="1"/>
        <v/>
      </c>
      <c r="H336" s="7" t="str">
        <f ca="1"/>
        <v/>
      </c>
      <c r="I336" s="7" t="str">
        <f ca="1"/>
        <v/>
      </c>
      <c r="J336" s="7" t="str">
        <f ca="1"/>
        <v/>
      </c>
      <c r="K336" s="7" t="str">
        <f ca="1"/>
        <v/>
      </c>
      <c r="L336" s="7" t="str">
        <f ca="1"/>
        <v>MirrorUpStatus</v>
      </c>
      <c r="M336" s="7" t="str">
        <f ca="1"/>
        <v>MirrorUpStatus</v>
      </c>
      <c r="N336" s="7" t="str">
        <f ca="1"/>
        <v/>
      </c>
      <c r="O336" s="7" t="str">
        <f ca="1"/>
        <v/>
      </c>
      <c r="P336" s="7" t="str">
        <f ca="1"/>
        <v/>
      </c>
      <c r="Q336" s="7" t="str">
        <f ca="1"/>
        <v/>
      </c>
      <c r="T336" s="7" t="str">
        <f ca="1"/>
        <v>Z9</v>
      </c>
      <c r="U336" s="7" t="str">
        <f ca="1"/>
        <v>0x5003</v>
      </c>
      <c r="V336" s="7" t="str">
        <f ca="1"/>
        <v>ImageSize</v>
      </c>
      <c r="X336" s="8" t="s">
        <v>723</v>
      </c>
      <c r="Y336" s="8" t="s">
        <v>721</v>
      </c>
      <c r="Z336" s="8" t="s">
        <v>745</v>
      </c>
      <c r="AA336" s="8" t="s">
        <v>745</v>
      </c>
      <c r="AB336" s="7" t="s">
        <v>767</v>
      </c>
      <c r="AC336" s="7" t="s">
        <v>743</v>
      </c>
      <c r="AD336" s="7" t="s">
        <v>743</v>
      </c>
      <c r="AE336" s="7" t="s">
        <v>745</v>
      </c>
      <c r="AF336" s="7" t="s">
        <v>697</v>
      </c>
      <c r="AG336" s="7" t="s">
        <v>717</v>
      </c>
      <c r="AH336" s="7" t="s">
        <v>733</v>
      </c>
      <c r="AI336" s="7" t="s">
        <v>771</v>
      </c>
      <c r="AJ336" s="7" t="s">
        <v>723</v>
      </c>
      <c r="AK336" s="7" t="s">
        <v>1839</v>
      </c>
    </row>
    <row r="337" spans="1:37" x14ac:dyDescent="0.25">
      <c r="A337" s="13" t="str">
        <f ca="1"/>
        <v>0xD1F7</v>
      </c>
      <c r="B337" s="14" t="str">
        <f ca="1"/>
        <v>MirrorUpReleaseShootingCount</v>
      </c>
      <c r="D337" s="8" t="str">
        <f ca="1"/>
        <v/>
      </c>
      <c r="E337" s="8" t="str">
        <f ca="1"/>
        <v/>
      </c>
      <c r="F337" s="8" t="str">
        <f ca="1"/>
        <v/>
      </c>
      <c r="G337" s="8" t="str">
        <f ca="1"/>
        <v/>
      </c>
      <c r="H337" s="7" t="str">
        <f ca="1"/>
        <v/>
      </c>
      <c r="I337" s="7" t="str">
        <f ca="1"/>
        <v/>
      </c>
      <c r="J337" s="7" t="str">
        <f ca="1"/>
        <v/>
      </c>
      <c r="K337" s="7" t="str">
        <f ca="1"/>
        <v/>
      </c>
      <c r="L337" s="7" t="str">
        <f ca="1"/>
        <v>MirrorUpReleaseShootingCount</v>
      </c>
      <c r="M337" s="7" t="str">
        <f ca="1"/>
        <v>MirrorUpReleaseShootingCount</v>
      </c>
      <c r="N337" s="7" t="str">
        <f ca="1"/>
        <v/>
      </c>
      <c r="O337" s="7" t="str">
        <f ca="1"/>
        <v/>
      </c>
      <c r="P337" s="7" t="str">
        <f ca="1"/>
        <v/>
      </c>
      <c r="Q337" s="7" t="str">
        <f ca="1"/>
        <v/>
      </c>
      <c r="T337" s="7" t="str">
        <f ca="1"/>
        <v>Z9</v>
      </c>
      <c r="U337" s="7" t="str">
        <f ca="1"/>
        <v>0x5004</v>
      </c>
      <c r="V337" s="7" t="str">
        <f ca="1"/>
        <v>CompressionSetting</v>
      </c>
      <c r="X337" s="8" t="s">
        <v>724</v>
      </c>
      <c r="Y337" s="8" t="s">
        <v>722</v>
      </c>
      <c r="Z337" s="8" t="s">
        <v>746</v>
      </c>
      <c r="AA337" s="8" t="s">
        <v>746</v>
      </c>
      <c r="AB337" s="7" t="s">
        <v>768</v>
      </c>
      <c r="AC337" s="7" t="s">
        <v>1525</v>
      </c>
      <c r="AD337" s="7" t="s">
        <v>1525</v>
      </c>
      <c r="AE337" s="7" t="s">
        <v>746</v>
      </c>
      <c r="AF337" s="7" t="s">
        <v>698</v>
      </c>
      <c r="AG337" s="7" t="s">
        <v>1211</v>
      </c>
      <c r="AH337" s="7" t="s">
        <v>734</v>
      </c>
      <c r="AI337" s="7" t="s">
        <v>1691</v>
      </c>
      <c r="AJ337" s="7" t="s">
        <v>1834</v>
      </c>
      <c r="AK337" s="7" t="s">
        <v>764</v>
      </c>
    </row>
    <row r="338" spans="1:37" x14ac:dyDescent="0.25">
      <c r="A338" s="13" t="str">
        <f ca="1"/>
        <v>0xD1F8</v>
      </c>
      <c r="B338" s="14" t="str">
        <f ca="1"/>
        <v>MovieFocusMeteringMode</v>
      </c>
      <c r="D338" s="8" t="str">
        <f ca="1"/>
        <v>MovieFocusMeteringMode</v>
      </c>
      <c r="E338" s="8" t="str">
        <f ca="1"/>
        <v>MovieFocusMeteringMode</v>
      </c>
      <c r="F338" s="8" t="str">
        <f ca="1"/>
        <v>MovieFocusMeteringMode</v>
      </c>
      <c r="G338" s="8" t="str">
        <f ca="1"/>
        <v>MovieFocusMeteringMode</v>
      </c>
      <c r="H338" s="7" t="str">
        <f ca="1"/>
        <v>MovieAfAreaMode</v>
      </c>
      <c r="I338" s="7" t="str">
        <f ca="1"/>
        <v>MovieAfAreaMode</v>
      </c>
      <c r="J338" s="7" t="str">
        <f ca="1"/>
        <v>MovieAfAreaMode</v>
      </c>
      <c r="K338" s="7" t="str">
        <f ca="1"/>
        <v>MovieAfAreaMode</v>
      </c>
      <c r="L338" s="7" t="str">
        <f ca="1"/>
        <v>MovieFocusMeteringMode</v>
      </c>
      <c r="M338" s="7" t="str">
        <f ca="1"/>
        <v/>
      </c>
      <c r="N338" s="7" t="str">
        <f ca="1"/>
        <v/>
      </c>
      <c r="O338" s="7" t="str">
        <f ca="1"/>
        <v/>
      </c>
      <c r="P338" s="7" t="str">
        <f ca="1"/>
        <v/>
      </c>
      <c r="Q338" s="7" t="str">
        <f ca="1"/>
        <v/>
      </c>
      <c r="T338" s="7" t="str">
        <f ca="1"/>
        <v>Z9</v>
      </c>
      <c r="U338" s="7" t="str">
        <f ca="1"/>
        <v>0x5005</v>
      </c>
      <c r="V338" s="7" t="str">
        <f ca="1"/>
        <v>WhiteBalance</v>
      </c>
      <c r="X338" s="8" t="s">
        <v>725</v>
      </c>
      <c r="Y338" s="8" t="s">
        <v>723</v>
      </c>
      <c r="Z338" s="8" t="s">
        <v>747</v>
      </c>
      <c r="AA338" s="8" t="s">
        <v>747</v>
      </c>
      <c r="AB338" s="7" t="s">
        <v>769</v>
      </c>
      <c r="AC338" s="7" t="s">
        <v>1526</v>
      </c>
      <c r="AD338" s="7" t="s">
        <v>1526</v>
      </c>
      <c r="AE338" s="7" t="s">
        <v>747</v>
      </c>
      <c r="AF338" s="7" t="s">
        <v>699</v>
      </c>
      <c r="AG338" s="7" t="s">
        <v>1212</v>
      </c>
      <c r="AH338" s="7" t="s">
        <v>735</v>
      </c>
      <c r="AI338" s="7" t="s">
        <v>1692</v>
      </c>
      <c r="AJ338" s="7" t="s">
        <v>1835</v>
      </c>
      <c r="AK338" s="7" t="s">
        <v>765</v>
      </c>
    </row>
    <row r="339" spans="1:37" x14ac:dyDescent="0.25">
      <c r="A339" s="13" t="str">
        <f ca="1"/>
        <v>0xD1F9</v>
      </c>
      <c r="B339" s="14" t="str">
        <f ca="1"/>
        <v>MovieVibrationReduction</v>
      </c>
      <c r="D339" s="8" t="str">
        <f ca="1"/>
        <v>MovieVibrationReduction</v>
      </c>
      <c r="E339" s="8" t="str">
        <f ca="1"/>
        <v>MovieVibrationReduction</v>
      </c>
      <c r="F339" s="8" t="str">
        <f ca="1"/>
        <v>MovieVibrationReduction</v>
      </c>
      <c r="G339" s="8" t="str">
        <f ca="1"/>
        <v>MovieVibrationReduction</v>
      </c>
      <c r="H339" s="7" t="str">
        <f ca="1"/>
        <v>MovieVibrationReduction</v>
      </c>
      <c r="I339" s="7" t="str">
        <f ca="1"/>
        <v>MovieVibrationReduction</v>
      </c>
      <c r="J339" s="7" t="str">
        <f ca="1"/>
        <v>MovieVibrationReduction</v>
      </c>
      <c r="K339" s="7" t="str">
        <f ca="1"/>
        <v>MovieVibrationReduction</v>
      </c>
      <c r="L339" s="7" t="str">
        <f ca="1"/>
        <v/>
      </c>
      <c r="M339" s="7" t="str">
        <f ca="1"/>
        <v/>
      </c>
      <c r="N339" s="7" t="str">
        <f ca="1"/>
        <v/>
      </c>
      <c r="O339" s="7" t="str">
        <f ca="1"/>
        <v/>
      </c>
      <c r="P339" s="7" t="str">
        <f ca="1"/>
        <v/>
      </c>
      <c r="Q339" s="7" t="str">
        <f ca="1"/>
        <v/>
      </c>
      <c r="T339" s="7" t="str">
        <f ca="1"/>
        <v>Z9</v>
      </c>
      <c r="U339" s="7" t="str">
        <f ca="1"/>
        <v>0x5007</v>
      </c>
      <c r="V339" s="7" t="str">
        <f ca="1"/>
        <v>Fnumber</v>
      </c>
      <c r="X339" s="8" t="s">
        <v>726</v>
      </c>
      <c r="Y339" s="8" t="s">
        <v>724</v>
      </c>
      <c r="Z339" s="8" t="s">
        <v>1213</v>
      </c>
      <c r="AA339" s="8" t="s">
        <v>1213</v>
      </c>
      <c r="AB339" s="7" t="s">
        <v>770</v>
      </c>
      <c r="AC339" s="7" t="s">
        <v>744</v>
      </c>
      <c r="AD339" s="7" t="s">
        <v>744</v>
      </c>
      <c r="AE339" s="7" t="s">
        <v>1213</v>
      </c>
      <c r="AF339" s="7" t="s">
        <v>700</v>
      </c>
      <c r="AG339" s="7" t="s">
        <v>718</v>
      </c>
      <c r="AH339" s="7" t="s">
        <v>736</v>
      </c>
      <c r="AI339" s="7" t="s">
        <v>772</v>
      </c>
      <c r="AJ339" s="7" t="s">
        <v>724</v>
      </c>
      <c r="AK339" s="7" t="s">
        <v>1840</v>
      </c>
    </row>
    <row r="340" spans="1:37" x14ac:dyDescent="0.25">
      <c r="A340" s="13" t="str">
        <f ca="1"/>
        <v>0xD1FA</v>
      </c>
      <c r="B340" s="14" t="str">
        <f ca="1"/>
        <v>MovieFocusMode</v>
      </c>
      <c r="D340" s="8" t="str">
        <f ca="1"/>
        <v>MovieFocusMode</v>
      </c>
      <c r="E340" s="8" t="str">
        <f ca="1"/>
        <v>MovieFocusMode</v>
      </c>
      <c r="F340" s="8" t="str">
        <f ca="1"/>
        <v>MovieFocusMode</v>
      </c>
      <c r="G340" s="8" t="str">
        <f ca="1"/>
        <v>MovieFocusMode</v>
      </c>
      <c r="H340" s="7" t="str">
        <f ca="1"/>
        <v>MovieFocusMode</v>
      </c>
      <c r="I340" s="7" t="str">
        <f ca="1"/>
        <v>MovieFocusMode</v>
      </c>
      <c r="J340" s="7" t="str">
        <f ca="1"/>
        <v>MovieFocusMode</v>
      </c>
      <c r="K340" s="7" t="str">
        <f ca="1"/>
        <v>MovieFocusMode</v>
      </c>
      <c r="L340" s="7" t="str">
        <f ca="1"/>
        <v>MovieFocusMode</v>
      </c>
      <c r="M340" s="7" t="str">
        <f ca="1"/>
        <v/>
      </c>
      <c r="N340" s="7" t="str">
        <f ca="1"/>
        <v/>
      </c>
      <c r="O340" s="7" t="str">
        <f ca="1"/>
        <v/>
      </c>
      <c r="P340" s="7" t="str">
        <f ca="1"/>
        <v/>
      </c>
      <c r="Q340" s="7" t="str">
        <f ca="1"/>
        <v/>
      </c>
      <c r="T340" s="7" t="str">
        <f ca="1"/>
        <v>Z9</v>
      </c>
      <c r="U340" s="7" t="str">
        <f ca="1"/>
        <v>0x5008</v>
      </c>
      <c r="V340" s="7" t="str">
        <f ca="1"/>
        <v>FocalLength</v>
      </c>
      <c r="X340" s="8" t="s">
        <v>727</v>
      </c>
      <c r="Y340" s="8" t="s">
        <v>725</v>
      </c>
      <c r="Z340" s="8" t="s">
        <v>1214</v>
      </c>
      <c r="AA340" s="8" t="s">
        <v>1214</v>
      </c>
      <c r="AB340" s="7" t="s">
        <v>771</v>
      </c>
      <c r="AC340" s="7" t="s">
        <v>745</v>
      </c>
      <c r="AD340" s="7" t="s">
        <v>745</v>
      </c>
      <c r="AE340" s="7" t="s">
        <v>1214</v>
      </c>
      <c r="AF340" s="7" t="s">
        <v>701</v>
      </c>
      <c r="AG340" s="7" t="s">
        <v>719</v>
      </c>
      <c r="AH340" s="7" t="s">
        <v>737</v>
      </c>
      <c r="AI340" s="7" t="s">
        <v>773</v>
      </c>
      <c r="AJ340" s="7" t="s">
        <v>725</v>
      </c>
      <c r="AK340" s="7" t="s">
        <v>1841</v>
      </c>
    </row>
    <row r="341" spans="1:37" x14ac:dyDescent="0.25">
      <c r="A341" s="13" t="str">
        <f ca="1"/>
        <v>0xD1FB</v>
      </c>
      <c r="B341" s="14" t="str">
        <f ca="1"/>
        <v>RecordTimeCodes</v>
      </c>
      <c r="D341" s="8" t="str">
        <f ca="1"/>
        <v>RecordTimeCodes</v>
      </c>
      <c r="E341" s="8" t="str">
        <f ca="1"/>
        <v>RecordTimeCodes</v>
      </c>
      <c r="F341" s="8" t="str">
        <f ca="1"/>
        <v>RecordTimeCodes</v>
      </c>
      <c r="G341" s="8" t="str">
        <f ca="1"/>
        <v>RecordTimeCodes</v>
      </c>
      <c r="H341" s="7" t="str">
        <f ca="1"/>
        <v/>
      </c>
      <c r="I341" s="7" t="str">
        <f ca="1"/>
        <v>RecordTimeCodes</v>
      </c>
      <c r="J341" s="7" t="str">
        <f ca="1"/>
        <v>RecordTimeCodes</v>
      </c>
      <c r="K341" s="7" t="str">
        <f ca="1"/>
        <v>RecordTimeCodes</v>
      </c>
      <c r="L341" s="7" t="str">
        <f ca="1"/>
        <v>RecordTimeCodes</v>
      </c>
      <c r="M341" s="7" t="str">
        <f ca="1"/>
        <v/>
      </c>
      <c r="N341" s="7" t="str">
        <f ca="1"/>
        <v/>
      </c>
      <c r="O341" s="7" t="str">
        <f ca="1"/>
        <v/>
      </c>
      <c r="P341" s="7" t="str">
        <f ca="1"/>
        <v/>
      </c>
      <c r="Q341" s="7" t="str">
        <f ca="1"/>
        <v/>
      </c>
      <c r="T341" s="7" t="str">
        <f ca="1"/>
        <v>Z9</v>
      </c>
      <c r="U341" s="7" t="str">
        <f ca="1"/>
        <v>0x500A</v>
      </c>
      <c r="V341" s="7" t="str">
        <f ca="1"/>
        <v>FocusMode</v>
      </c>
      <c r="X341" s="8" t="s">
        <v>728</v>
      </c>
      <c r="Y341" s="8" t="s">
        <v>726</v>
      </c>
      <c r="Z341" s="8" t="s">
        <v>748</v>
      </c>
      <c r="AA341" s="8" t="s">
        <v>748</v>
      </c>
      <c r="AB341" s="7" t="s">
        <v>772</v>
      </c>
      <c r="AC341" s="7" t="s">
        <v>746</v>
      </c>
      <c r="AD341" s="7" t="s">
        <v>746</v>
      </c>
      <c r="AE341" s="7" t="s">
        <v>1215</v>
      </c>
      <c r="AF341" s="7" t="s">
        <v>702</v>
      </c>
      <c r="AG341" s="7" t="s">
        <v>720</v>
      </c>
      <c r="AH341" s="7" t="s">
        <v>738</v>
      </c>
      <c r="AI341" s="7" t="s">
        <v>1693</v>
      </c>
      <c r="AJ341" s="7" t="s">
        <v>726</v>
      </c>
      <c r="AK341" s="7" t="s">
        <v>1842</v>
      </c>
    </row>
    <row r="342" spans="1:37" x14ac:dyDescent="0.25">
      <c r="A342" s="13" t="str">
        <f ca="1"/>
        <v>0xD1FC</v>
      </c>
      <c r="B342" s="14" t="str">
        <f ca="1"/>
        <v>CountUpMethod</v>
      </c>
      <c r="D342" s="8" t="str">
        <f ca="1"/>
        <v>CountUpMethod</v>
      </c>
      <c r="E342" s="8" t="str">
        <f ca="1"/>
        <v>CountUpMethod</v>
      </c>
      <c r="F342" s="8" t="str">
        <f ca="1"/>
        <v>CountUpMethod</v>
      </c>
      <c r="G342" s="8" t="str">
        <f ca="1"/>
        <v>CountUpMethod</v>
      </c>
      <c r="H342" s="7" t="str">
        <f ca="1"/>
        <v/>
      </c>
      <c r="I342" s="7" t="str">
        <f ca="1"/>
        <v>CountUpMethod</v>
      </c>
      <c r="J342" s="7" t="str">
        <f ca="1"/>
        <v>CountUpMethod</v>
      </c>
      <c r="K342" s="7" t="str">
        <f ca="1"/>
        <v>CountUpMethod</v>
      </c>
      <c r="L342" s="7" t="str">
        <f ca="1"/>
        <v>CountUpMethod</v>
      </c>
      <c r="M342" s="7" t="str">
        <f ca="1"/>
        <v/>
      </c>
      <c r="N342" s="7" t="str">
        <f ca="1"/>
        <v/>
      </c>
      <c r="O342" s="7" t="str">
        <f ca="1"/>
        <v/>
      </c>
      <c r="P342" s="7" t="str">
        <f ca="1"/>
        <v/>
      </c>
      <c r="Q342" s="7" t="str">
        <f ca="1"/>
        <v/>
      </c>
      <c r="T342" s="7" t="str">
        <f ca="1"/>
        <v>Z9</v>
      </c>
      <c r="U342" s="7" t="str">
        <f ca="1"/>
        <v>0x500B</v>
      </c>
      <c r="V342" s="7" t="str">
        <f ca="1"/>
        <v>ExposureMeteringMode</v>
      </c>
      <c r="X342" s="8" t="s">
        <v>729</v>
      </c>
      <c r="Y342" s="8" t="s">
        <v>727</v>
      </c>
      <c r="Z342" s="8" t="s">
        <v>749</v>
      </c>
      <c r="AA342" s="8" t="s">
        <v>749</v>
      </c>
      <c r="AB342" s="7" t="s">
        <v>773</v>
      </c>
      <c r="AC342" s="7" t="s">
        <v>747</v>
      </c>
      <c r="AD342" s="7" t="s">
        <v>747</v>
      </c>
      <c r="AE342" s="7" t="s">
        <v>1216</v>
      </c>
      <c r="AF342" s="7" t="s">
        <v>703</v>
      </c>
      <c r="AG342" s="7" t="s">
        <v>721</v>
      </c>
      <c r="AH342" s="7" t="s">
        <v>739</v>
      </c>
      <c r="AI342" s="7" t="s">
        <v>1694</v>
      </c>
      <c r="AJ342" s="7" t="s">
        <v>727</v>
      </c>
      <c r="AK342" s="7" t="s">
        <v>1843</v>
      </c>
    </row>
    <row r="343" spans="1:37" x14ac:dyDescent="0.25">
      <c r="A343" s="13" t="str">
        <f ca="1"/>
        <v>0xD1FD</v>
      </c>
      <c r="B343" s="14" t="str">
        <f ca="1"/>
        <v>TimeCodeOrigin</v>
      </c>
      <c r="D343" s="8" t="str">
        <f ca="1"/>
        <v>TimeCodeOrigin</v>
      </c>
      <c r="E343" s="8" t="str">
        <f ca="1"/>
        <v>TimeCodeOrigin</v>
      </c>
      <c r="F343" s="8" t="str">
        <f ca="1"/>
        <v>TimeCodeOrigin</v>
      </c>
      <c r="G343" s="8" t="str">
        <f ca="1"/>
        <v>TimeCodeOrigin</v>
      </c>
      <c r="H343" s="7" t="str">
        <f ca="1"/>
        <v/>
      </c>
      <c r="I343" s="7" t="str">
        <f ca="1"/>
        <v>TimeCodeOrigin</v>
      </c>
      <c r="J343" s="7" t="str">
        <f ca="1"/>
        <v>TimeCodeOrigin</v>
      </c>
      <c r="K343" s="7" t="str">
        <f ca="1"/>
        <v>TimeCodeOrigin</v>
      </c>
      <c r="L343" s="7" t="str">
        <f ca="1"/>
        <v>TimeCodeOrigin</v>
      </c>
      <c r="M343" s="7" t="str">
        <f ca="1"/>
        <v/>
      </c>
      <c r="N343" s="7" t="str">
        <f ca="1"/>
        <v/>
      </c>
      <c r="O343" s="7" t="str">
        <f ca="1"/>
        <v/>
      </c>
      <c r="P343" s="7" t="str">
        <f ca="1"/>
        <v/>
      </c>
      <c r="Q343" s="7" t="str">
        <f ca="1"/>
        <v/>
      </c>
      <c r="T343" s="7" t="str">
        <f ca="1"/>
        <v>Z9</v>
      </c>
      <c r="U343" s="7" t="str">
        <f ca="1"/>
        <v>0x500C</v>
      </c>
      <c r="V343" s="7" t="str">
        <f ca="1"/>
        <v>FlashMode</v>
      </c>
      <c r="X343" s="8" t="s">
        <v>730</v>
      </c>
      <c r="Y343" s="8" t="s">
        <v>728</v>
      </c>
      <c r="Z343" s="8" t="s">
        <v>1215</v>
      </c>
      <c r="AA343" s="8" t="s">
        <v>1215</v>
      </c>
      <c r="AB343" s="7" t="s">
        <v>774</v>
      </c>
      <c r="AC343" s="7" t="s">
        <v>1213</v>
      </c>
      <c r="AD343" s="7" t="s">
        <v>1213</v>
      </c>
      <c r="AE343" s="7" t="s">
        <v>752</v>
      </c>
      <c r="AF343" s="7" t="s">
        <v>704</v>
      </c>
      <c r="AG343" s="7" t="s">
        <v>722</v>
      </c>
      <c r="AH343" s="7" t="s">
        <v>740</v>
      </c>
      <c r="AI343" s="7" t="s">
        <v>774</v>
      </c>
      <c r="AJ343" s="7" t="s">
        <v>728</v>
      </c>
      <c r="AK343" s="7" t="s">
        <v>1844</v>
      </c>
    </row>
    <row r="344" spans="1:37" x14ac:dyDescent="0.25">
      <c r="A344" s="13" t="str">
        <f ca="1"/>
        <v>0xD1FE</v>
      </c>
      <c r="B344" s="14" t="str">
        <f ca="1"/>
        <v>DropFrame</v>
      </c>
      <c r="D344" s="8" t="str">
        <f ca="1"/>
        <v>DropFrame</v>
      </c>
      <c r="E344" s="8" t="str">
        <f ca="1"/>
        <v>DropFrame</v>
      </c>
      <c r="F344" s="8" t="str">
        <f ca="1"/>
        <v>DropFrame</v>
      </c>
      <c r="G344" s="8" t="str">
        <f ca="1"/>
        <v>DropFrame</v>
      </c>
      <c r="H344" s="7" t="str">
        <f ca="1"/>
        <v/>
      </c>
      <c r="I344" s="7" t="str">
        <f ca="1"/>
        <v>DropFrame</v>
      </c>
      <c r="J344" s="7" t="str">
        <f ca="1"/>
        <v>DropFrame</v>
      </c>
      <c r="K344" s="7" t="str">
        <f ca="1"/>
        <v>DropFrame</v>
      </c>
      <c r="L344" s="7" t="str">
        <f ca="1"/>
        <v>DropFrame</v>
      </c>
      <c r="M344" s="7" t="str">
        <f ca="1"/>
        <v/>
      </c>
      <c r="N344" s="7" t="str">
        <f ca="1"/>
        <v/>
      </c>
      <c r="O344" s="7" t="str">
        <f ca="1"/>
        <v/>
      </c>
      <c r="P344" s="7" t="str">
        <f ca="1"/>
        <v/>
      </c>
      <c r="Q344" s="7" t="str">
        <f ca="1"/>
        <v/>
      </c>
      <c r="T344" s="7" t="str">
        <f ca="1"/>
        <v>Z9</v>
      </c>
      <c r="U344" s="7" t="str">
        <f ca="1"/>
        <v>0x500D</v>
      </c>
      <c r="V344" s="7" t="str">
        <f ca="1"/>
        <v>ExposureTime</v>
      </c>
      <c r="X344" s="8" t="s">
        <v>731</v>
      </c>
      <c r="Y344" s="8" t="s">
        <v>729</v>
      </c>
      <c r="Z344" s="8" t="s">
        <v>1216</v>
      </c>
      <c r="AA344" s="8" t="s">
        <v>1216</v>
      </c>
      <c r="AB344" s="7" t="s">
        <v>775</v>
      </c>
      <c r="AC344" s="7" t="s">
        <v>1214</v>
      </c>
      <c r="AD344" s="7" t="s">
        <v>1214</v>
      </c>
      <c r="AE344" s="7" t="s">
        <v>1217</v>
      </c>
      <c r="AF344" s="7" t="s">
        <v>705</v>
      </c>
      <c r="AG344" s="7" t="s">
        <v>723</v>
      </c>
      <c r="AH344" s="7" t="s">
        <v>741</v>
      </c>
      <c r="AI344" s="7" t="s">
        <v>775</v>
      </c>
      <c r="AJ344" s="7" t="s">
        <v>729</v>
      </c>
      <c r="AK344" s="7" t="s">
        <v>1845</v>
      </c>
    </row>
    <row r="345" spans="1:37" x14ac:dyDescent="0.25">
      <c r="A345" s="13" t="str">
        <f ca="1"/>
        <v>0xD1FF</v>
      </c>
      <c r="B345" s="14" t="str">
        <f ca="1"/>
        <v>StillCaptureModeSaveFrame</v>
      </c>
      <c r="D345" s="8" t="str">
        <f ca="1"/>
        <v/>
      </c>
      <c r="E345" s="8" t="str">
        <f ca="1"/>
        <v/>
      </c>
      <c r="F345" s="8" t="str">
        <f ca="1"/>
        <v>StillCaptureModeSaveFrame</v>
      </c>
      <c r="G345" s="8" t="str">
        <f ca="1"/>
        <v>StillCaptureModeSaveFrame</v>
      </c>
      <c r="H345" s="7" t="str">
        <f ca="1"/>
        <v>StillCaptureModeSaveFrame</v>
      </c>
      <c r="I345" s="7" t="str">
        <f ca="1"/>
        <v/>
      </c>
      <c r="J345" s="7" t="str">
        <f ca="1"/>
        <v/>
      </c>
      <c r="K345" s="7" t="str">
        <f ca="1"/>
        <v>StillCaptureModeSaveFrame</v>
      </c>
      <c r="L345" s="7" t="str">
        <f ca="1"/>
        <v/>
      </c>
      <c r="M345" s="7" t="str">
        <f ca="1"/>
        <v/>
      </c>
      <c r="N345" s="7" t="str">
        <f ca="1"/>
        <v/>
      </c>
      <c r="O345" s="7" t="str">
        <f ca="1"/>
        <v/>
      </c>
      <c r="P345" s="7" t="str">
        <f ca="1"/>
        <v/>
      </c>
      <c r="Q345" s="7" t="str">
        <f ca="1"/>
        <v/>
      </c>
      <c r="T345" s="7" t="str">
        <f ca="1"/>
        <v>Z9</v>
      </c>
      <c r="U345" s="7" t="str">
        <f ca="1"/>
        <v>0x500E</v>
      </c>
      <c r="V345" s="7" t="str">
        <f ca="1"/>
        <v>ExposureProgramMode</v>
      </c>
      <c r="X345" s="8" t="s">
        <v>732</v>
      </c>
      <c r="Y345" s="8" t="s">
        <v>730</v>
      </c>
      <c r="Z345" s="8" t="s">
        <v>752</v>
      </c>
      <c r="AA345" s="8" t="s">
        <v>752</v>
      </c>
      <c r="AB345" s="7" t="s">
        <v>776</v>
      </c>
      <c r="AC345" s="7" t="s">
        <v>1215</v>
      </c>
      <c r="AD345" s="7" t="s">
        <v>1215</v>
      </c>
      <c r="AE345" s="7" t="s">
        <v>754</v>
      </c>
      <c r="AF345" s="7" t="s">
        <v>706</v>
      </c>
      <c r="AG345" s="7" t="s">
        <v>724</v>
      </c>
      <c r="AH345" s="7" t="s">
        <v>742</v>
      </c>
      <c r="AI345" s="7" t="s">
        <v>776</v>
      </c>
      <c r="AJ345" s="7" t="s">
        <v>730</v>
      </c>
      <c r="AK345" s="7" t="s">
        <v>1846</v>
      </c>
    </row>
    <row r="346" spans="1:37" x14ac:dyDescent="0.25">
      <c r="A346" s="13" t="str">
        <f ca="1"/>
        <v>0xD200</v>
      </c>
      <c r="B346" s="14" t="str">
        <f ca="1"/>
        <v>ActivePicCtrlItem</v>
      </c>
      <c r="D346" s="8" t="str">
        <f ca="1"/>
        <v>ActivePicCtrlItem</v>
      </c>
      <c r="E346" s="8" t="str">
        <f ca="1"/>
        <v>ActivePicCtrlItem</v>
      </c>
      <c r="F346" s="8" t="str">
        <f ca="1"/>
        <v>ActivePicCtrlItem</v>
      </c>
      <c r="G346" s="8" t="str">
        <f ca="1"/>
        <v>ActivePicCtrlItem</v>
      </c>
      <c r="H346" s="7" t="str">
        <f ca="1"/>
        <v>ActivePicCtrlItem</v>
      </c>
      <c r="I346" s="7" t="str">
        <f ca="1"/>
        <v>ActivePicCtrlItem</v>
      </c>
      <c r="J346" s="7" t="str">
        <f ca="1"/>
        <v>ActivePicCtrlItem</v>
      </c>
      <c r="K346" s="7" t="str">
        <f ca="1"/>
        <v>ActivePicCtrlItem</v>
      </c>
      <c r="L346" s="7" t="str">
        <f ca="1"/>
        <v>ActivePicCtrlItem</v>
      </c>
      <c r="M346" s="7" t="str">
        <f ca="1"/>
        <v>ActivePicCtrlItem</v>
      </c>
      <c r="N346" s="7" t="str">
        <f ca="1"/>
        <v>ActivePicCtrlItem</v>
      </c>
      <c r="O346" s="7" t="str">
        <f ca="1"/>
        <v>ActivePicCtrlItem</v>
      </c>
      <c r="P346" s="7" t="str">
        <f ca="1"/>
        <v>ActivePicCtrlItem</v>
      </c>
      <c r="Q346" s="7" t="str">
        <f ca="1"/>
        <v>ActivePicCtrlItem</v>
      </c>
      <c r="T346" s="7" t="str">
        <f ca="1"/>
        <v>Z9</v>
      </c>
      <c r="U346" s="7" t="str">
        <f ca="1"/>
        <v>0x500F</v>
      </c>
      <c r="V346" s="7" t="str">
        <f ca="1"/>
        <v>ExposureIndex</v>
      </c>
      <c r="X346" s="8" t="s">
        <v>733</v>
      </c>
      <c r="Y346" s="8" t="s">
        <v>731</v>
      </c>
      <c r="Z346" s="8" t="s">
        <v>1217</v>
      </c>
      <c r="AA346" s="8" t="s">
        <v>1217</v>
      </c>
      <c r="AB346" s="7" t="s">
        <v>777</v>
      </c>
      <c r="AC346" s="7" t="s">
        <v>1216</v>
      </c>
      <c r="AD346" s="7" t="s">
        <v>1216</v>
      </c>
      <c r="AE346" s="7" t="s">
        <v>755</v>
      </c>
      <c r="AF346" s="7" t="s">
        <v>707</v>
      </c>
      <c r="AG346" s="7" t="s">
        <v>725</v>
      </c>
      <c r="AH346" s="7" t="s">
        <v>743</v>
      </c>
      <c r="AI346" s="7" t="s">
        <v>777</v>
      </c>
      <c r="AJ346" s="7" t="s">
        <v>731</v>
      </c>
      <c r="AK346" s="7" t="s">
        <v>1765</v>
      </c>
    </row>
    <row r="347" spans="1:37" x14ac:dyDescent="0.25">
      <c r="A347" s="13" t="str">
        <f ca="1"/>
        <v>0xD201</v>
      </c>
      <c r="B347" s="14" t="str">
        <f ca="1"/>
        <v>ChangePicCtrlItem</v>
      </c>
      <c r="D347" s="8" t="str">
        <f ca="1"/>
        <v/>
      </c>
      <c r="E347" s="8" t="str">
        <f ca="1"/>
        <v/>
      </c>
      <c r="F347" s="8" t="str">
        <f ca="1"/>
        <v/>
      </c>
      <c r="G347" s="8" t="str">
        <f ca="1"/>
        <v/>
      </c>
      <c r="H347" s="7" t="str">
        <f ca="1"/>
        <v/>
      </c>
      <c r="I347" s="7" t="str">
        <f ca="1"/>
        <v/>
      </c>
      <c r="J347" s="7" t="str">
        <f ca="1"/>
        <v/>
      </c>
      <c r="K347" s="7" t="str">
        <f ca="1"/>
        <v/>
      </c>
      <c r="L347" s="7" t="str">
        <f ca="1"/>
        <v/>
      </c>
      <c r="M347" s="7" t="str">
        <f ca="1"/>
        <v>ChangePicCtrlItem</v>
      </c>
      <c r="N347" s="7" t="str">
        <f ca="1"/>
        <v>ChangePicCtrlItem</v>
      </c>
      <c r="O347" s="7" t="str">
        <f ca="1"/>
        <v>ChangePicCtrlItem</v>
      </c>
      <c r="P347" s="7" t="str">
        <f ca="1"/>
        <v>ChangePicCtrlItem</v>
      </c>
      <c r="Q347" s="7" t="str">
        <f ca="1"/>
        <v>ChangePicCtrlItem</v>
      </c>
      <c r="T347" s="7" t="str">
        <f ca="1"/>
        <v>Z9</v>
      </c>
      <c r="U347" s="7" t="str">
        <f ca="1"/>
        <v>0x5010</v>
      </c>
      <c r="V347" s="7" t="str">
        <f ca="1"/>
        <v>ExposureBiasCompensation</v>
      </c>
      <c r="X347" s="8" t="s">
        <v>734</v>
      </c>
      <c r="Y347" s="8" t="s">
        <v>734</v>
      </c>
      <c r="Z347" s="8" t="s">
        <v>754</v>
      </c>
      <c r="AA347" s="8" t="s">
        <v>754</v>
      </c>
      <c r="AB347" s="7" t="s">
        <v>778</v>
      </c>
      <c r="AC347" s="7" t="s">
        <v>752</v>
      </c>
      <c r="AD347" s="7" t="s">
        <v>752</v>
      </c>
      <c r="AE347" s="7" t="s">
        <v>756</v>
      </c>
      <c r="AF347" s="7" t="s">
        <v>1208</v>
      </c>
      <c r="AG347" s="7" t="s">
        <v>726</v>
      </c>
      <c r="AH347" s="7" t="s">
        <v>1525</v>
      </c>
      <c r="AI347" s="7" t="s">
        <v>778</v>
      </c>
      <c r="AJ347" s="7" t="s">
        <v>1836</v>
      </c>
      <c r="AK347" s="7" t="s">
        <v>1848</v>
      </c>
    </row>
    <row r="348" spans="1:37" x14ac:dyDescent="0.25">
      <c r="A348" s="13" t="str">
        <f ca="1"/>
        <v>0xD20D</v>
      </c>
      <c r="B348" s="14" t="str">
        <f ca="1"/>
        <v>ElectronicFrontCurtainShutter</v>
      </c>
      <c r="D348" s="8" t="str">
        <f ca="1"/>
        <v/>
      </c>
      <c r="E348" s="8" t="str">
        <f ca="1"/>
        <v/>
      </c>
      <c r="F348" s="8" t="str">
        <f ca="1"/>
        <v>ElectronicFrontCurtainShutter</v>
      </c>
      <c r="G348" s="8" t="str">
        <f ca="1"/>
        <v>ElectronicFrontCurtainShutter</v>
      </c>
      <c r="H348" s="7" t="str">
        <f ca="1"/>
        <v>ElectronicFrontCurtainShutter</v>
      </c>
      <c r="I348" s="7" t="str">
        <f ca="1"/>
        <v>ElectronicFrontCurtainShutter</v>
      </c>
      <c r="J348" s="7" t="str">
        <f ca="1"/>
        <v>ElectronicFrontCurtainShutter</v>
      </c>
      <c r="K348" s="7" t="str">
        <f ca="1"/>
        <v>ElectronicFrontCurtainShutter</v>
      </c>
      <c r="L348" s="7" t="str">
        <f ca="1"/>
        <v>ElectronicFrontCurtainShutter</v>
      </c>
      <c r="M348" s="7" t="str">
        <f ca="1"/>
        <v>ElectronicFrontCurtainShutter</v>
      </c>
      <c r="N348" s="7" t="str">
        <f ca="1"/>
        <v/>
      </c>
      <c r="O348" s="7" t="str">
        <f ca="1"/>
        <v/>
      </c>
      <c r="P348" s="7" t="str">
        <f ca="1"/>
        <v/>
      </c>
      <c r="Q348" s="7" t="str">
        <f ca="1"/>
        <v/>
      </c>
      <c r="T348" s="7" t="str">
        <f ca="1"/>
        <v>Z9</v>
      </c>
      <c r="U348" s="7" t="str">
        <f ca="1"/>
        <v>0x5011</v>
      </c>
      <c r="V348" s="7" t="str">
        <f ca="1"/>
        <v>DateTime</v>
      </c>
      <c r="X348" s="8" t="s">
        <v>735</v>
      </c>
      <c r="Y348" s="8" t="s">
        <v>735</v>
      </c>
      <c r="Z348" s="8" t="s">
        <v>755</v>
      </c>
      <c r="AA348" s="8" t="s">
        <v>755</v>
      </c>
      <c r="AB348" s="7" t="s">
        <v>779</v>
      </c>
      <c r="AC348" s="7" t="s">
        <v>1217</v>
      </c>
      <c r="AD348" s="7" t="s">
        <v>1217</v>
      </c>
      <c r="AE348" s="7" t="s">
        <v>757</v>
      </c>
      <c r="AF348" s="7" t="s">
        <v>1209</v>
      </c>
      <c r="AG348" s="7" t="s">
        <v>727</v>
      </c>
      <c r="AH348" s="7" t="s">
        <v>1526</v>
      </c>
      <c r="AI348" s="7" t="s">
        <v>779</v>
      </c>
      <c r="AJ348" s="7" t="s">
        <v>1837</v>
      </c>
      <c r="AK348" s="7" t="s">
        <v>1849</v>
      </c>
    </row>
    <row r="349" spans="1:37" x14ac:dyDescent="0.25">
      <c r="A349" s="13" t="str">
        <f ca="1"/>
        <v>0xD20E</v>
      </c>
      <c r="B349" s="14" t="str">
        <f ca="1"/>
        <v>MovieResetShootingMenu</v>
      </c>
      <c r="D349" s="8" t="str">
        <f ca="1"/>
        <v/>
      </c>
      <c r="E349" s="8" t="str">
        <f ca="1"/>
        <v/>
      </c>
      <c r="F349" s="8" t="str">
        <f ca="1"/>
        <v/>
      </c>
      <c r="G349" s="8" t="str">
        <f ca="1"/>
        <v/>
      </c>
      <c r="H349" s="7" t="str">
        <f ca="1"/>
        <v>MovieResetShootingMenu</v>
      </c>
      <c r="I349" s="7" t="str">
        <f ca="1"/>
        <v>MovieResetShootingMenu</v>
      </c>
      <c r="J349" s="7" t="str">
        <f ca="1"/>
        <v>MovieResetShootingMenu</v>
      </c>
      <c r="K349" s="7" t="str">
        <f ca="1"/>
        <v>MovieResetShootingMenu</v>
      </c>
      <c r="L349" s="7" t="str">
        <f ca="1"/>
        <v/>
      </c>
      <c r="M349" s="7" t="str">
        <f ca="1"/>
        <v>MovieResetShootingMenu</v>
      </c>
      <c r="N349" s="7" t="str">
        <f ca="1"/>
        <v/>
      </c>
      <c r="O349" s="7" t="str">
        <f ca="1"/>
        <v/>
      </c>
      <c r="P349" s="7" t="str">
        <f ca="1"/>
        <v/>
      </c>
      <c r="Q349" s="7" t="str">
        <f ca="1"/>
        <v/>
      </c>
      <c r="T349" s="7" t="str">
        <f ca="1"/>
        <v>Z9</v>
      </c>
      <c r="U349" s="7" t="str">
        <f ca="1"/>
        <v>0x5013</v>
      </c>
      <c r="V349" s="7" t="str">
        <f ca="1"/>
        <v>StillCaptureMode</v>
      </c>
      <c r="X349" s="8" t="s">
        <v>736</v>
      </c>
      <c r="Y349" s="8" t="s">
        <v>736</v>
      </c>
      <c r="Z349" s="8" t="s">
        <v>756</v>
      </c>
      <c r="AA349" s="8" t="s">
        <v>756</v>
      </c>
      <c r="AB349" s="7" t="s">
        <v>780</v>
      </c>
      <c r="AC349" s="7" t="s">
        <v>754</v>
      </c>
      <c r="AD349" s="7" t="s">
        <v>754</v>
      </c>
      <c r="AE349" s="7" t="s">
        <v>758</v>
      </c>
      <c r="AF349" s="7" t="s">
        <v>708</v>
      </c>
      <c r="AG349" s="7" t="s">
        <v>728</v>
      </c>
      <c r="AH349" s="7" t="s">
        <v>1682</v>
      </c>
      <c r="AI349" s="7" t="s">
        <v>780</v>
      </c>
      <c r="AJ349" s="7" t="s">
        <v>746</v>
      </c>
      <c r="AK349" s="7" t="s">
        <v>1850</v>
      </c>
    </row>
    <row r="350" spans="1:37" x14ac:dyDescent="0.25">
      <c r="A350" s="13" t="str">
        <f ca="1"/>
        <v>0xD20F</v>
      </c>
      <c r="B350" s="14" t="str">
        <f ca="1"/>
        <v>MovieCaptureAreaCrop</v>
      </c>
      <c r="D350" s="8" t="str">
        <f ca="1"/>
        <v>MovieCaptureAreaCrop</v>
      </c>
      <c r="E350" s="8" t="str">
        <f ca="1"/>
        <v>MovieCaptureAreaCrop</v>
      </c>
      <c r="F350" s="8" t="str">
        <f ca="1"/>
        <v>MovieCaptureAreaCrop</v>
      </c>
      <c r="G350" s="8" t="str">
        <f ca="1"/>
        <v>MovieCaptureAreaCrop</v>
      </c>
      <c r="H350" s="7" t="str">
        <f ca="1"/>
        <v/>
      </c>
      <c r="I350" s="7" t="str">
        <f ca="1"/>
        <v>MovieCaptureAreaCrop</v>
      </c>
      <c r="J350" s="7" t="str">
        <f ca="1"/>
        <v>MovieCaptureAreaCrop</v>
      </c>
      <c r="K350" s="7" t="str">
        <f ca="1"/>
        <v>MovieCaptureAreaCrop</v>
      </c>
      <c r="L350" s="7" t="str">
        <f ca="1"/>
        <v>MovieCaptureAreaCrop</v>
      </c>
      <c r="M350" s="7" t="str">
        <f ca="1"/>
        <v>MovieCaptureAreaCrop</v>
      </c>
      <c r="N350" s="7" t="str">
        <f ca="1"/>
        <v/>
      </c>
      <c r="O350" s="7" t="str">
        <f ca="1"/>
        <v/>
      </c>
      <c r="P350" s="7" t="str">
        <f ca="1"/>
        <v/>
      </c>
      <c r="Q350" s="7" t="str">
        <f ca="1"/>
        <v/>
      </c>
      <c r="T350" s="7" t="str">
        <f ca="1"/>
        <v>Z9</v>
      </c>
      <c r="U350" s="7" t="str">
        <f ca="1"/>
        <v>0x5018</v>
      </c>
      <c r="V350" s="7" t="str">
        <f ca="1"/>
        <v>BurstNumber</v>
      </c>
      <c r="X350" s="8" t="s">
        <v>737</v>
      </c>
      <c r="Y350" s="8" t="s">
        <v>737</v>
      </c>
      <c r="Z350" s="8" t="s">
        <v>757</v>
      </c>
      <c r="AA350" s="8" t="s">
        <v>757</v>
      </c>
      <c r="AB350" s="7" t="s">
        <v>781</v>
      </c>
      <c r="AC350" s="7" t="s">
        <v>755</v>
      </c>
      <c r="AD350" s="7" t="s">
        <v>755</v>
      </c>
      <c r="AE350" s="7" t="s">
        <v>759</v>
      </c>
      <c r="AF350" s="7" t="s">
        <v>1210</v>
      </c>
      <c r="AG350" s="7" t="s">
        <v>729</v>
      </c>
      <c r="AH350" s="7" t="s">
        <v>1715</v>
      </c>
      <c r="AI350" s="7" t="s">
        <v>781</v>
      </c>
      <c r="AJ350" s="7" t="s">
        <v>747</v>
      </c>
      <c r="AK350" s="7" t="s">
        <v>1851</v>
      </c>
    </row>
    <row r="351" spans="1:37" x14ac:dyDescent="0.25">
      <c r="A351" s="13" t="str">
        <f ca="1"/>
        <v>0xD210</v>
      </c>
      <c r="B351" s="14" t="str">
        <f ca="1"/>
        <v>MovieAutoDxCrop</v>
      </c>
      <c r="D351" s="8" t="str">
        <f ca="1"/>
        <v/>
      </c>
      <c r="E351" s="8" t="str">
        <f ca="1"/>
        <v/>
      </c>
      <c r="F351" s="8" t="str">
        <f ca="1"/>
        <v/>
      </c>
      <c r="G351" s="8" t="str">
        <f ca="1"/>
        <v/>
      </c>
      <c r="H351" s="7" t="str">
        <f ca="1"/>
        <v/>
      </c>
      <c r="I351" s="7" t="str">
        <f ca="1"/>
        <v/>
      </c>
      <c r="J351" s="7" t="str">
        <f ca="1"/>
        <v/>
      </c>
      <c r="K351" s="7" t="str">
        <f ca="1"/>
        <v/>
      </c>
      <c r="L351" s="7" t="str">
        <f ca="1"/>
        <v>MovieAutoDxCrop</v>
      </c>
      <c r="M351" s="7" t="str">
        <f ca="1"/>
        <v>MovieAutoDxCrop</v>
      </c>
      <c r="N351" s="7" t="str">
        <f ca="1"/>
        <v/>
      </c>
      <c r="O351" s="7" t="str">
        <f ca="1"/>
        <v/>
      </c>
      <c r="P351" s="7" t="str">
        <f ca="1"/>
        <v/>
      </c>
      <c r="Q351" s="7" t="str">
        <f ca="1"/>
        <v/>
      </c>
      <c r="T351" s="7" t="str">
        <f ca="1"/>
        <v>Z9</v>
      </c>
      <c r="U351" s="7" t="str">
        <f ca="1"/>
        <v>0x501E</v>
      </c>
      <c r="V351" s="7" t="str">
        <f ca="1"/>
        <v>Artist</v>
      </c>
      <c r="X351" s="8" t="s">
        <v>738</v>
      </c>
      <c r="Y351" s="8" t="s">
        <v>738</v>
      </c>
      <c r="Z351" s="8" t="s">
        <v>758</v>
      </c>
      <c r="AA351" s="8" t="s">
        <v>758</v>
      </c>
      <c r="AB351" s="7" t="s">
        <v>782</v>
      </c>
      <c r="AC351" s="7" t="s">
        <v>756</v>
      </c>
      <c r="AD351" s="7" t="s">
        <v>756</v>
      </c>
      <c r="AE351" s="7" t="s">
        <v>762</v>
      </c>
      <c r="AF351" s="7" t="s">
        <v>710</v>
      </c>
      <c r="AG351" s="7" t="s">
        <v>730</v>
      </c>
      <c r="AH351" s="7" t="s">
        <v>746</v>
      </c>
      <c r="AI351" s="7" t="s">
        <v>782</v>
      </c>
      <c r="AJ351" s="7" t="s">
        <v>762</v>
      </c>
      <c r="AK351" s="7" t="s">
        <v>1852</v>
      </c>
    </row>
    <row r="352" spans="1:37" x14ac:dyDescent="0.25">
      <c r="A352" s="13" t="str">
        <f ca="1"/>
        <v>0xD211</v>
      </c>
      <c r="B352" s="14" t="str">
        <f ca="1"/>
        <v>MovieWbAutoType</v>
      </c>
      <c r="D352" s="8" t="str">
        <f ca="1"/>
        <v>MovieWbAutoType</v>
      </c>
      <c r="E352" s="8" t="str">
        <f ca="1"/>
        <v>MovieWbAutoType</v>
      </c>
      <c r="F352" s="8" t="str">
        <f ca="1"/>
        <v>MovieWbAutoType</v>
      </c>
      <c r="G352" s="8" t="str">
        <f ca="1"/>
        <v>MovieWbAutoType</v>
      </c>
      <c r="H352" s="7" t="str">
        <f ca="1"/>
        <v>MovieWbAutoType</v>
      </c>
      <c r="I352" s="7" t="str">
        <f ca="1"/>
        <v>MovieWbAutoType</v>
      </c>
      <c r="J352" s="7" t="str">
        <f ca="1"/>
        <v>MovieWbAutoType</v>
      </c>
      <c r="K352" s="7" t="str">
        <f ca="1"/>
        <v>MovieWbAutoType</v>
      </c>
      <c r="L352" s="7" t="str">
        <f ca="1"/>
        <v>MovieWbAutoType</v>
      </c>
      <c r="M352" s="7" t="str">
        <f ca="1"/>
        <v>MovieWbAutoType</v>
      </c>
      <c r="N352" s="7" t="str">
        <f ca="1"/>
        <v/>
      </c>
      <c r="O352" s="7" t="str">
        <f ca="1"/>
        <v/>
      </c>
      <c r="P352" s="7" t="str">
        <f ca="1"/>
        <v/>
      </c>
      <c r="Q352" s="7" t="str">
        <f ca="1"/>
        <v/>
      </c>
      <c r="T352" s="7" t="str">
        <f ca="1"/>
        <v>Z9</v>
      </c>
      <c r="U352" s="7" t="str">
        <f ca="1"/>
        <v>0x501F</v>
      </c>
      <c r="V352" s="7" t="str">
        <f ca="1"/>
        <v>Copyright</v>
      </c>
      <c r="X352" s="8" t="s">
        <v>739</v>
      </c>
      <c r="Y352" s="8" t="s">
        <v>739</v>
      </c>
      <c r="Z352" s="8" t="s">
        <v>759</v>
      </c>
      <c r="AA352" s="8" t="s">
        <v>759</v>
      </c>
      <c r="AB352" s="7" t="s">
        <v>783</v>
      </c>
      <c r="AC352" s="7" t="s">
        <v>757</v>
      </c>
      <c r="AD352" s="7" t="s">
        <v>757</v>
      </c>
      <c r="AE352" s="7" t="s">
        <v>763</v>
      </c>
      <c r="AF352" s="7" t="s">
        <v>711</v>
      </c>
      <c r="AG352" s="7" t="s">
        <v>731</v>
      </c>
      <c r="AH352" s="7" t="s">
        <v>747</v>
      </c>
      <c r="AI352" s="7" t="s">
        <v>783</v>
      </c>
      <c r="AJ352" s="7" t="s">
        <v>763</v>
      </c>
      <c r="AK352" s="7" t="s">
        <v>1853</v>
      </c>
    </row>
    <row r="353" spans="1:37" x14ac:dyDescent="0.25">
      <c r="A353" s="13" t="str">
        <f ca="1"/>
        <v>0xD212</v>
      </c>
      <c r="B353" s="14" t="str">
        <f ca="1"/>
        <v>MovieWbTuneAuto</v>
      </c>
      <c r="D353" s="8" t="str">
        <f ca="1"/>
        <v>MovieWbTuneAuto</v>
      </c>
      <c r="E353" s="8" t="str">
        <f ca="1"/>
        <v>MovieWbTuneAuto</v>
      </c>
      <c r="F353" s="8" t="str">
        <f ca="1"/>
        <v>MovieWbTuneAuto</v>
      </c>
      <c r="G353" s="8" t="str">
        <f ca="1"/>
        <v>MovieWbTuneAuto</v>
      </c>
      <c r="H353" s="7" t="str">
        <f ca="1"/>
        <v>MovieWbTuneAuto</v>
      </c>
      <c r="I353" s="7" t="str">
        <f ca="1"/>
        <v>MovieWbTuneAuto</v>
      </c>
      <c r="J353" s="7" t="str">
        <f ca="1"/>
        <v>MovieWbTuneAuto</v>
      </c>
      <c r="K353" s="7" t="str">
        <f ca="1"/>
        <v>MovieWbTuneAuto</v>
      </c>
      <c r="L353" s="7" t="str">
        <f ca="1"/>
        <v>MovieWbTuneAuto</v>
      </c>
      <c r="M353" s="7" t="str">
        <f ca="1"/>
        <v>MovieWbTuneAuto</v>
      </c>
      <c r="N353" s="7" t="str">
        <f ca="1"/>
        <v/>
      </c>
      <c r="O353" s="7" t="str">
        <f ca="1"/>
        <v/>
      </c>
      <c r="P353" s="7" t="str">
        <f ca="1"/>
        <v/>
      </c>
      <c r="Q353" s="7" t="str">
        <f ca="1"/>
        <v/>
      </c>
      <c r="T353" s="7" t="str">
        <f ca="1"/>
        <v>Z9</v>
      </c>
      <c r="U353" s="7" t="str">
        <f ca="1"/>
        <v>0xD010</v>
      </c>
      <c r="V353" s="7" t="str">
        <f ca="1"/>
        <v>ShootingMenuBank</v>
      </c>
      <c r="X353" s="8" t="s">
        <v>740</v>
      </c>
      <c r="Y353" s="8" t="s">
        <v>740</v>
      </c>
      <c r="Z353" s="8" t="s">
        <v>762</v>
      </c>
      <c r="AA353" s="8" t="s">
        <v>762</v>
      </c>
      <c r="AB353" s="7" t="s">
        <v>1220</v>
      </c>
      <c r="AC353" s="7" t="s">
        <v>758</v>
      </c>
      <c r="AD353" s="7" t="s">
        <v>758</v>
      </c>
      <c r="AE353" s="7" t="s">
        <v>1218</v>
      </c>
      <c r="AF353" s="7" t="s">
        <v>712</v>
      </c>
      <c r="AG353" s="7" t="s">
        <v>734</v>
      </c>
      <c r="AH353" s="7" t="s">
        <v>1716</v>
      </c>
      <c r="AI353" s="7" t="s">
        <v>1220</v>
      </c>
      <c r="AJ353" s="7" t="s">
        <v>1838</v>
      </c>
      <c r="AK353" s="7" t="s">
        <v>768</v>
      </c>
    </row>
    <row r="354" spans="1:37" x14ac:dyDescent="0.25">
      <c r="A354" s="13" t="str">
        <f ca="1"/>
        <v>0xD213</v>
      </c>
      <c r="B354" s="14" t="str">
        <f ca="1"/>
        <v>MovieWbTuneIncandescent</v>
      </c>
      <c r="D354" s="8" t="str">
        <f ca="1"/>
        <v>MovieWbTuneIncandescent</v>
      </c>
      <c r="E354" s="8" t="str">
        <f ca="1"/>
        <v>MovieWbTuneIncandescent</v>
      </c>
      <c r="F354" s="8" t="str">
        <f ca="1"/>
        <v>MovieWbTuneIncandescent</v>
      </c>
      <c r="G354" s="8" t="str">
        <f ca="1"/>
        <v>MovieWbTuneIncandescent</v>
      </c>
      <c r="H354" s="7" t="str">
        <f ca="1"/>
        <v>MovieWbTuneIncandescent</v>
      </c>
      <c r="I354" s="7" t="str">
        <f ca="1"/>
        <v>MovieWbTuneIncandescent</v>
      </c>
      <c r="J354" s="7" t="str">
        <f ca="1"/>
        <v>MovieWbTuneIncandescent</v>
      </c>
      <c r="K354" s="7" t="str">
        <f ca="1"/>
        <v>MovieWbTuneIncandescent</v>
      </c>
      <c r="L354" s="7" t="str">
        <f ca="1"/>
        <v>MovieWbTuneIncandescent</v>
      </c>
      <c r="M354" s="7" t="str">
        <f ca="1"/>
        <v>MovieWbTuneIncandescent</v>
      </c>
      <c r="N354" s="7" t="str">
        <f ca="1"/>
        <v/>
      </c>
      <c r="O354" s="7" t="str">
        <f ca="1"/>
        <v/>
      </c>
      <c r="P354" s="7" t="str">
        <f ca="1"/>
        <v/>
      </c>
      <c r="Q354" s="7" t="str">
        <f ca="1"/>
        <v/>
      </c>
      <c r="T354" s="7" t="str">
        <f ca="1"/>
        <v>Z9</v>
      </c>
      <c r="U354" s="7" t="str">
        <f ca="1"/>
        <v>0xD011</v>
      </c>
      <c r="V354" s="7" t="str">
        <f ca="1"/>
        <v>ShootingBankNameA</v>
      </c>
      <c r="X354" s="8" t="s">
        <v>741</v>
      </c>
      <c r="Y354" s="8" t="s">
        <v>741</v>
      </c>
      <c r="Z354" s="8" t="s">
        <v>763</v>
      </c>
      <c r="AA354" s="8" t="s">
        <v>763</v>
      </c>
      <c r="AB354" s="7" t="s">
        <v>1529</v>
      </c>
      <c r="AC354" s="7" t="s">
        <v>759</v>
      </c>
      <c r="AD354" s="7" t="s">
        <v>759</v>
      </c>
      <c r="AE354" s="7" t="s">
        <v>1219</v>
      </c>
      <c r="AF354" s="7" t="s">
        <v>713</v>
      </c>
      <c r="AG354" s="7" t="s">
        <v>735</v>
      </c>
      <c r="AH354" s="7" t="s">
        <v>1717</v>
      </c>
      <c r="AI354" s="7" t="s">
        <v>1529</v>
      </c>
      <c r="AJ354" s="7" t="s">
        <v>1839</v>
      </c>
      <c r="AK354" s="7" t="s">
        <v>1720</v>
      </c>
    </row>
    <row r="355" spans="1:37" x14ac:dyDescent="0.25">
      <c r="A355" s="13" t="str">
        <f ca="1"/>
        <v>0xD214</v>
      </c>
      <c r="B355" s="14" t="str">
        <f ca="1"/>
        <v>MovieWbFluorescentType</v>
      </c>
      <c r="D355" s="8" t="str">
        <f ca="1"/>
        <v>MovieWbFluorescentType</v>
      </c>
      <c r="E355" s="8" t="str">
        <f ca="1"/>
        <v>MovieWbFluorescentType</v>
      </c>
      <c r="F355" s="8" t="str">
        <f ca="1"/>
        <v>MovieWbFluorescentType</v>
      </c>
      <c r="G355" s="8" t="str">
        <f ca="1"/>
        <v>MovieWbFluorescentType</v>
      </c>
      <c r="H355" s="7" t="str">
        <f ca="1"/>
        <v>MovieWbFluorescentType</v>
      </c>
      <c r="I355" s="7" t="str">
        <f ca="1"/>
        <v>MovieWbFluorescentType</v>
      </c>
      <c r="J355" s="7" t="str">
        <f ca="1"/>
        <v>MovieWbFluorescentType</v>
      </c>
      <c r="K355" s="7" t="str">
        <f ca="1"/>
        <v>MovieWbFluorescentType</v>
      </c>
      <c r="L355" s="7" t="str">
        <f ca="1"/>
        <v>MovieWbFluorescentType</v>
      </c>
      <c r="M355" s="7" t="str">
        <f ca="1"/>
        <v>MovieWbFluorescentType</v>
      </c>
      <c r="N355" s="7" t="str">
        <f ca="1"/>
        <v/>
      </c>
      <c r="O355" s="7" t="str">
        <f ca="1"/>
        <v/>
      </c>
      <c r="P355" s="7" t="str">
        <f ca="1"/>
        <v/>
      </c>
      <c r="Q355" s="7" t="str">
        <f ca="1"/>
        <v/>
      </c>
      <c r="T355" s="7" t="str">
        <f ca="1"/>
        <v>Z9</v>
      </c>
      <c r="U355" s="7" t="str">
        <f ca="1"/>
        <v>0xD012</v>
      </c>
      <c r="V355" s="7" t="str">
        <f ca="1"/>
        <v>ShootingBankNameB</v>
      </c>
      <c r="X355" s="8" t="s">
        <v>742</v>
      </c>
      <c r="Y355" s="8" t="s">
        <v>742</v>
      </c>
      <c r="Z355" s="8" t="s">
        <v>1218</v>
      </c>
      <c r="AA355" s="8" t="s">
        <v>1218</v>
      </c>
      <c r="AB355" s="7" t="s">
        <v>784</v>
      </c>
      <c r="AC355" s="7" t="s">
        <v>762</v>
      </c>
      <c r="AD355" s="7" t="s">
        <v>762</v>
      </c>
      <c r="AE355" s="7" t="s">
        <v>766</v>
      </c>
      <c r="AF355" s="7" t="s">
        <v>714</v>
      </c>
      <c r="AG355" s="7" t="s">
        <v>736</v>
      </c>
      <c r="AH355" s="7" t="s">
        <v>750</v>
      </c>
      <c r="AI355" s="7" t="s">
        <v>786</v>
      </c>
      <c r="AJ355" s="7" t="s">
        <v>764</v>
      </c>
      <c r="AK355" s="7" t="s">
        <v>1721</v>
      </c>
    </row>
    <row r="356" spans="1:37" x14ac:dyDescent="0.25">
      <c r="A356" s="13" t="str">
        <f ca="1"/>
        <v>0xD215</v>
      </c>
      <c r="B356" s="14" t="str">
        <f ca="1"/>
        <v>MovieWbTuneFluorescent</v>
      </c>
      <c r="D356" s="8" t="str">
        <f ca="1"/>
        <v>MovieWbTuneFluorescent</v>
      </c>
      <c r="E356" s="8" t="str">
        <f ca="1"/>
        <v>MovieWbTuneFluorescent</v>
      </c>
      <c r="F356" s="8" t="str">
        <f ca="1"/>
        <v>MovieWbTuneFluorescent</v>
      </c>
      <c r="G356" s="8" t="str">
        <f ca="1"/>
        <v>MovieWbTuneFluorescent</v>
      </c>
      <c r="H356" s="7" t="str">
        <f ca="1"/>
        <v>MovieWbTuneFluorescent</v>
      </c>
      <c r="I356" s="7" t="str">
        <f ca="1"/>
        <v>MovieWbTuneFluorescent</v>
      </c>
      <c r="J356" s="7" t="str">
        <f ca="1"/>
        <v>MovieWbTuneFluorescent</v>
      </c>
      <c r="K356" s="7" t="str">
        <f ca="1"/>
        <v>MovieWbTuneFluorescent</v>
      </c>
      <c r="L356" s="7" t="str">
        <f ca="1"/>
        <v>MovieWbTuneFluorescent</v>
      </c>
      <c r="M356" s="7" t="str">
        <f ca="1"/>
        <v>MovieWbTuneFluorescent</v>
      </c>
      <c r="N356" s="7" t="str">
        <f ca="1"/>
        <v/>
      </c>
      <c r="O356" s="7" t="str">
        <f ca="1"/>
        <v/>
      </c>
      <c r="P356" s="7" t="str">
        <f ca="1"/>
        <v/>
      </c>
      <c r="Q356" s="7" t="str">
        <f ca="1"/>
        <v/>
      </c>
      <c r="T356" s="7" t="str">
        <f ca="1"/>
        <v>Z9</v>
      </c>
      <c r="U356" s="7" t="str">
        <f ca="1"/>
        <v>0xD013</v>
      </c>
      <c r="V356" s="7" t="str">
        <f ca="1"/>
        <v>ShootingBankNameC</v>
      </c>
      <c r="X356" s="8" t="s">
        <v>743</v>
      </c>
      <c r="Y356" s="8" t="s">
        <v>743</v>
      </c>
      <c r="Z356" s="8" t="s">
        <v>1219</v>
      </c>
      <c r="AA356" s="8" t="s">
        <v>1219</v>
      </c>
      <c r="AB356" s="7" t="s">
        <v>785</v>
      </c>
      <c r="AC356" s="7" t="s">
        <v>763</v>
      </c>
      <c r="AD356" s="7" t="s">
        <v>763</v>
      </c>
      <c r="AE356" s="7" t="s">
        <v>767</v>
      </c>
      <c r="AF356" s="7" t="s">
        <v>715</v>
      </c>
      <c r="AG356" s="7" t="s">
        <v>737</v>
      </c>
      <c r="AH356" s="7" t="s">
        <v>1684</v>
      </c>
      <c r="AI356" s="7" t="s">
        <v>787</v>
      </c>
      <c r="AJ356" s="7" t="s">
        <v>765</v>
      </c>
      <c r="AK356" s="7" t="s">
        <v>1722</v>
      </c>
    </row>
    <row r="357" spans="1:37" x14ac:dyDescent="0.25">
      <c r="A357" s="13" t="str">
        <f ca="1"/>
        <v>0xD216</v>
      </c>
      <c r="B357" s="14" t="str">
        <f ca="1"/>
        <v>MovieWbTuneSunny</v>
      </c>
      <c r="D357" s="8" t="str">
        <f ca="1"/>
        <v>MovieWbTuneSunny</v>
      </c>
      <c r="E357" s="8" t="str">
        <f ca="1"/>
        <v>MovieWbTuneSunny</v>
      </c>
      <c r="F357" s="8" t="str">
        <f ca="1"/>
        <v>MovieWbTuneSunny</v>
      </c>
      <c r="G357" s="8" t="str">
        <f ca="1"/>
        <v>MovieWbTuneSunny</v>
      </c>
      <c r="H357" s="7" t="str">
        <f ca="1"/>
        <v>MovieWbTuneSunny</v>
      </c>
      <c r="I357" s="7" t="str">
        <f ca="1"/>
        <v>MovieWbTuneSunny</v>
      </c>
      <c r="J357" s="7" t="str">
        <f ca="1"/>
        <v>MovieWbTuneSunny</v>
      </c>
      <c r="K357" s="7" t="str">
        <f ca="1"/>
        <v>MovieWbTuneSunny</v>
      </c>
      <c r="L357" s="7" t="str">
        <f ca="1"/>
        <v>MovieWbTuneSunny</v>
      </c>
      <c r="M357" s="7" t="str">
        <f ca="1"/>
        <v>MovieWbTuneSunny</v>
      </c>
      <c r="N357" s="7" t="str">
        <f ca="1"/>
        <v/>
      </c>
      <c r="O357" s="7" t="str">
        <f ca="1"/>
        <v/>
      </c>
      <c r="P357" s="7" t="str">
        <f ca="1"/>
        <v/>
      </c>
      <c r="Q357" s="7" t="str">
        <f ca="1"/>
        <v/>
      </c>
      <c r="T357" s="7" t="str">
        <f ca="1"/>
        <v>Z9</v>
      </c>
      <c r="U357" s="7" t="str">
        <f ca="1"/>
        <v>0xD014</v>
      </c>
      <c r="V357" s="7" t="str">
        <f ca="1"/>
        <v>ShootingBankNameD</v>
      </c>
      <c r="X357" s="8" t="s">
        <v>744</v>
      </c>
      <c r="Y357" s="8" t="s">
        <v>744</v>
      </c>
      <c r="Z357" s="8" t="s">
        <v>766</v>
      </c>
      <c r="AA357" s="8" t="s">
        <v>766</v>
      </c>
      <c r="AB357" s="7" t="s">
        <v>786</v>
      </c>
      <c r="AC357" s="7" t="s">
        <v>1218</v>
      </c>
      <c r="AD357" s="7" t="s">
        <v>1218</v>
      </c>
      <c r="AE357" s="7" t="s">
        <v>768</v>
      </c>
      <c r="AF357" s="7" t="s">
        <v>716</v>
      </c>
      <c r="AG357" s="7" t="s">
        <v>738</v>
      </c>
      <c r="AH357" s="7" t="s">
        <v>762</v>
      </c>
      <c r="AI357" s="7" t="s">
        <v>788</v>
      </c>
      <c r="AJ357" s="7" t="s">
        <v>1840</v>
      </c>
      <c r="AK357" s="7" t="s">
        <v>770</v>
      </c>
    </row>
    <row r="358" spans="1:37" x14ac:dyDescent="0.25">
      <c r="A358" s="13" t="str">
        <f ca="1"/>
        <v>0xD218</v>
      </c>
      <c r="B358" s="14" t="str">
        <f ca="1"/>
        <v>MovieWbTuneCloudy</v>
      </c>
      <c r="D358" s="8" t="str">
        <f ca="1"/>
        <v>MovieWbTuneCloudy</v>
      </c>
      <c r="E358" s="8" t="str">
        <f ca="1"/>
        <v>MovieWbTuneCloudy</v>
      </c>
      <c r="F358" s="8" t="str">
        <f ca="1"/>
        <v>MovieWbTuneCloudy</v>
      </c>
      <c r="G358" s="8" t="str">
        <f ca="1"/>
        <v>MovieWbTuneCloudy</v>
      </c>
      <c r="H358" s="7" t="str">
        <f ca="1"/>
        <v>MovieWbTuneCloudy</v>
      </c>
      <c r="I358" s="7" t="str">
        <f ca="1"/>
        <v>MovieWbTuneCloudy</v>
      </c>
      <c r="J358" s="7" t="str">
        <f ca="1"/>
        <v>MovieWbTuneCloudy</v>
      </c>
      <c r="K358" s="7" t="str">
        <f ca="1"/>
        <v>MovieWbTuneCloudy</v>
      </c>
      <c r="L358" s="7" t="str">
        <f ca="1"/>
        <v>MovieWbTuneCloudy</v>
      </c>
      <c r="M358" s="7" t="str">
        <f ca="1"/>
        <v>MovieWbTuneCloudy</v>
      </c>
      <c r="N358" s="7" t="str">
        <f ca="1"/>
        <v/>
      </c>
      <c r="O358" s="7" t="str">
        <f ca="1"/>
        <v/>
      </c>
      <c r="P358" s="7" t="str">
        <f ca="1"/>
        <v/>
      </c>
      <c r="Q358" s="7" t="str">
        <f ca="1"/>
        <v/>
      </c>
      <c r="T358" s="7" t="str">
        <f ca="1"/>
        <v>Z9</v>
      </c>
      <c r="U358" s="7" t="str">
        <f ca="1"/>
        <v>0xD016</v>
      </c>
      <c r="V358" s="7" t="str">
        <f ca="1"/>
        <v>RawCompressionType</v>
      </c>
      <c r="X358" s="8" t="s">
        <v>745</v>
      </c>
      <c r="Y358" s="8" t="s">
        <v>745</v>
      </c>
      <c r="Z358" s="8" t="s">
        <v>767</v>
      </c>
      <c r="AA358" s="8" t="s">
        <v>767</v>
      </c>
      <c r="AB358" s="7" t="s">
        <v>787</v>
      </c>
      <c r="AC358" s="7" t="s">
        <v>1219</v>
      </c>
      <c r="AD358" s="7" t="s">
        <v>1219</v>
      </c>
      <c r="AE358" s="7" t="s">
        <v>769</v>
      </c>
      <c r="AF358" s="7" t="s">
        <v>717</v>
      </c>
      <c r="AG358" s="7" t="s">
        <v>739</v>
      </c>
      <c r="AH358" s="7" t="s">
        <v>763</v>
      </c>
      <c r="AI358" s="7" t="s">
        <v>789</v>
      </c>
      <c r="AJ358" s="7" t="s">
        <v>1841</v>
      </c>
      <c r="AK358" s="7" t="s">
        <v>771</v>
      </c>
    </row>
    <row r="359" spans="1:37" x14ac:dyDescent="0.25">
      <c r="A359" s="13" t="str">
        <f ca="1"/>
        <v>0xD219</v>
      </c>
      <c r="B359" s="14" t="str">
        <f ca="1"/>
        <v>MovieWbTuneShade</v>
      </c>
      <c r="D359" s="8" t="str">
        <f ca="1"/>
        <v>MovieWbTuneShade</v>
      </c>
      <c r="E359" s="8" t="str">
        <f ca="1"/>
        <v>MovieWbTuneShade</v>
      </c>
      <c r="F359" s="8" t="str">
        <f ca="1"/>
        <v>MovieWbTuneShade</v>
      </c>
      <c r="G359" s="8" t="str">
        <f ca="1"/>
        <v>MovieWbTuneShade</v>
      </c>
      <c r="H359" s="7" t="str">
        <f ca="1"/>
        <v>MovieWbTuneShade</v>
      </c>
      <c r="I359" s="7" t="str">
        <f ca="1"/>
        <v>MovieWbTuneShade</v>
      </c>
      <c r="J359" s="7" t="str">
        <f ca="1"/>
        <v>MovieWbTuneShade</v>
      </c>
      <c r="K359" s="7" t="str">
        <f ca="1"/>
        <v>MovieWbTuneShade</v>
      </c>
      <c r="L359" s="7" t="str">
        <f ca="1"/>
        <v>MovieWbTuneShade</v>
      </c>
      <c r="M359" s="7" t="str">
        <f ca="1"/>
        <v>MovieWbTuneShade</v>
      </c>
      <c r="N359" s="7" t="str">
        <f ca="1"/>
        <v/>
      </c>
      <c r="O359" s="7" t="str">
        <f ca="1"/>
        <v/>
      </c>
      <c r="P359" s="7" t="str">
        <f ca="1"/>
        <v/>
      </c>
      <c r="Q359" s="7" t="str">
        <f ca="1"/>
        <v/>
      </c>
      <c r="T359" s="7" t="str">
        <f ca="1"/>
        <v>Z9</v>
      </c>
      <c r="U359" s="7" t="str">
        <f ca="1"/>
        <v>0xD017</v>
      </c>
      <c r="V359" s="7" t="str">
        <f ca="1"/>
        <v>WbTuneAuto</v>
      </c>
      <c r="X359" s="8" t="s">
        <v>746</v>
      </c>
      <c r="Y359" s="8" t="s">
        <v>746</v>
      </c>
      <c r="Z359" s="8" t="s">
        <v>768</v>
      </c>
      <c r="AA359" s="8" t="s">
        <v>768</v>
      </c>
      <c r="AB359" s="7" t="s">
        <v>788</v>
      </c>
      <c r="AC359" s="7" t="s">
        <v>766</v>
      </c>
      <c r="AD359" s="7" t="s">
        <v>766</v>
      </c>
      <c r="AE359" s="7" t="s">
        <v>770</v>
      </c>
      <c r="AF359" s="7" t="s">
        <v>1211</v>
      </c>
      <c r="AG359" s="7" t="s">
        <v>740</v>
      </c>
      <c r="AH359" s="7" t="s">
        <v>764</v>
      </c>
      <c r="AI359" s="7" t="s">
        <v>790</v>
      </c>
      <c r="AJ359" s="7" t="s">
        <v>1842</v>
      </c>
      <c r="AK359" s="7" t="s">
        <v>786</v>
      </c>
    </row>
    <row r="360" spans="1:37" x14ac:dyDescent="0.25">
      <c r="A360" s="13" t="str">
        <f ca="1"/>
        <v>0xD21A</v>
      </c>
      <c r="B360" s="14" t="str">
        <f ca="1"/>
        <v>MovieWbColorTemp</v>
      </c>
      <c r="D360" s="8" t="str">
        <f ca="1"/>
        <v>MovieWbColorTemp</v>
      </c>
      <c r="E360" s="8" t="str">
        <f ca="1"/>
        <v>MovieWbColorTemp</v>
      </c>
      <c r="F360" s="8" t="str">
        <f ca="1"/>
        <v>MovieWbColorTemp</v>
      </c>
      <c r="G360" s="8" t="str">
        <f ca="1"/>
        <v>MovieWbColorTemp</v>
      </c>
      <c r="H360" s="7" t="str">
        <f ca="1"/>
        <v>MovieWbColorTemp</v>
      </c>
      <c r="I360" s="7" t="str">
        <f ca="1"/>
        <v>MovieWbColorTemp</v>
      </c>
      <c r="J360" s="7" t="str">
        <f ca="1"/>
        <v>MovieWbColorTemp</v>
      </c>
      <c r="K360" s="7" t="str">
        <f ca="1"/>
        <v>MovieWbColorTemp</v>
      </c>
      <c r="L360" s="7" t="str">
        <f ca="1"/>
        <v>MovieWbColorTemp</v>
      </c>
      <c r="M360" s="7" t="str">
        <f ca="1"/>
        <v>MovieWbColorTemp</v>
      </c>
      <c r="N360" s="7" t="str">
        <f ca="1"/>
        <v/>
      </c>
      <c r="O360" s="7" t="str">
        <f ca="1"/>
        <v/>
      </c>
      <c r="P360" s="7" t="str">
        <f ca="1"/>
        <v/>
      </c>
      <c r="Q360" s="7" t="str">
        <f ca="1"/>
        <v/>
      </c>
      <c r="T360" s="7" t="str">
        <f ca="1"/>
        <v>Z9</v>
      </c>
      <c r="U360" s="7" t="str">
        <f ca="1"/>
        <v>0xD018</v>
      </c>
      <c r="V360" s="7" t="str">
        <f ca="1"/>
        <v>WbTuneIncandescent</v>
      </c>
      <c r="X360" s="8" t="s">
        <v>747</v>
      </c>
      <c r="Y360" s="8" t="s">
        <v>747</v>
      </c>
      <c r="Z360" s="8" t="s">
        <v>769</v>
      </c>
      <c r="AA360" s="8" t="s">
        <v>769</v>
      </c>
      <c r="AB360" s="7" t="s">
        <v>789</v>
      </c>
      <c r="AC360" s="7" t="s">
        <v>767</v>
      </c>
      <c r="AD360" s="7" t="s">
        <v>767</v>
      </c>
      <c r="AE360" s="7" t="s">
        <v>771</v>
      </c>
      <c r="AF360" s="7" t="s">
        <v>1212</v>
      </c>
      <c r="AG360" s="7" t="s">
        <v>741</v>
      </c>
      <c r="AH360" s="7" t="s">
        <v>765</v>
      </c>
      <c r="AI360" s="7" t="s">
        <v>791</v>
      </c>
      <c r="AJ360" s="7" t="s">
        <v>1843</v>
      </c>
      <c r="AK360" s="7" t="s">
        <v>787</v>
      </c>
    </row>
    <row r="361" spans="1:37" x14ac:dyDescent="0.25">
      <c r="A361" s="13" t="str">
        <f ca="1"/>
        <v>0xD21B</v>
      </c>
      <c r="B361" s="14" t="str">
        <f ca="1"/>
        <v>MovieWbTuneColorTemp</v>
      </c>
      <c r="D361" s="8" t="str">
        <f ca="1"/>
        <v>MovieWbTuneColorTemp</v>
      </c>
      <c r="E361" s="8" t="str">
        <f ca="1"/>
        <v>MovieWbTuneColorTemp</v>
      </c>
      <c r="F361" s="8" t="str">
        <f ca="1"/>
        <v>MovieWbTuneColorTemp</v>
      </c>
      <c r="G361" s="8" t="str">
        <f ca="1"/>
        <v>MovieWbTuneColorTemp</v>
      </c>
      <c r="H361" s="7" t="str">
        <f ca="1"/>
        <v>MovieWbTuneColorTemp</v>
      </c>
      <c r="I361" s="7" t="str">
        <f ca="1"/>
        <v>MovieWbTuneColorTemp</v>
      </c>
      <c r="J361" s="7" t="str">
        <f ca="1"/>
        <v>MovieWbTuneColorTemp</v>
      </c>
      <c r="K361" s="7" t="str">
        <f ca="1"/>
        <v>MovieWbTuneColorTemp</v>
      </c>
      <c r="L361" s="7" t="str">
        <f ca="1"/>
        <v>MovieWbTuneColorTemp</v>
      </c>
      <c r="M361" s="7" t="str">
        <f ca="1"/>
        <v>MovieWbTuneColorTemp</v>
      </c>
      <c r="N361" s="7" t="str">
        <f ca="1"/>
        <v/>
      </c>
      <c r="O361" s="7" t="str">
        <f ca="1"/>
        <v/>
      </c>
      <c r="P361" s="7" t="str">
        <f ca="1"/>
        <v/>
      </c>
      <c r="Q361" s="7" t="str">
        <f ca="1"/>
        <v/>
      </c>
      <c r="T361" s="7" t="str">
        <f ca="1"/>
        <v>Z9</v>
      </c>
      <c r="U361" s="7" t="str">
        <f ca="1"/>
        <v>0xD019</v>
      </c>
      <c r="V361" s="7" t="str">
        <f ca="1"/>
        <v>WbTuneFluorescent</v>
      </c>
      <c r="X361" s="8" t="s">
        <v>748</v>
      </c>
      <c r="Y361" s="8" t="s">
        <v>748</v>
      </c>
      <c r="Z361" s="8" t="s">
        <v>770</v>
      </c>
      <c r="AA361" s="8" t="s">
        <v>770</v>
      </c>
      <c r="AB361" s="7" t="s">
        <v>790</v>
      </c>
      <c r="AC361" s="7" t="s">
        <v>768</v>
      </c>
      <c r="AD361" s="7" t="s">
        <v>768</v>
      </c>
      <c r="AE361" s="7" t="s">
        <v>772</v>
      </c>
      <c r="AF361" s="7" t="s">
        <v>718</v>
      </c>
      <c r="AG361" s="7" t="s">
        <v>742</v>
      </c>
      <c r="AH361" s="7" t="s">
        <v>1218</v>
      </c>
      <c r="AI361" s="7" t="s">
        <v>792</v>
      </c>
      <c r="AJ361" s="7" t="s">
        <v>1844</v>
      </c>
      <c r="AK361" s="7" t="s">
        <v>788</v>
      </c>
    </row>
    <row r="362" spans="1:37" x14ac:dyDescent="0.25">
      <c r="A362" s="13" t="str">
        <f ca="1"/>
        <v>0xD21C</v>
      </c>
      <c r="B362" s="14" t="str">
        <f ca="1"/>
        <v>MovieWbPresetDataNo</v>
      </c>
      <c r="D362" s="8" t="str">
        <f ca="1"/>
        <v>MovieWbPresetDataNo</v>
      </c>
      <c r="E362" s="8" t="str">
        <f ca="1"/>
        <v>MovieWbPresetDataNo</v>
      </c>
      <c r="F362" s="8" t="str">
        <f ca="1"/>
        <v>MovieWbPresetDataNo</v>
      </c>
      <c r="G362" s="8" t="str">
        <f ca="1"/>
        <v>MovieWbPresetDataNo</v>
      </c>
      <c r="H362" s="7" t="str">
        <f ca="1"/>
        <v>MovieWbPresetDataNo</v>
      </c>
      <c r="I362" s="7" t="str">
        <f ca="1"/>
        <v>MovieWbPresetDataNo</v>
      </c>
      <c r="J362" s="7" t="str">
        <f ca="1"/>
        <v>MovieWbPresetDataNo</v>
      </c>
      <c r="K362" s="7" t="str">
        <f ca="1"/>
        <v>MovieWbPresetDataNo</v>
      </c>
      <c r="L362" s="7" t="str">
        <f ca="1"/>
        <v>MovieWbPresetDataNo</v>
      </c>
      <c r="M362" s="7" t="str">
        <f ca="1"/>
        <v>MovieWbPresetDataNo</v>
      </c>
      <c r="N362" s="7" t="str">
        <f ca="1"/>
        <v/>
      </c>
      <c r="O362" s="7" t="str">
        <f ca="1"/>
        <v/>
      </c>
      <c r="P362" s="7" t="str">
        <f ca="1"/>
        <v/>
      </c>
      <c r="Q362" s="7" t="str">
        <f ca="1"/>
        <v/>
      </c>
      <c r="T362" s="7" t="str">
        <f ca="1"/>
        <v>Z9</v>
      </c>
      <c r="U362" s="7" t="str">
        <f ca="1"/>
        <v>0xD01A</v>
      </c>
      <c r="V362" s="7" t="str">
        <f ca="1"/>
        <v>WbTuneSunny</v>
      </c>
      <c r="X362" s="8" t="s">
        <v>749</v>
      </c>
      <c r="Y362" s="8" t="s">
        <v>749</v>
      </c>
      <c r="Z362" s="8" t="s">
        <v>771</v>
      </c>
      <c r="AA362" s="8" t="s">
        <v>771</v>
      </c>
      <c r="AB362" s="7" t="s">
        <v>791</v>
      </c>
      <c r="AC362" s="7" t="s">
        <v>769</v>
      </c>
      <c r="AD362" s="7" t="s">
        <v>769</v>
      </c>
      <c r="AE362" s="7" t="s">
        <v>773</v>
      </c>
      <c r="AF362" s="7" t="s">
        <v>719</v>
      </c>
      <c r="AG362" s="7" t="s">
        <v>743</v>
      </c>
      <c r="AH362" s="7" t="s">
        <v>1219</v>
      </c>
      <c r="AI362" s="7" t="s">
        <v>793</v>
      </c>
      <c r="AJ362" s="7" t="s">
        <v>1845</v>
      </c>
      <c r="AK362" s="7" t="s">
        <v>789</v>
      </c>
    </row>
    <row r="363" spans="1:37" x14ac:dyDescent="0.25">
      <c r="A363" s="13" t="str">
        <f ca="1"/>
        <v>0xD21D</v>
      </c>
      <c r="B363" s="14" t="str">
        <f ca="1"/>
        <v>MovieWbPresetDataComment1</v>
      </c>
      <c r="D363" s="8" t="str">
        <f ca="1"/>
        <v>MovieWbPresetDataComment1</v>
      </c>
      <c r="E363" s="8" t="str">
        <f ca="1"/>
        <v>MovieWbPresetDataComment1</v>
      </c>
      <c r="F363" s="8" t="str">
        <f ca="1"/>
        <v>MovieWbPresetDataComment1</v>
      </c>
      <c r="G363" s="8" t="str">
        <f ca="1"/>
        <v>MovieWbPresetDataComment1</v>
      </c>
      <c r="H363" s="7" t="str">
        <f ca="1"/>
        <v>MovieWbPresetDataComment1</v>
      </c>
      <c r="I363" s="7" t="str">
        <f ca="1"/>
        <v>MovieWbPresetDataComment1</v>
      </c>
      <c r="J363" s="7" t="str">
        <f ca="1"/>
        <v>MovieWbPresetDataComment1</v>
      </c>
      <c r="K363" s="7" t="str">
        <f ca="1"/>
        <v>MovieWbPresetDataComment1</v>
      </c>
      <c r="L363" s="7" t="str">
        <f ca="1"/>
        <v>MovieWbPresetDataComment1</v>
      </c>
      <c r="M363" s="7" t="str">
        <f ca="1"/>
        <v>MovieWbPresetDataComment1</v>
      </c>
      <c r="N363" s="7" t="str">
        <f ca="1"/>
        <v/>
      </c>
      <c r="O363" s="7" t="str">
        <f ca="1"/>
        <v/>
      </c>
      <c r="P363" s="7" t="str">
        <f ca="1"/>
        <v/>
      </c>
      <c r="Q363" s="7" t="str">
        <f ca="1"/>
        <v/>
      </c>
      <c r="T363" s="7" t="str">
        <f ca="1"/>
        <v>Z9</v>
      </c>
      <c r="U363" s="7" t="str">
        <f ca="1"/>
        <v>0xD01B</v>
      </c>
      <c r="V363" s="7" t="str">
        <f ca="1"/>
        <v>WbTuneFlash</v>
      </c>
      <c r="X363" s="8" t="s">
        <v>750</v>
      </c>
      <c r="Y363" s="8" t="s">
        <v>750</v>
      </c>
      <c r="Z363" s="8" t="s">
        <v>772</v>
      </c>
      <c r="AA363" s="8" t="s">
        <v>772</v>
      </c>
      <c r="AB363" s="7" t="s">
        <v>792</v>
      </c>
      <c r="AC363" s="7" t="s">
        <v>770</v>
      </c>
      <c r="AD363" s="7" t="s">
        <v>770</v>
      </c>
      <c r="AE363" s="7" t="s">
        <v>774</v>
      </c>
      <c r="AF363" s="7" t="s">
        <v>720</v>
      </c>
      <c r="AG363" s="7" t="s">
        <v>1525</v>
      </c>
      <c r="AH363" s="7" t="s">
        <v>768</v>
      </c>
      <c r="AI363" s="7" t="s">
        <v>794</v>
      </c>
      <c r="AJ363" s="7" t="s">
        <v>1846</v>
      </c>
      <c r="AK363" s="7" t="s">
        <v>790</v>
      </c>
    </row>
    <row r="364" spans="1:37" x14ac:dyDescent="0.25">
      <c r="A364" s="13" t="str">
        <f ca="1"/>
        <v>0xD21E</v>
      </c>
      <c r="B364" s="14" t="str">
        <f ca="1"/>
        <v>MovieWbPresetDataComment2</v>
      </c>
      <c r="D364" s="8" t="str">
        <f ca="1"/>
        <v>MovieWbPresetDataComment2</v>
      </c>
      <c r="E364" s="8" t="str">
        <f ca="1"/>
        <v>MovieWbPresetDataComment2</v>
      </c>
      <c r="F364" s="8" t="str">
        <f ca="1"/>
        <v>MovieWbPresetDataComment2</v>
      </c>
      <c r="G364" s="8" t="str">
        <f ca="1"/>
        <v>MovieWbPresetDataComment2</v>
      </c>
      <c r="H364" s="7" t="str">
        <f ca="1"/>
        <v>MovieWbPresetDataComment2</v>
      </c>
      <c r="I364" s="7" t="str">
        <f ca="1"/>
        <v>MovieWbPresetDataComment2</v>
      </c>
      <c r="J364" s="7" t="str">
        <f ca="1"/>
        <v>MovieWbPresetDataComment2</v>
      </c>
      <c r="K364" s="7" t="str">
        <f ca="1"/>
        <v>MovieWbPresetDataComment2</v>
      </c>
      <c r="L364" s="7" t="str">
        <f ca="1"/>
        <v>MovieWbPresetDataComment2</v>
      </c>
      <c r="M364" s="7" t="str">
        <f ca="1"/>
        <v>MovieWbPresetDataComment2</v>
      </c>
      <c r="N364" s="7" t="str">
        <f ca="1"/>
        <v/>
      </c>
      <c r="O364" s="7" t="str">
        <f ca="1"/>
        <v/>
      </c>
      <c r="P364" s="7" t="str">
        <f ca="1"/>
        <v/>
      </c>
      <c r="Q364" s="7" t="str">
        <f ca="1"/>
        <v/>
      </c>
      <c r="T364" s="7" t="str">
        <f ca="1"/>
        <v>Z9</v>
      </c>
      <c r="U364" s="7" t="str">
        <f ca="1"/>
        <v>0xD01C</v>
      </c>
      <c r="V364" s="7" t="str">
        <f ca="1"/>
        <v>WbTuneCloudy</v>
      </c>
      <c r="X364" s="8" t="s">
        <v>751</v>
      </c>
      <c r="Y364" s="8" t="s">
        <v>751</v>
      </c>
      <c r="Z364" s="8" t="s">
        <v>773</v>
      </c>
      <c r="AA364" s="8" t="s">
        <v>773</v>
      </c>
      <c r="AB364" s="7" t="s">
        <v>793</v>
      </c>
      <c r="AC364" s="7" t="s">
        <v>771</v>
      </c>
      <c r="AD364" s="7" t="s">
        <v>771</v>
      </c>
      <c r="AE364" s="7" t="s">
        <v>775</v>
      </c>
      <c r="AF364" s="7" t="s">
        <v>721</v>
      </c>
      <c r="AG364" s="7" t="s">
        <v>1526</v>
      </c>
      <c r="AH364" s="7" t="s">
        <v>1720</v>
      </c>
      <c r="AI364" s="7" t="s">
        <v>795</v>
      </c>
      <c r="AJ364" s="7" t="s">
        <v>1847</v>
      </c>
      <c r="AK364" s="7" t="s">
        <v>791</v>
      </c>
    </row>
    <row r="365" spans="1:37" x14ac:dyDescent="0.25">
      <c r="A365" s="13" t="str">
        <f ca="1"/>
        <v>0xD21F</v>
      </c>
      <c r="B365" s="14" t="str">
        <f ca="1"/>
        <v>MovieWbPresetDataComment3</v>
      </c>
      <c r="D365" s="8" t="str">
        <f ca="1"/>
        <v>MovieWbPresetDataComment3</v>
      </c>
      <c r="E365" s="8" t="str">
        <f ca="1"/>
        <v>MovieWbPresetDataComment3</v>
      </c>
      <c r="F365" s="8" t="str">
        <f ca="1"/>
        <v>MovieWbPresetDataComment3</v>
      </c>
      <c r="G365" s="8" t="str">
        <f ca="1"/>
        <v>MovieWbPresetDataComment3</v>
      </c>
      <c r="H365" s="7" t="str">
        <f ca="1"/>
        <v>MovieWbPresetDataComment3</v>
      </c>
      <c r="I365" s="7" t="str">
        <f ca="1"/>
        <v>MovieWbPresetDataComment3</v>
      </c>
      <c r="J365" s="7" t="str">
        <f ca="1"/>
        <v>MovieWbPresetDataComment3</v>
      </c>
      <c r="K365" s="7" t="str">
        <f ca="1"/>
        <v>MovieWbPresetDataComment3</v>
      </c>
      <c r="L365" s="7" t="str">
        <f ca="1"/>
        <v>MovieWbPresetDataComment3</v>
      </c>
      <c r="M365" s="7" t="str">
        <f ca="1"/>
        <v>MovieWbPresetDataComment3</v>
      </c>
      <c r="N365" s="7" t="str">
        <f ca="1"/>
        <v/>
      </c>
      <c r="O365" s="7" t="str">
        <f ca="1"/>
        <v/>
      </c>
      <c r="P365" s="7" t="str">
        <f ca="1"/>
        <v/>
      </c>
      <c r="Q365" s="7" t="str">
        <f ca="1"/>
        <v/>
      </c>
      <c r="T365" s="7" t="str">
        <f ca="1"/>
        <v>Z9</v>
      </c>
      <c r="U365" s="7" t="str">
        <f ca="1"/>
        <v>0xD01D</v>
      </c>
      <c r="V365" s="7" t="str">
        <f ca="1"/>
        <v>WbTuneShade</v>
      </c>
      <c r="X365" s="8" t="s">
        <v>752</v>
      </c>
      <c r="Y365" s="8" t="s">
        <v>752</v>
      </c>
      <c r="Z365" s="8" t="s">
        <v>774</v>
      </c>
      <c r="AA365" s="8" t="s">
        <v>774</v>
      </c>
      <c r="AB365" s="7" t="s">
        <v>794</v>
      </c>
      <c r="AC365" s="7" t="s">
        <v>772</v>
      </c>
      <c r="AD365" s="7" t="s">
        <v>772</v>
      </c>
      <c r="AE365" s="7" t="s">
        <v>776</v>
      </c>
      <c r="AF365" s="7" t="s">
        <v>722</v>
      </c>
      <c r="AG365" s="7" t="s">
        <v>1682</v>
      </c>
      <c r="AH365" s="7" t="s">
        <v>1721</v>
      </c>
      <c r="AI365" s="7" t="s">
        <v>1222</v>
      </c>
      <c r="AJ365" s="7" t="s">
        <v>1848</v>
      </c>
      <c r="AK365" s="7" t="s">
        <v>792</v>
      </c>
    </row>
    <row r="366" spans="1:37" x14ac:dyDescent="0.25">
      <c r="A366" s="13" t="str">
        <f ca="1"/>
        <v>0xD220</v>
      </c>
      <c r="B366" s="14" t="str">
        <f ca="1"/>
        <v>MovieWbPresetDataComment4</v>
      </c>
      <c r="D366" s="8" t="str">
        <f ca="1"/>
        <v>MovieWbPresetDataComment4</v>
      </c>
      <c r="E366" s="8" t="str">
        <f ca="1"/>
        <v>MovieWbPresetDataComment4</v>
      </c>
      <c r="F366" s="8" t="str">
        <f ca="1"/>
        <v>MovieWbPresetDataComment4</v>
      </c>
      <c r="G366" s="8" t="str">
        <f ca="1"/>
        <v>MovieWbPresetDataComment4</v>
      </c>
      <c r="H366" s="7" t="str">
        <f ca="1"/>
        <v>MovieWbPresetDataComment4</v>
      </c>
      <c r="I366" s="7" t="str">
        <f ca="1"/>
        <v>MovieWbPresetDataComment4</v>
      </c>
      <c r="J366" s="7" t="str">
        <f ca="1"/>
        <v>MovieWbPresetDataComment4</v>
      </c>
      <c r="K366" s="7" t="str">
        <f ca="1"/>
        <v>MovieWbPresetDataComment4</v>
      </c>
      <c r="L366" s="7" t="str">
        <f ca="1"/>
        <v>MovieWbPresetDataComment4</v>
      </c>
      <c r="M366" s="7" t="str">
        <f ca="1"/>
        <v>MovieWbPresetDataComment4</v>
      </c>
      <c r="N366" s="7" t="str">
        <f ca="1"/>
        <v/>
      </c>
      <c r="O366" s="7" t="str">
        <f ca="1"/>
        <v/>
      </c>
      <c r="P366" s="7" t="str">
        <f ca="1"/>
        <v/>
      </c>
      <c r="Q366" s="7" t="str">
        <f ca="1"/>
        <v/>
      </c>
      <c r="T366" s="7" t="str">
        <f ca="1"/>
        <v>Z9</v>
      </c>
      <c r="U366" s="7" t="str">
        <f ca="1"/>
        <v>0xD01E</v>
      </c>
      <c r="V366" s="7" t="str">
        <f ca="1"/>
        <v>WbColorTemp</v>
      </c>
      <c r="X366" s="8" t="s">
        <v>753</v>
      </c>
      <c r="Y366" s="8" t="s">
        <v>753</v>
      </c>
      <c r="Z366" s="8" t="s">
        <v>775</v>
      </c>
      <c r="AA366" s="8" t="s">
        <v>775</v>
      </c>
      <c r="AB366" s="7" t="s">
        <v>795</v>
      </c>
      <c r="AC366" s="7" t="s">
        <v>773</v>
      </c>
      <c r="AD366" s="7" t="s">
        <v>773</v>
      </c>
      <c r="AE366" s="7" t="s">
        <v>777</v>
      </c>
      <c r="AF366" s="7" t="s">
        <v>723</v>
      </c>
      <c r="AG366" s="7" t="s">
        <v>1715</v>
      </c>
      <c r="AH366" s="7" t="s">
        <v>1722</v>
      </c>
      <c r="AI366" s="7" t="s">
        <v>1223</v>
      </c>
      <c r="AJ366" s="7" t="s">
        <v>1849</v>
      </c>
      <c r="AK366" s="7" t="s">
        <v>793</v>
      </c>
    </row>
    <row r="367" spans="1:37" x14ac:dyDescent="0.25">
      <c r="A367" s="13" t="str">
        <f ca="1"/>
        <v>0xD221</v>
      </c>
      <c r="B367" s="14" t="str">
        <f ca="1"/>
        <v>MovieWbPresetDataComment5</v>
      </c>
      <c r="D367" s="8" t="str">
        <f ca="1"/>
        <v>MovieWbPresetDataComment5</v>
      </c>
      <c r="E367" s="8" t="str">
        <f ca="1"/>
        <v>MovieWbPresetDataComment5</v>
      </c>
      <c r="F367" s="8" t="str">
        <f ca="1"/>
        <v>MovieWbPresetDataComment5</v>
      </c>
      <c r="G367" s="8" t="str">
        <f ca="1"/>
        <v>MovieWbPresetDataComment5</v>
      </c>
      <c r="H367" s="7" t="str">
        <f ca="1"/>
        <v>MovieWbPresetDataComment5</v>
      </c>
      <c r="I367" s="7" t="str">
        <f ca="1"/>
        <v>MovieWbPresetDataComment5</v>
      </c>
      <c r="J367" s="7" t="str">
        <f ca="1"/>
        <v>MovieWbPresetDataComment5</v>
      </c>
      <c r="K367" s="7" t="str">
        <f ca="1"/>
        <v>MovieWbPresetDataComment5</v>
      </c>
      <c r="L367" s="7" t="str">
        <f ca="1"/>
        <v>MovieWbPresetDataComment5</v>
      </c>
      <c r="M367" s="7" t="str">
        <f ca="1"/>
        <v>MovieWbPresetDataComment5</v>
      </c>
      <c r="N367" s="7" t="str">
        <f ca="1"/>
        <v/>
      </c>
      <c r="O367" s="7" t="str">
        <f ca="1"/>
        <v/>
      </c>
      <c r="P367" s="7" t="str">
        <f ca="1"/>
        <v/>
      </c>
      <c r="Q367" s="7" t="str">
        <f ca="1"/>
        <v/>
      </c>
      <c r="T367" s="7" t="str">
        <f ca="1"/>
        <v>Z9</v>
      </c>
      <c r="U367" s="7" t="str">
        <f ca="1"/>
        <v>0xD01F</v>
      </c>
      <c r="V367" s="7" t="str">
        <f ca="1"/>
        <v>WbPresetDataNo</v>
      </c>
      <c r="X367" s="8" t="s">
        <v>754</v>
      </c>
      <c r="Y367" s="8" t="s">
        <v>754</v>
      </c>
      <c r="Z367" s="8" t="s">
        <v>776</v>
      </c>
      <c r="AA367" s="8" t="s">
        <v>776</v>
      </c>
      <c r="AB367" s="7" t="s">
        <v>1222</v>
      </c>
      <c r="AC367" s="7" t="s">
        <v>774</v>
      </c>
      <c r="AD367" s="7" t="s">
        <v>774</v>
      </c>
      <c r="AE367" s="7" t="s">
        <v>778</v>
      </c>
      <c r="AF367" s="7" t="s">
        <v>724</v>
      </c>
      <c r="AG367" s="7" t="s">
        <v>746</v>
      </c>
      <c r="AH367" s="7" t="s">
        <v>770</v>
      </c>
      <c r="AI367" s="7" t="s">
        <v>1534</v>
      </c>
      <c r="AJ367" s="7" t="s">
        <v>1850</v>
      </c>
      <c r="AK367" s="7" t="s">
        <v>856</v>
      </c>
    </row>
    <row r="368" spans="1:37" x14ac:dyDescent="0.25">
      <c r="A368" s="13" t="str">
        <f ca="1"/>
        <v>0xD222</v>
      </c>
      <c r="B368" s="14" t="str">
        <f ca="1"/>
        <v>MovieWbPresetDataComment6</v>
      </c>
      <c r="D368" s="8" t="str">
        <f ca="1"/>
        <v>MovieWbPresetDataComment6</v>
      </c>
      <c r="E368" s="8" t="str">
        <f ca="1"/>
        <v>MovieWbPresetDataComment6</v>
      </c>
      <c r="F368" s="8" t="str">
        <f ca="1"/>
        <v>MovieWbPresetDataComment6</v>
      </c>
      <c r="G368" s="8" t="str">
        <f ca="1"/>
        <v>MovieWbPresetDataComment6</v>
      </c>
      <c r="H368" s="7" t="str">
        <f ca="1"/>
        <v>MovieWbPresetDataComment6</v>
      </c>
      <c r="I368" s="7" t="str">
        <f ca="1"/>
        <v>MovieWbPresetDataComment6</v>
      </c>
      <c r="J368" s="7" t="str">
        <f ca="1"/>
        <v>MovieWbPresetDataComment6</v>
      </c>
      <c r="K368" s="7" t="str">
        <f ca="1"/>
        <v>MovieWbPresetDataComment6</v>
      </c>
      <c r="L368" s="7" t="str">
        <f ca="1"/>
        <v>MovieWbPresetDataComment6</v>
      </c>
      <c r="M368" s="7" t="str">
        <f ca="1"/>
        <v>MovieWbPresetDataComment6</v>
      </c>
      <c r="N368" s="7" t="str">
        <f ca="1"/>
        <v/>
      </c>
      <c r="O368" s="7" t="str">
        <f ca="1"/>
        <v/>
      </c>
      <c r="P368" s="7" t="str">
        <f ca="1"/>
        <v/>
      </c>
      <c r="Q368" s="7" t="str">
        <f ca="1"/>
        <v/>
      </c>
      <c r="T368" s="7" t="str">
        <f ca="1"/>
        <v>Z9</v>
      </c>
      <c r="U368" s="7" t="str">
        <f ca="1"/>
        <v>0xD021</v>
      </c>
      <c r="V368" s="7" t="str">
        <f ca="1"/>
        <v>WbPresetDataComment1</v>
      </c>
      <c r="X368" s="8" t="s">
        <v>755</v>
      </c>
      <c r="Y368" s="8" t="s">
        <v>755</v>
      </c>
      <c r="Z368" s="8" t="s">
        <v>777</v>
      </c>
      <c r="AA368" s="8" t="s">
        <v>777</v>
      </c>
      <c r="AB368" s="7" t="s">
        <v>1223</v>
      </c>
      <c r="AC368" s="7" t="s">
        <v>775</v>
      </c>
      <c r="AD368" s="7" t="s">
        <v>775</v>
      </c>
      <c r="AE368" s="7" t="s">
        <v>779</v>
      </c>
      <c r="AF368" s="7" t="s">
        <v>725</v>
      </c>
      <c r="AG368" s="7" t="s">
        <v>747</v>
      </c>
      <c r="AH368" s="7" t="s">
        <v>771</v>
      </c>
      <c r="AI368" s="7" t="s">
        <v>1535</v>
      </c>
      <c r="AJ368" s="7" t="s">
        <v>1851</v>
      </c>
      <c r="AK368" s="7" t="s">
        <v>857</v>
      </c>
    </row>
    <row r="369" spans="1:37" x14ac:dyDescent="0.25">
      <c r="A369" s="13" t="str">
        <f ca="1"/>
        <v>0xD223</v>
      </c>
      <c r="B369" s="14" t="str">
        <f ca="1"/>
        <v>MovieWbPresetDataValue1</v>
      </c>
      <c r="D369" s="8" t="str">
        <f ca="1"/>
        <v>MovieWbPresetDataValue1</v>
      </c>
      <c r="E369" s="8" t="str">
        <f ca="1"/>
        <v>MovieWbPresetDataValue1</v>
      </c>
      <c r="F369" s="8" t="str">
        <f ca="1"/>
        <v>MovieWbPresetDataValue1</v>
      </c>
      <c r="G369" s="8" t="str">
        <f ca="1"/>
        <v>MovieWbPresetDataValue1</v>
      </c>
      <c r="H369" s="7" t="str">
        <f ca="1"/>
        <v>MovieWbPresetDataValue1</v>
      </c>
      <c r="I369" s="7" t="str">
        <f ca="1"/>
        <v>MovieWbPresetDataValue1</v>
      </c>
      <c r="J369" s="7" t="str">
        <f ca="1"/>
        <v>MovieWbPresetDataValue1</v>
      </c>
      <c r="K369" s="7" t="str">
        <f ca="1"/>
        <v>MovieWbPresetDataValue1</v>
      </c>
      <c r="L369" s="7" t="str">
        <f ca="1"/>
        <v>MovieWbPresetDataValue1</v>
      </c>
      <c r="M369" s="7" t="str">
        <f ca="1"/>
        <v>MovieWbPresetDataValue1</v>
      </c>
      <c r="N369" s="7" t="str">
        <f ca="1"/>
        <v/>
      </c>
      <c r="O369" s="7" t="str">
        <f ca="1"/>
        <v/>
      </c>
      <c r="P369" s="7" t="str">
        <f ca="1"/>
        <v/>
      </c>
      <c r="Q369" s="7" t="str">
        <f ca="1"/>
        <v/>
      </c>
      <c r="T369" s="7" t="str">
        <f ca="1"/>
        <v>Z9</v>
      </c>
      <c r="U369" s="7" t="str">
        <f ca="1"/>
        <v>0xD022</v>
      </c>
      <c r="V369" s="7" t="str">
        <f ca="1"/>
        <v>WbPresetDataComment2</v>
      </c>
      <c r="X369" s="8" t="s">
        <v>756</v>
      </c>
      <c r="Y369" s="8" t="s">
        <v>756</v>
      </c>
      <c r="Z369" s="8" t="s">
        <v>778</v>
      </c>
      <c r="AA369" s="8" t="s">
        <v>778</v>
      </c>
      <c r="AB369" s="7" t="s">
        <v>796</v>
      </c>
      <c r="AC369" s="7" t="s">
        <v>776</v>
      </c>
      <c r="AD369" s="7" t="s">
        <v>776</v>
      </c>
      <c r="AE369" s="7" t="s">
        <v>780</v>
      </c>
      <c r="AF369" s="7" t="s">
        <v>726</v>
      </c>
      <c r="AG369" s="7" t="s">
        <v>1716</v>
      </c>
      <c r="AH369" s="7" t="s">
        <v>1691</v>
      </c>
      <c r="AI369" s="7" t="s">
        <v>836</v>
      </c>
      <c r="AJ369" s="7" t="s">
        <v>1852</v>
      </c>
      <c r="AK369" s="7" t="s">
        <v>1723</v>
      </c>
    </row>
    <row r="370" spans="1:37" x14ac:dyDescent="0.25">
      <c r="A370" s="13" t="str">
        <f ca="1"/>
        <v>0xD224</v>
      </c>
      <c r="B370" s="14" t="str">
        <f ca="1"/>
        <v>MovieWbPresetDataValue2</v>
      </c>
      <c r="D370" s="8" t="str">
        <f ca="1"/>
        <v>MovieWbPresetDataValue2</v>
      </c>
      <c r="E370" s="8" t="str">
        <f ca="1"/>
        <v>MovieWbPresetDataValue2</v>
      </c>
      <c r="F370" s="8" t="str">
        <f ca="1"/>
        <v>MovieWbPresetDataValue2</v>
      </c>
      <c r="G370" s="8" t="str">
        <f ca="1"/>
        <v>MovieWbPresetDataValue2</v>
      </c>
      <c r="H370" s="7" t="str">
        <f ca="1"/>
        <v>MovieWbPresetDataValue2</v>
      </c>
      <c r="I370" s="7" t="str">
        <f ca="1"/>
        <v>MovieWbPresetDataValue2</v>
      </c>
      <c r="J370" s="7" t="str">
        <f ca="1"/>
        <v>MovieWbPresetDataValue2</v>
      </c>
      <c r="K370" s="7" t="str">
        <f ca="1"/>
        <v>MovieWbPresetDataValue2</v>
      </c>
      <c r="L370" s="7" t="str">
        <f ca="1"/>
        <v>MovieWbPresetDataValue2</v>
      </c>
      <c r="M370" s="7" t="str">
        <f ca="1"/>
        <v>MovieWbPresetDataValue2</v>
      </c>
      <c r="N370" s="7" t="str">
        <f ca="1"/>
        <v/>
      </c>
      <c r="O370" s="7" t="str">
        <f ca="1"/>
        <v/>
      </c>
      <c r="P370" s="7" t="str">
        <f ca="1"/>
        <v/>
      </c>
      <c r="Q370" s="7" t="str">
        <f ca="1"/>
        <v/>
      </c>
      <c r="T370" s="7" t="str">
        <f ca="1"/>
        <v>Z9</v>
      </c>
      <c r="U370" s="7" t="str">
        <f ca="1"/>
        <v>0xD023</v>
      </c>
      <c r="V370" s="7" t="str">
        <f ca="1"/>
        <v>WbPresetDataComment3</v>
      </c>
      <c r="X370" s="8" t="s">
        <v>757</v>
      </c>
      <c r="Y370" s="8" t="s">
        <v>757</v>
      </c>
      <c r="Z370" s="8" t="s">
        <v>779</v>
      </c>
      <c r="AA370" s="8" t="s">
        <v>779</v>
      </c>
      <c r="AB370" s="7" t="s">
        <v>797</v>
      </c>
      <c r="AC370" s="7" t="s">
        <v>777</v>
      </c>
      <c r="AD370" s="7" t="s">
        <v>777</v>
      </c>
      <c r="AE370" s="7" t="s">
        <v>781</v>
      </c>
      <c r="AF370" s="7" t="s">
        <v>727</v>
      </c>
      <c r="AG370" s="7" t="s">
        <v>1717</v>
      </c>
      <c r="AH370" s="7" t="s">
        <v>1692</v>
      </c>
      <c r="AI370" s="7" t="s">
        <v>837</v>
      </c>
      <c r="AJ370" s="7" t="s">
        <v>1853</v>
      </c>
      <c r="AK370" s="7" t="s">
        <v>1724</v>
      </c>
    </row>
    <row r="371" spans="1:37" x14ac:dyDescent="0.25">
      <c r="A371" s="13" t="str">
        <f ca="1"/>
        <v>0xD225</v>
      </c>
      <c r="B371" s="14" t="str">
        <f ca="1"/>
        <v>MovieWbPresetDataValue3</v>
      </c>
      <c r="D371" s="8" t="str">
        <f ca="1"/>
        <v>MovieWbPresetDataValue3</v>
      </c>
      <c r="E371" s="8" t="str">
        <f ca="1"/>
        <v>MovieWbPresetDataValue3</v>
      </c>
      <c r="F371" s="8" t="str">
        <f ca="1"/>
        <v>MovieWbPresetDataValue3</v>
      </c>
      <c r="G371" s="8" t="str">
        <f ca="1"/>
        <v>MovieWbPresetDataValue3</v>
      </c>
      <c r="H371" s="7" t="str">
        <f ca="1"/>
        <v>MovieWbPresetDataValue3</v>
      </c>
      <c r="I371" s="7" t="str">
        <f ca="1"/>
        <v>MovieWbPresetDataValue3</v>
      </c>
      <c r="J371" s="7" t="str">
        <f ca="1"/>
        <v>MovieWbPresetDataValue3</v>
      </c>
      <c r="K371" s="7" t="str">
        <f ca="1"/>
        <v>MovieWbPresetDataValue3</v>
      </c>
      <c r="L371" s="7" t="str">
        <f ca="1"/>
        <v>MovieWbPresetDataValue3</v>
      </c>
      <c r="M371" s="7" t="str">
        <f ca="1"/>
        <v>MovieWbPresetDataValue3</v>
      </c>
      <c r="N371" s="7" t="str">
        <f ca="1"/>
        <v/>
      </c>
      <c r="O371" s="7" t="str">
        <f ca="1"/>
        <v/>
      </c>
      <c r="P371" s="7" t="str">
        <f ca="1"/>
        <v/>
      </c>
      <c r="Q371" s="7" t="str">
        <f ca="1"/>
        <v/>
      </c>
      <c r="T371" s="7" t="str">
        <f ca="1"/>
        <v>Z9</v>
      </c>
      <c r="U371" s="7" t="str">
        <f ca="1"/>
        <v>0xD024</v>
      </c>
      <c r="V371" s="7" t="str">
        <f ca="1"/>
        <v>WbPresetDataComment4</v>
      </c>
      <c r="X371" s="8" t="s">
        <v>758</v>
      </c>
      <c r="Y371" s="8" t="s">
        <v>758</v>
      </c>
      <c r="Z371" s="8" t="s">
        <v>780</v>
      </c>
      <c r="AA371" s="8" t="s">
        <v>780</v>
      </c>
      <c r="AB371" s="7" t="s">
        <v>1224</v>
      </c>
      <c r="AC371" s="7" t="s">
        <v>778</v>
      </c>
      <c r="AD371" s="7" t="s">
        <v>778</v>
      </c>
      <c r="AE371" s="7" t="s">
        <v>782</v>
      </c>
      <c r="AF371" s="7" t="s">
        <v>728</v>
      </c>
      <c r="AG371" s="7" t="s">
        <v>750</v>
      </c>
      <c r="AH371" s="7" t="s">
        <v>772</v>
      </c>
      <c r="AI371" s="7" t="s">
        <v>838</v>
      </c>
      <c r="AJ371" s="7" t="s">
        <v>768</v>
      </c>
      <c r="AK371" s="7" t="s">
        <v>952</v>
      </c>
    </row>
    <row r="372" spans="1:37" x14ac:dyDescent="0.25">
      <c r="A372" s="13" t="str">
        <f ca="1"/>
        <v>0xD226</v>
      </c>
      <c r="B372" s="14" t="str">
        <f ca="1"/>
        <v>MovieWbPresetDataValue4</v>
      </c>
      <c r="D372" s="8" t="str">
        <f ca="1"/>
        <v>MovieWbPresetDataValue4</v>
      </c>
      <c r="E372" s="8" t="str">
        <f ca="1"/>
        <v>MovieWbPresetDataValue4</v>
      </c>
      <c r="F372" s="8" t="str">
        <f ca="1"/>
        <v>MovieWbPresetDataValue4</v>
      </c>
      <c r="G372" s="8" t="str">
        <f ca="1"/>
        <v>MovieWbPresetDataValue4</v>
      </c>
      <c r="H372" s="7" t="str">
        <f ca="1"/>
        <v>MovieWbPresetDataValue4</v>
      </c>
      <c r="I372" s="7" t="str">
        <f ca="1"/>
        <v>MovieWbPresetDataValue4</v>
      </c>
      <c r="J372" s="7" t="str">
        <f ca="1"/>
        <v>MovieWbPresetDataValue4</v>
      </c>
      <c r="K372" s="7" t="str">
        <f ca="1"/>
        <v>MovieWbPresetDataValue4</v>
      </c>
      <c r="L372" s="7" t="str">
        <f ca="1"/>
        <v>MovieWbPresetDataValue4</v>
      </c>
      <c r="M372" s="7" t="str">
        <f ca="1"/>
        <v>MovieWbPresetDataValue4</v>
      </c>
      <c r="N372" s="7" t="str">
        <f ca="1"/>
        <v/>
      </c>
      <c r="O372" s="7" t="str">
        <f ca="1"/>
        <v/>
      </c>
      <c r="P372" s="7" t="str">
        <f ca="1"/>
        <v/>
      </c>
      <c r="Q372" s="7" t="str">
        <f ca="1"/>
        <v/>
      </c>
      <c r="T372" s="7" t="str">
        <f ca="1"/>
        <v>Z9</v>
      </c>
      <c r="U372" s="7" t="str">
        <f ca="1"/>
        <v>0xD026</v>
      </c>
      <c r="V372" s="7" t="str">
        <f ca="1"/>
        <v>WbPresetDataValue1</v>
      </c>
      <c r="X372" s="8" t="s">
        <v>759</v>
      </c>
      <c r="Y372" s="8" t="s">
        <v>759</v>
      </c>
      <c r="Z372" s="8" t="s">
        <v>781</v>
      </c>
      <c r="AA372" s="8" t="s">
        <v>781</v>
      </c>
      <c r="AB372" s="7" t="s">
        <v>1225</v>
      </c>
      <c r="AC372" s="7" t="s">
        <v>779</v>
      </c>
      <c r="AD372" s="7" t="s">
        <v>779</v>
      </c>
      <c r="AE372" s="7" t="s">
        <v>783</v>
      </c>
      <c r="AF372" s="7" t="s">
        <v>729</v>
      </c>
      <c r="AG372" s="7" t="s">
        <v>1684</v>
      </c>
      <c r="AH372" s="7" t="s">
        <v>773</v>
      </c>
      <c r="AI372" s="7" t="s">
        <v>839</v>
      </c>
      <c r="AJ372" s="7" t="s">
        <v>1720</v>
      </c>
      <c r="AK372" s="7" t="s">
        <v>953</v>
      </c>
    </row>
    <row r="373" spans="1:37" x14ac:dyDescent="0.25">
      <c r="A373" s="13" t="str">
        <f ca="1"/>
        <v>0xD227</v>
      </c>
      <c r="B373" s="14" t="str">
        <f ca="1"/>
        <v>MovieWbPresetDataValue5</v>
      </c>
      <c r="D373" s="8" t="str">
        <f ca="1"/>
        <v>MovieWbPresetDataValue5</v>
      </c>
      <c r="E373" s="8" t="str">
        <f ca="1"/>
        <v>MovieWbPresetDataValue5</v>
      </c>
      <c r="F373" s="8" t="str">
        <f ca="1"/>
        <v>MovieWbPresetDataValue5</v>
      </c>
      <c r="G373" s="8" t="str">
        <f ca="1"/>
        <v>MovieWbPresetDataValue5</v>
      </c>
      <c r="H373" s="7" t="str">
        <f ca="1"/>
        <v>MovieWbPresetDataValue5</v>
      </c>
      <c r="I373" s="7" t="str">
        <f ca="1"/>
        <v>MovieWbPresetDataValue5</v>
      </c>
      <c r="J373" s="7" t="str">
        <f ca="1"/>
        <v>MovieWbPresetDataValue5</v>
      </c>
      <c r="K373" s="7" t="str">
        <f ca="1"/>
        <v>MovieWbPresetDataValue5</v>
      </c>
      <c r="L373" s="7" t="str">
        <f ca="1"/>
        <v>MovieWbPresetDataValue5</v>
      </c>
      <c r="M373" s="7" t="str">
        <f ca="1"/>
        <v>MovieWbPresetDataValue5</v>
      </c>
      <c r="N373" s="7" t="str">
        <f ca="1"/>
        <v/>
      </c>
      <c r="O373" s="7" t="str">
        <f ca="1"/>
        <v/>
      </c>
      <c r="P373" s="7" t="str">
        <f ca="1"/>
        <v/>
      </c>
      <c r="Q373" s="7" t="str">
        <f ca="1"/>
        <v/>
      </c>
      <c r="T373" s="7" t="str">
        <f ca="1"/>
        <v>Z9</v>
      </c>
      <c r="U373" s="7" t="str">
        <f ca="1"/>
        <v>0xD027</v>
      </c>
      <c r="V373" s="7" t="str">
        <f ca="1"/>
        <v>WbPresetDataValue2</v>
      </c>
      <c r="X373" s="8" t="s">
        <v>760</v>
      </c>
      <c r="Y373" s="8" t="s">
        <v>760</v>
      </c>
      <c r="Z373" s="8" t="s">
        <v>782</v>
      </c>
      <c r="AA373" s="8" t="s">
        <v>782</v>
      </c>
      <c r="AB373" s="7" t="s">
        <v>800</v>
      </c>
      <c r="AC373" s="7" t="s">
        <v>780</v>
      </c>
      <c r="AD373" s="7" t="s">
        <v>780</v>
      </c>
      <c r="AE373" s="7" t="s">
        <v>1220</v>
      </c>
      <c r="AF373" s="7" t="s">
        <v>730</v>
      </c>
      <c r="AG373" s="7" t="s">
        <v>1718</v>
      </c>
      <c r="AH373" s="7" t="s">
        <v>1693</v>
      </c>
      <c r="AI373" s="7" t="s">
        <v>840</v>
      </c>
      <c r="AJ373" s="7" t="s">
        <v>1721</v>
      </c>
      <c r="AK373" s="7" t="s">
        <v>954</v>
      </c>
    </row>
    <row r="374" spans="1:37" x14ac:dyDescent="0.25">
      <c r="A374" s="13" t="str">
        <f ca="1"/>
        <v>0xD228</v>
      </c>
      <c r="B374" s="14" t="str">
        <f ca="1"/>
        <v>MovieWbPresetDataValue6</v>
      </c>
      <c r="D374" s="8" t="str">
        <f ca="1"/>
        <v>MovieWbPresetDataValue6</v>
      </c>
      <c r="E374" s="8" t="str">
        <f ca="1"/>
        <v>MovieWbPresetDataValue6</v>
      </c>
      <c r="F374" s="8" t="str">
        <f ca="1"/>
        <v>MovieWbPresetDataValue6</v>
      </c>
      <c r="G374" s="8" t="str">
        <f ca="1"/>
        <v>MovieWbPresetDataValue6</v>
      </c>
      <c r="H374" s="7" t="str">
        <f ca="1"/>
        <v>MovieWbPresetDataValue6</v>
      </c>
      <c r="I374" s="7" t="str">
        <f ca="1"/>
        <v>MovieWbPresetDataValue6</v>
      </c>
      <c r="J374" s="7" t="str">
        <f ca="1"/>
        <v>MovieWbPresetDataValue6</v>
      </c>
      <c r="K374" s="7" t="str">
        <f ca="1"/>
        <v>MovieWbPresetDataValue6</v>
      </c>
      <c r="L374" s="7" t="str">
        <f ca="1"/>
        <v>MovieWbPresetDataValue6</v>
      </c>
      <c r="M374" s="7" t="str">
        <f ca="1"/>
        <v>MovieWbPresetDataValue6</v>
      </c>
      <c r="N374" s="7" t="str">
        <f ca="1"/>
        <v/>
      </c>
      <c r="O374" s="7" t="str">
        <f ca="1"/>
        <v/>
      </c>
      <c r="P374" s="7" t="str">
        <f ca="1"/>
        <v/>
      </c>
      <c r="Q374" s="7" t="str">
        <f ca="1"/>
        <v/>
      </c>
      <c r="T374" s="7" t="str">
        <f ca="1"/>
        <v>Z9</v>
      </c>
      <c r="U374" s="7" t="str">
        <f ca="1"/>
        <v>0xD028</v>
      </c>
      <c r="V374" s="7" t="str">
        <f ca="1"/>
        <v>WbPresetDataValue3</v>
      </c>
      <c r="X374" s="8" t="s">
        <v>761</v>
      </c>
      <c r="Y374" s="8" t="s">
        <v>761</v>
      </c>
      <c r="Z374" s="8" t="s">
        <v>783</v>
      </c>
      <c r="AA374" s="8" t="s">
        <v>783</v>
      </c>
      <c r="AB374" s="7" t="s">
        <v>801</v>
      </c>
      <c r="AC374" s="7" t="s">
        <v>781</v>
      </c>
      <c r="AD374" s="7" t="s">
        <v>781</v>
      </c>
      <c r="AE374" s="7" t="s">
        <v>1529</v>
      </c>
      <c r="AF374" s="7" t="s">
        <v>731</v>
      </c>
      <c r="AG374" s="7" t="s">
        <v>1719</v>
      </c>
      <c r="AH374" s="7" t="s">
        <v>1694</v>
      </c>
      <c r="AI374" s="7" t="s">
        <v>841</v>
      </c>
      <c r="AJ374" s="7" t="s">
        <v>1722</v>
      </c>
      <c r="AK374" s="7" t="s">
        <v>955</v>
      </c>
    </row>
    <row r="375" spans="1:37" x14ac:dyDescent="0.25">
      <c r="A375" s="13" t="str">
        <f ca="1"/>
        <v>0xD229</v>
      </c>
      <c r="B375" s="14" t="str">
        <f ca="1"/>
        <v>MovieWbTunePreset1</v>
      </c>
      <c r="D375" s="8" t="str">
        <f ca="1"/>
        <v>MovieWbTunePreset1</v>
      </c>
      <c r="E375" s="8" t="str">
        <f ca="1"/>
        <v>MovieWbTunePreset1</v>
      </c>
      <c r="F375" s="8" t="str">
        <f ca="1"/>
        <v>MovieWbTunePreset1</v>
      </c>
      <c r="G375" s="8" t="str">
        <f ca="1"/>
        <v>MovieWbTunePreset1</v>
      </c>
      <c r="H375" s="7" t="str">
        <f ca="1"/>
        <v>MovieWbTunePreset1</v>
      </c>
      <c r="I375" s="7" t="str">
        <f ca="1"/>
        <v>MovieWbTunePreset1</v>
      </c>
      <c r="J375" s="7" t="str">
        <f ca="1"/>
        <v>MovieWbTunePreset1</v>
      </c>
      <c r="K375" s="7" t="str">
        <f ca="1"/>
        <v>MovieWbTunePreset1</v>
      </c>
      <c r="L375" s="7" t="str">
        <f ca="1"/>
        <v>MovieWbTunePreset1</v>
      </c>
      <c r="M375" s="7" t="str">
        <f ca="1"/>
        <v>MovieWbTunePreset1</v>
      </c>
      <c r="N375" s="7" t="str">
        <f ca="1"/>
        <v/>
      </c>
      <c r="O375" s="7" t="str">
        <f ca="1"/>
        <v/>
      </c>
      <c r="P375" s="7" t="str">
        <f ca="1"/>
        <v/>
      </c>
      <c r="Q375" s="7" t="str">
        <f ca="1"/>
        <v/>
      </c>
      <c r="T375" s="7" t="str">
        <f ca="1"/>
        <v>Z9</v>
      </c>
      <c r="U375" s="7" t="str">
        <f ca="1"/>
        <v>0xD029</v>
      </c>
      <c r="V375" s="7" t="str">
        <f ca="1"/>
        <v>WbPresetDataValue4</v>
      </c>
      <c r="X375" s="8" t="s">
        <v>762</v>
      </c>
      <c r="Y375" s="8" t="s">
        <v>762</v>
      </c>
      <c r="Z375" s="8" t="s">
        <v>1220</v>
      </c>
      <c r="AA375" s="8" t="s">
        <v>1220</v>
      </c>
      <c r="AB375" s="7" t="s">
        <v>802</v>
      </c>
      <c r="AC375" s="7" t="s">
        <v>782</v>
      </c>
      <c r="AD375" s="7" t="s">
        <v>782</v>
      </c>
      <c r="AE375" s="7" t="s">
        <v>784</v>
      </c>
      <c r="AF375" s="7" t="s">
        <v>734</v>
      </c>
      <c r="AG375" s="7" t="s">
        <v>762</v>
      </c>
      <c r="AH375" s="7" t="s">
        <v>774</v>
      </c>
      <c r="AI375" s="7" t="s">
        <v>856</v>
      </c>
      <c r="AJ375" s="7" t="s">
        <v>770</v>
      </c>
    </row>
    <row r="376" spans="1:37" x14ac:dyDescent="0.25">
      <c r="A376" s="13" t="str">
        <f ca="1"/>
        <v>0xD22A</v>
      </c>
      <c r="B376" s="14" t="str">
        <f ca="1"/>
        <v>MovieWbTunePreset2</v>
      </c>
      <c r="D376" s="8" t="str">
        <f ca="1"/>
        <v>MovieWbTunePreset2</v>
      </c>
      <c r="E376" s="8" t="str">
        <f ca="1"/>
        <v>MovieWbTunePreset2</v>
      </c>
      <c r="F376" s="8" t="str">
        <f ca="1"/>
        <v>MovieWbTunePreset2</v>
      </c>
      <c r="G376" s="8" t="str">
        <f ca="1"/>
        <v>MovieWbTunePreset2</v>
      </c>
      <c r="H376" s="7" t="str">
        <f ca="1"/>
        <v>MovieWbTunePreset2</v>
      </c>
      <c r="I376" s="7" t="str">
        <f ca="1"/>
        <v>MovieWbTunePreset2</v>
      </c>
      <c r="J376" s="7" t="str">
        <f ca="1"/>
        <v>MovieWbTunePreset2</v>
      </c>
      <c r="K376" s="7" t="str">
        <f ca="1"/>
        <v>MovieWbTunePreset2</v>
      </c>
      <c r="L376" s="7" t="str">
        <f ca="1"/>
        <v>MovieWbTunePreset2</v>
      </c>
      <c r="M376" s="7" t="str">
        <f ca="1"/>
        <v>MovieWbTunePreset2</v>
      </c>
      <c r="N376" s="7" t="str">
        <f ca="1"/>
        <v/>
      </c>
      <c r="O376" s="7" t="str">
        <f ca="1"/>
        <v/>
      </c>
      <c r="P376" s="7" t="str">
        <f ca="1"/>
        <v/>
      </c>
      <c r="Q376" s="7" t="str">
        <f ca="1"/>
        <v/>
      </c>
      <c r="T376" s="7" t="str">
        <f ca="1"/>
        <v>Z9</v>
      </c>
      <c r="U376" s="7" t="str">
        <f ca="1"/>
        <v>0xD030</v>
      </c>
      <c r="V376" s="7" t="str">
        <f ca="1"/>
        <v>CaptureAreaCrop</v>
      </c>
      <c r="X376" s="8" t="s">
        <v>763</v>
      </c>
      <c r="Y376" s="8" t="s">
        <v>763</v>
      </c>
      <c r="Z376" s="8" t="s">
        <v>1221</v>
      </c>
      <c r="AA376" s="8" t="s">
        <v>1221</v>
      </c>
      <c r="AB376" s="7" t="s">
        <v>803</v>
      </c>
      <c r="AC376" s="7" t="s">
        <v>783</v>
      </c>
      <c r="AD376" s="7" t="s">
        <v>783</v>
      </c>
      <c r="AE376" s="7" t="s">
        <v>785</v>
      </c>
      <c r="AF376" s="7" t="s">
        <v>735</v>
      </c>
      <c r="AG376" s="7" t="s">
        <v>763</v>
      </c>
      <c r="AH376" s="7" t="s">
        <v>775</v>
      </c>
      <c r="AI376" s="7" t="s">
        <v>857</v>
      </c>
      <c r="AJ376" s="7" t="s">
        <v>771</v>
      </c>
    </row>
    <row r="377" spans="1:37" x14ac:dyDescent="0.25">
      <c r="A377" s="13" t="str">
        <f ca="1"/>
        <v>0xD22B</v>
      </c>
      <c r="B377" s="14" t="str">
        <f ca="1"/>
        <v>MovieWbTunePreset3</v>
      </c>
      <c r="D377" s="8" t="str">
        <f ca="1"/>
        <v>MovieWbTunePreset3</v>
      </c>
      <c r="E377" s="8" t="str">
        <f ca="1"/>
        <v>MovieWbTunePreset3</v>
      </c>
      <c r="F377" s="8" t="str">
        <f ca="1"/>
        <v>MovieWbTunePreset3</v>
      </c>
      <c r="G377" s="8" t="str">
        <f ca="1"/>
        <v>MovieWbTunePreset3</v>
      </c>
      <c r="H377" s="7" t="str">
        <f ca="1"/>
        <v>MovieWbTunePreset3</v>
      </c>
      <c r="I377" s="7" t="str">
        <f ca="1"/>
        <v>MovieWbTunePreset3</v>
      </c>
      <c r="J377" s="7" t="str">
        <f ca="1"/>
        <v>MovieWbTunePreset3</v>
      </c>
      <c r="K377" s="7" t="str">
        <f ca="1"/>
        <v>MovieWbTunePreset3</v>
      </c>
      <c r="L377" s="7" t="str">
        <f ca="1"/>
        <v>MovieWbTunePreset3</v>
      </c>
      <c r="M377" s="7" t="str">
        <f ca="1"/>
        <v>MovieWbTunePreset3</v>
      </c>
      <c r="N377" s="7" t="str">
        <f ca="1"/>
        <v/>
      </c>
      <c r="O377" s="7" t="str">
        <f ca="1"/>
        <v/>
      </c>
      <c r="P377" s="7" t="str">
        <f ca="1"/>
        <v/>
      </c>
      <c r="Q377" s="7" t="str">
        <f ca="1"/>
        <v/>
      </c>
      <c r="T377" s="7" t="str">
        <f ca="1"/>
        <v>Z9</v>
      </c>
      <c r="U377" s="7" t="str">
        <f ca="1"/>
        <v>0xD032</v>
      </c>
      <c r="V377" s="7" t="str">
        <f ca="1"/>
        <v>ColorSpace</v>
      </c>
      <c r="X377" s="8" t="s">
        <v>764</v>
      </c>
      <c r="Y377" s="8" t="s">
        <v>764</v>
      </c>
      <c r="Z377" s="8" t="s">
        <v>784</v>
      </c>
      <c r="AA377" s="8" t="s">
        <v>784</v>
      </c>
      <c r="AB377" s="7" t="s">
        <v>804</v>
      </c>
      <c r="AC377" s="7" t="s">
        <v>1220</v>
      </c>
      <c r="AD377" s="7" t="s">
        <v>1220</v>
      </c>
      <c r="AE377" s="7" t="s">
        <v>786</v>
      </c>
      <c r="AF377" s="7" t="s">
        <v>736</v>
      </c>
      <c r="AG377" s="7" t="s">
        <v>764</v>
      </c>
      <c r="AH377" s="7" t="s">
        <v>776</v>
      </c>
      <c r="AI377" s="7" t="s">
        <v>1723</v>
      </c>
      <c r="AJ377" s="7" t="s">
        <v>786</v>
      </c>
    </row>
    <row r="378" spans="1:37" x14ac:dyDescent="0.25">
      <c r="A378" s="13" t="str">
        <f ca="1"/>
        <v>0xD22C</v>
      </c>
      <c r="B378" s="14" t="str">
        <f ca="1"/>
        <v>MovieWbTunePreset4</v>
      </c>
      <c r="D378" s="8" t="str">
        <f ca="1"/>
        <v>MovieWbTunePreset4</v>
      </c>
      <c r="E378" s="8" t="str">
        <f ca="1"/>
        <v>MovieWbTunePreset4</v>
      </c>
      <c r="F378" s="8" t="str">
        <f ca="1"/>
        <v>MovieWbTunePreset4</v>
      </c>
      <c r="G378" s="8" t="str">
        <f ca="1"/>
        <v>MovieWbTunePreset4</v>
      </c>
      <c r="H378" s="7" t="str">
        <f ca="1"/>
        <v>MovieWbTunePreset4</v>
      </c>
      <c r="I378" s="7" t="str">
        <f ca="1"/>
        <v>MovieWbTunePreset4</v>
      </c>
      <c r="J378" s="7" t="str">
        <f ca="1"/>
        <v>MovieWbTunePreset4</v>
      </c>
      <c r="K378" s="7" t="str">
        <f ca="1"/>
        <v>MovieWbTunePreset4</v>
      </c>
      <c r="L378" s="7" t="str">
        <f ca="1"/>
        <v>MovieWbTunePreset4</v>
      </c>
      <c r="M378" s="7" t="str">
        <f ca="1"/>
        <v>MovieWbTunePreset4</v>
      </c>
      <c r="N378" s="7" t="str">
        <f ca="1"/>
        <v/>
      </c>
      <c r="O378" s="7" t="str">
        <f ca="1"/>
        <v/>
      </c>
      <c r="P378" s="7" t="str">
        <f ca="1"/>
        <v/>
      </c>
      <c r="Q378" s="7" t="str">
        <f ca="1"/>
        <v/>
      </c>
      <c r="T378" s="7" t="str">
        <f ca="1"/>
        <v>Z9</v>
      </c>
      <c r="U378" s="7" t="str">
        <f ca="1"/>
        <v>0xD034</v>
      </c>
      <c r="V378" s="7" t="str">
        <f ca="1"/>
        <v>DecreaseFlicker</v>
      </c>
      <c r="X378" s="8" t="s">
        <v>765</v>
      </c>
      <c r="Y378" s="8" t="s">
        <v>765</v>
      </c>
      <c r="Z378" s="8" t="s">
        <v>785</v>
      </c>
      <c r="AA378" s="8" t="s">
        <v>785</v>
      </c>
      <c r="AB378" s="7" t="s">
        <v>805</v>
      </c>
      <c r="AC378" s="7" t="s">
        <v>1529</v>
      </c>
      <c r="AD378" s="7" t="s">
        <v>1529</v>
      </c>
      <c r="AE378" s="7" t="s">
        <v>787</v>
      </c>
      <c r="AF378" s="7" t="s">
        <v>737</v>
      </c>
      <c r="AG378" s="7" t="s">
        <v>765</v>
      </c>
      <c r="AH378" s="7" t="s">
        <v>777</v>
      </c>
      <c r="AI378" s="7" t="s">
        <v>1724</v>
      </c>
      <c r="AJ378" s="7" t="s">
        <v>787</v>
      </c>
    </row>
    <row r="379" spans="1:37" x14ac:dyDescent="0.25">
      <c r="A379" s="13" t="str">
        <f ca="1"/>
        <v>0xD22D</v>
      </c>
      <c r="B379" s="14" t="str">
        <f ca="1"/>
        <v>MovieWbTunePreset5</v>
      </c>
      <c r="D379" s="8" t="str">
        <f ca="1"/>
        <v>MovieWbTunePreset5</v>
      </c>
      <c r="E379" s="8" t="str">
        <f ca="1"/>
        <v>MovieWbTunePreset5</v>
      </c>
      <c r="F379" s="8" t="str">
        <f ca="1"/>
        <v>MovieWbTunePreset5</v>
      </c>
      <c r="G379" s="8" t="str">
        <f ca="1"/>
        <v>MovieWbTunePreset5</v>
      </c>
      <c r="H379" s="7" t="str">
        <f ca="1"/>
        <v>MovieWbTunePreset5</v>
      </c>
      <c r="I379" s="7" t="str">
        <f ca="1"/>
        <v>MovieWbTunePreset5</v>
      </c>
      <c r="J379" s="7" t="str">
        <f ca="1"/>
        <v>MovieWbTunePreset5</v>
      </c>
      <c r="K379" s="7" t="str">
        <f ca="1"/>
        <v>MovieWbTunePreset5</v>
      </c>
      <c r="L379" s="7" t="str">
        <f ca="1"/>
        <v>MovieWbTunePreset5</v>
      </c>
      <c r="M379" s="7" t="str">
        <f ca="1"/>
        <v>MovieWbTunePreset5</v>
      </c>
      <c r="N379" s="7" t="str">
        <f ca="1"/>
        <v/>
      </c>
      <c r="O379" s="7" t="str">
        <f ca="1"/>
        <v/>
      </c>
      <c r="P379" s="7" t="str">
        <f ca="1"/>
        <v/>
      </c>
      <c r="Q379" s="7" t="str">
        <f ca="1"/>
        <v/>
      </c>
      <c r="T379" s="7" t="str">
        <f ca="1"/>
        <v>Z9</v>
      </c>
      <c r="U379" s="7" t="str">
        <f ca="1"/>
        <v>0xD038</v>
      </c>
      <c r="V379" s="7" t="str">
        <f ca="1"/>
        <v>WbPresetDataComment5</v>
      </c>
      <c r="X379" s="8" t="s">
        <v>766</v>
      </c>
      <c r="Y379" s="8" t="s">
        <v>766</v>
      </c>
      <c r="Z379" s="8" t="s">
        <v>786</v>
      </c>
      <c r="AA379" s="8" t="s">
        <v>786</v>
      </c>
      <c r="AB379" s="7" t="s">
        <v>1530</v>
      </c>
      <c r="AC379" s="7" t="s">
        <v>784</v>
      </c>
      <c r="AD379" s="7" t="s">
        <v>784</v>
      </c>
      <c r="AE379" s="7" t="s">
        <v>788</v>
      </c>
      <c r="AF379" s="7" t="s">
        <v>738</v>
      </c>
      <c r="AG379" s="7" t="s">
        <v>1218</v>
      </c>
      <c r="AH379" s="7" t="s">
        <v>778</v>
      </c>
      <c r="AI379" s="7" t="s">
        <v>948</v>
      </c>
      <c r="AJ379" s="7" t="s">
        <v>788</v>
      </c>
    </row>
    <row r="380" spans="1:37" x14ac:dyDescent="0.25">
      <c r="A380" s="13" t="str">
        <f ca="1"/>
        <v>0xD22E</v>
      </c>
      <c r="B380" s="14" t="str">
        <f ca="1"/>
        <v>MovieWbTunePreset6</v>
      </c>
      <c r="D380" s="8" t="str">
        <f ca="1"/>
        <v>MovieWbTunePreset6</v>
      </c>
      <c r="E380" s="8" t="str">
        <f ca="1"/>
        <v>MovieWbTunePreset6</v>
      </c>
      <c r="F380" s="8" t="str">
        <f ca="1"/>
        <v>MovieWbTunePreset6</v>
      </c>
      <c r="G380" s="8" t="str">
        <f ca="1"/>
        <v>MovieWbTunePreset6</v>
      </c>
      <c r="H380" s="7" t="str">
        <f ca="1"/>
        <v>MovieWbTunePreset6</v>
      </c>
      <c r="I380" s="7" t="str">
        <f ca="1"/>
        <v>MovieWbTunePreset6</v>
      </c>
      <c r="J380" s="7" t="str">
        <f ca="1"/>
        <v>MovieWbTunePreset6</v>
      </c>
      <c r="K380" s="7" t="str">
        <f ca="1"/>
        <v>MovieWbTunePreset6</v>
      </c>
      <c r="L380" s="7" t="str">
        <f ca="1"/>
        <v>MovieWbTunePreset6</v>
      </c>
      <c r="M380" s="7" t="str">
        <f ca="1"/>
        <v>MovieWbTunePreset6</v>
      </c>
      <c r="N380" s="7" t="str">
        <f ca="1"/>
        <v/>
      </c>
      <c r="O380" s="7" t="str">
        <f ca="1"/>
        <v/>
      </c>
      <c r="P380" s="7" t="str">
        <f ca="1"/>
        <v/>
      </c>
      <c r="Q380" s="7" t="str">
        <f ca="1"/>
        <v/>
      </c>
      <c r="T380" s="7" t="str">
        <f ca="1"/>
        <v>Z9</v>
      </c>
      <c r="U380" s="7" t="str">
        <f ca="1"/>
        <v>0xD039</v>
      </c>
      <c r="V380" s="7" t="str">
        <f ca="1"/>
        <v>WbPresetDataComment6</v>
      </c>
      <c r="X380" s="8" t="s">
        <v>767</v>
      </c>
      <c r="Y380" s="8" t="s">
        <v>767</v>
      </c>
      <c r="Z380" s="8" t="s">
        <v>787</v>
      </c>
      <c r="AA380" s="8" t="s">
        <v>787</v>
      </c>
      <c r="AB380" s="7" t="s">
        <v>1531</v>
      </c>
      <c r="AC380" s="7" t="s">
        <v>785</v>
      </c>
      <c r="AD380" s="7" t="s">
        <v>785</v>
      </c>
      <c r="AE380" s="7" t="s">
        <v>789</v>
      </c>
      <c r="AF380" s="7" t="s">
        <v>739</v>
      </c>
      <c r="AG380" s="7" t="s">
        <v>1219</v>
      </c>
      <c r="AH380" s="7" t="s">
        <v>779</v>
      </c>
      <c r="AI380" s="7" t="s">
        <v>949</v>
      </c>
      <c r="AJ380" s="7" t="s">
        <v>789</v>
      </c>
    </row>
    <row r="381" spans="1:37" x14ac:dyDescent="0.25">
      <c r="A381" s="13" t="str">
        <f ca="1"/>
        <v>0xD22F</v>
      </c>
      <c r="B381" s="14" t="str">
        <f ca="1"/>
        <v>MovieWbPresetProtect1</v>
      </c>
      <c r="D381" s="8" t="str">
        <f ca="1"/>
        <v>MovieWbPresetProtect1</v>
      </c>
      <c r="E381" s="8" t="str">
        <f ca="1"/>
        <v>MovieWbPresetProtect1</v>
      </c>
      <c r="F381" s="8" t="str">
        <f ca="1"/>
        <v>MovieWbPresetProtect1</v>
      </c>
      <c r="G381" s="8" t="str">
        <f ca="1"/>
        <v>MovieWbPresetProtect1</v>
      </c>
      <c r="H381" s="7" t="str">
        <f ca="1"/>
        <v>MovieWbPresetProtect1</v>
      </c>
      <c r="I381" s="7" t="str">
        <f ca="1"/>
        <v>MovieWbPresetProtect1</v>
      </c>
      <c r="J381" s="7" t="str">
        <f ca="1"/>
        <v>MovieWbPresetProtect1</v>
      </c>
      <c r="K381" s="7" t="str">
        <f ca="1"/>
        <v>MovieWbPresetProtect1</v>
      </c>
      <c r="L381" s="7" t="str">
        <f ca="1"/>
        <v>MovieWbPresetProtect1</v>
      </c>
      <c r="M381" s="7" t="str">
        <f ca="1"/>
        <v>MovieWbPresetProtect1</v>
      </c>
      <c r="N381" s="7" t="str">
        <f ca="1"/>
        <v/>
      </c>
      <c r="O381" s="7" t="str">
        <f ca="1"/>
        <v/>
      </c>
      <c r="P381" s="7" t="str">
        <f ca="1"/>
        <v/>
      </c>
      <c r="Q381" s="7" t="str">
        <f ca="1"/>
        <v/>
      </c>
      <c r="T381" s="7" t="str">
        <f ca="1"/>
        <v>Z9</v>
      </c>
      <c r="U381" s="7" t="str">
        <f ca="1"/>
        <v>0xD03A</v>
      </c>
      <c r="V381" s="7" t="str">
        <f ca="1"/>
        <v>WbTunePreset5</v>
      </c>
      <c r="X381" s="8" t="s">
        <v>768</v>
      </c>
      <c r="Y381" s="8" t="s">
        <v>768</v>
      </c>
      <c r="Z381" s="8" t="s">
        <v>788</v>
      </c>
      <c r="AA381" s="8" t="s">
        <v>788</v>
      </c>
      <c r="AB381" s="7" t="s">
        <v>1532</v>
      </c>
      <c r="AC381" s="7" t="s">
        <v>786</v>
      </c>
      <c r="AD381" s="7" t="s">
        <v>786</v>
      </c>
      <c r="AE381" s="7" t="s">
        <v>790</v>
      </c>
      <c r="AF381" s="7" t="s">
        <v>740</v>
      </c>
      <c r="AG381" s="7" t="s">
        <v>766</v>
      </c>
      <c r="AH381" s="7" t="s">
        <v>780</v>
      </c>
      <c r="AI381" s="7" t="s">
        <v>952</v>
      </c>
      <c r="AJ381" s="7" t="s">
        <v>790</v>
      </c>
    </row>
    <row r="382" spans="1:37" x14ac:dyDescent="0.25">
      <c r="A382" s="13" t="str">
        <f ca="1"/>
        <v>0xD230</v>
      </c>
      <c r="B382" s="14" t="str">
        <f ca="1"/>
        <v>MovieWbPresetProtect2</v>
      </c>
      <c r="D382" s="8" t="str">
        <f ca="1"/>
        <v>MovieWbPresetProtect2</v>
      </c>
      <c r="E382" s="8" t="str">
        <f ca="1"/>
        <v>MovieWbPresetProtect2</v>
      </c>
      <c r="F382" s="8" t="str">
        <f ca="1"/>
        <v>MovieWbPresetProtect2</v>
      </c>
      <c r="G382" s="8" t="str">
        <f ca="1"/>
        <v>MovieWbPresetProtect2</v>
      </c>
      <c r="H382" s="7" t="str">
        <f ca="1"/>
        <v>MovieWbPresetProtect2</v>
      </c>
      <c r="I382" s="7" t="str">
        <f ca="1"/>
        <v>MovieWbPresetProtect2</v>
      </c>
      <c r="J382" s="7" t="str">
        <f ca="1"/>
        <v>MovieWbPresetProtect2</v>
      </c>
      <c r="K382" s="7" t="str">
        <f ca="1"/>
        <v>MovieWbPresetProtect2</v>
      </c>
      <c r="L382" s="7" t="str">
        <f ca="1"/>
        <v>MovieWbPresetProtect2</v>
      </c>
      <c r="M382" s="7" t="str">
        <f ca="1"/>
        <v>MovieWbPresetProtect2</v>
      </c>
      <c r="N382" s="7" t="str">
        <f ca="1"/>
        <v/>
      </c>
      <c r="O382" s="7" t="str">
        <f ca="1"/>
        <v/>
      </c>
      <c r="P382" s="7" t="str">
        <f ca="1"/>
        <v/>
      </c>
      <c r="Q382" s="7" t="str">
        <f ca="1"/>
        <v/>
      </c>
      <c r="T382" s="7" t="str">
        <f ca="1"/>
        <v>Z9</v>
      </c>
      <c r="U382" s="7" t="str">
        <f ca="1"/>
        <v>0xD03B</v>
      </c>
      <c r="V382" s="7" t="str">
        <f ca="1"/>
        <v>WbTunePreset6</v>
      </c>
      <c r="X382" s="8" t="s">
        <v>769</v>
      </c>
      <c r="Y382" s="8" t="s">
        <v>769</v>
      </c>
      <c r="Z382" s="8" t="s">
        <v>789</v>
      </c>
      <c r="AA382" s="8" t="s">
        <v>789</v>
      </c>
      <c r="AB382" s="7" t="s">
        <v>1533</v>
      </c>
      <c r="AC382" s="7" t="s">
        <v>787</v>
      </c>
      <c r="AD382" s="7" t="s">
        <v>787</v>
      </c>
      <c r="AE382" s="7" t="s">
        <v>791</v>
      </c>
      <c r="AF382" s="7" t="s">
        <v>741</v>
      </c>
      <c r="AG382" s="7" t="s">
        <v>767</v>
      </c>
      <c r="AH382" s="7" t="s">
        <v>781</v>
      </c>
      <c r="AI382" s="7" t="s">
        <v>953</v>
      </c>
      <c r="AJ382" s="7" t="s">
        <v>791</v>
      </c>
    </row>
    <row r="383" spans="1:37" x14ac:dyDescent="0.25">
      <c r="A383" s="13" t="str">
        <f ca="1"/>
        <v>0xD231</v>
      </c>
      <c r="B383" s="14" t="str">
        <f ca="1"/>
        <v>MovieWbPresetProtect3</v>
      </c>
      <c r="D383" s="8" t="str">
        <f ca="1"/>
        <v>MovieWbPresetProtect3</v>
      </c>
      <c r="E383" s="8" t="str">
        <f ca="1"/>
        <v>MovieWbPresetProtect3</v>
      </c>
      <c r="F383" s="8" t="str">
        <f ca="1"/>
        <v>MovieWbPresetProtect3</v>
      </c>
      <c r="G383" s="8" t="str">
        <f ca="1"/>
        <v>MovieWbPresetProtect3</v>
      </c>
      <c r="H383" s="7" t="str">
        <f ca="1"/>
        <v>MovieWbPresetProtect3</v>
      </c>
      <c r="I383" s="7" t="str">
        <f ca="1"/>
        <v>MovieWbPresetProtect3</v>
      </c>
      <c r="J383" s="7" t="str">
        <f ca="1"/>
        <v>MovieWbPresetProtect3</v>
      </c>
      <c r="K383" s="7" t="str">
        <f ca="1"/>
        <v>MovieWbPresetProtect3</v>
      </c>
      <c r="L383" s="7" t="str">
        <f ca="1"/>
        <v>MovieWbPresetProtect3</v>
      </c>
      <c r="M383" s="7" t="str">
        <f ca="1"/>
        <v>MovieWbPresetProtect3</v>
      </c>
      <c r="N383" s="7" t="str">
        <f ca="1"/>
        <v/>
      </c>
      <c r="O383" s="7" t="str">
        <f ca="1"/>
        <v/>
      </c>
      <c r="P383" s="7" t="str">
        <f ca="1"/>
        <v/>
      </c>
      <c r="Q383" s="7" t="str">
        <f ca="1"/>
        <v/>
      </c>
      <c r="T383" s="7" t="str">
        <f ca="1"/>
        <v>Z9</v>
      </c>
      <c r="U383" s="7" t="str">
        <f ca="1"/>
        <v>0xD03C</v>
      </c>
      <c r="V383" s="7" t="str">
        <f ca="1"/>
        <v>WbPresetProtect5</v>
      </c>
      <c r="X383" s="8" t="s">
        <v>770</v>
      </c>
      <c r="Y383" s="8" t="s">
        <v>770</v>
      </c>
      <c r="Z383" s="8" t="s">
        <v>790</v>
      </c>
      <c r="AA383" s="8" t="s">
        <v>790</v>
      </c>
      <c r="AB383" s="7" t="s">
        <v>812</v>
      </c>
      <c r="AC383" s="7" t="s">
        <v>788</v>
      </c>
      <c r="AD383" s="7" t="s">
        <v>788</v>
      </c>
      <c r="AE383" s="7" t="s">
        <v>792</v>
      </c>
      <c r="AF383" s="7" t="s">
        <v>742</v>
      </c>
      <c r="AG383" s="7" t="s">
        <v>768</v>
      </c>
      <c r="AH383" s="7" t="s">
        <v>782</v>
      </c>
      <c r="AI383" s="7" t="s">
        <v>954</v>
      </c>
      <c r="AJ383" s="7" t="s">
        <v>792</v>
      </c>
    </row>
    <row r="384" spans="1:37" x14ac:dyDescent="0.25">
      <c r="A384" s="13" t="str">
        <f ca="1"/>
        <v>0xD232</v>
      </c>
      <c r="B384" s="14" t="str">
        <f ca="1"/>
        <v>MovieWbPresetProtect4</v>
      </c>
      <c r="D384" s="8" t="str">
        <f ca="1"/>
        <v>MovieWbPresetProtect4</v>
      </c>
      <c r="E384" s="8" t="str">
        <f ca="1"/>
        <v>MovieWbPresetProtect4</v>
      </c>
      <c r="F384" s="8" t="str">
        <f ca="1"/>
        <v>MovieWbPresetProtect4</v>
      </c>
      <c r="G384" s="8" t="str">
        <f ca="1"/>
        <v>MovieWbPresetProtect4</v>
      </c>
      <c r="H384" s="7" t="str">
        <f ca="1"/>
        <v>MovieWbPresetProtect4</v>
      </c>
      <c r="I384" s="7" t="str">
        <f ca="1"/>
        <v>MovieWbPresetProtect4</v>
      </c>
      <c r="J384" s="7" t="str">
        <f ca="1"/>
        <v>MovieWbPresetProtect4</v>
      </c>
      <c r="K384" s="7" t="str">
        <f ca="1"/>
        <v>MovieWbPresetProtect4</v>
      </c>
      <c r="L384" s="7" t="str">
        <f ca="1"/>
        <v>MovieWbPresetProtect4</v>
      </c>
      <c r="M384" s="7" t="str">
        <f ca="1"/>
        <v>MovieWbPresetProtect4</v>
      </c>
      <c r="N384" s="7" t="str">
        <f ca="1"/>
        <v/>
      </c>
      <c r="O384" s="7" t="str">
        <f ca="1"/>
        <v/>
      </c>
      <c r="P384" s="7" t="str">
        <f ca="1"/>
        <v/>
      </c>
      <c r="Q384" s="7" t="str">
        <f ca="1"/>
        <v/>
      </c>
      <c r="T384" s="7" t="str">
        <f ca="1"/>
        <v>Z9</v>
      </c>
      <c r="U384" s="7" t="str">
        <f ca="1"/>
        <v>0xD03D</v>
      </c>
      <c r="V384" s="7" t="str">
        <f ca="1"/>
        <v>WbPresetProtect6</v>
      </c>
      <c r="X384" s="8" t="s">
        <v>771</v>
      </c>
      <c r="Y384" s="8" t="s">
        <v>771</v>
      </c>
      <c r="Z384" s="8" t="s">
        <v>791</v>
      </c>
      <c r="AA384" s="8" t="s">
        <v>791</v>
      </c>
      <c r="AB384" s="7" t="s">
        <v>813</v>
      </c>
      <c r="AC384" s="7" t="s">
        <v>789</v>
      </c>
      <c r="AD384" s="7" t="s">
        <v>789</v>
      </c>
      <c r="AE384" s="7" t="s">
        <v>793</v>
      </c>
      <c r="AF384" s="7" t="s">
        <v>743</v>
      </c>
      <c r="AG384" s="7" t="s">
        <v>1720</v>
      </c>
      <c r="AH384" s="7" t="s">
        <v>783</v>
      </c>
      <c r="AI384" s="7" t="s">
        <v>955</v>
      </c>
      <c r="AJ384" s="7" t="s">
        <v>793</v>
      </c>
    </row>
    <row r="385" spans="1:36" x14ac:dyDescent="0.25">
      <c r="A385" s="13" t="str">
        <f ca="1"/>
        <v>0xD233</v>
      </c>
      <c r="B385" s="14" t="str">
        <f ca="1"/>
        <v>MovieWbPresetProtect5</v>
      </c>
      <c r="D385" s="8" t="str">
        <f ca="1"/>
        <v>MovieWbPresetProtect5</v>
      </c>
      <c r="E385" s="8" t="str">
        <f ca="1"/>
        <v>MovieWbPresetProtect5</v>
      </c>
      <c r="F385" s="8" t="str">
        <f ca="1"/>
        <v>MovieWbPresetProtect5</v>
      </c>
      <c r="G385" s="8" t="str">
        <f ca="1"/>
        <v>MovieWbPresetProtect5</v>
      </c>
      <c r="H385" s="7" t="str">
        <f ca="1"/>
        <v>MovieWbPresetProtect5</v>
      </c>
      <c r="I385" s="7" t="str">
        <f ca="1"/>
        <v>MovieWbPresetProtect5</v>
      </c>
      <c r="J385" s="7" t="str">
        <f ca="1"/>
        <v>MovieWbPresetProtect5</v>
      </c>
      <c r="K385" s="7" t="str">
        <f ca="1"/>
        <v>MovieWbPresetProtect5</v>
      </c>
      <c r="L385" s="7" t="str">
        <f ca="1"/>
        <v>MovieWbPresetProtect5</v>
      </c>
      <c r="M385" s="7" t="str">
        <f ca="1"/>
        <v>MovieWbPresetProtect5</v>
      </c>
      <c r="N385" s="7" t="str">
        <f ca="1"/>
        <v/>
      </c>
      <c r="O385" s="7" t="str">
        <f ca="1"/>
        <v/>
      </c>
      <c r="P385" s="7" t="str">
        <f ca="1"/>
        <v/>
      </c>
      <c r="Q385" s="7" t="str">
        <f ca="1"/>
        <v/>
      </c>
      <c r="T385" s="7" t="str">
        <f ca="1"/>
        <v>Z9</v>
      </c>
      <c r="U385" s="7" t="str">
        <f ca="1"/>
        <v>0xD03E</v>
      </c>
      <c r="V385" s="7" t="str">
        <f ca="1"/>
        <v>WbPresetDataValue5</v>
      </c>
      <c r="X385" s="8" t="s">
        <v>772</v>
      </c>
      <c r="Y385" s="8" t="s">
        <v>772</v>
      </c>
      <c r="Z385" s="8" t="s">
        <v>792</v>
      </c>
      <c r="AA385" s="8" t="s">
        <v>792</v>
      </c>
      <c r="AB385" s="7" t="s">
        <v>834</v>
      </c>
      <c r="AC385" s="7" t="s">
        <v>790</v>
      </c>
      <c r="AD385" s="7" t="s">
        <v>790</v>
      </c>
      <c r="AE385" s="7" t="s">
        <v>794</v>
      </c>
      <c r="AF385" s="7" t="s">
        <v>744</v>
      </c>
      <c r="AG385" s="7" t="s">
        <v>1721</v>
      </c>
      <c r="AH385" s="7" t="s">
        <v>1220</v>
      </c>
      <c r="AJ385" s="7" t="s">
        <v>1534</v>
      </c>
    </row>
    <row r="386" spans="1:36" x14ac:dyDescent="0.25">
      <c r="A386" s="13" t="str">
        <f ca="1"/>
        <v>0xD234</v>
      </c>
      <c r="B386" s="14" t="str">
        <f ca="1"/>
        <v>MovieWbPresetProtect6</v>
      </c>
      <c r="D386" s="8" t="str">
        <f ca="1"/>
        <v>MovieWbPresetProtect6</v>
      </c>
      <c r="E386" s="8" t="str">
        <f ca="1"/>
        <v>MovieWbPresetProtect6</v>
      </c>
      <c r="F386" s="8" t="str">
        <f ca="1"/>
        <v>MovieWbPresetProtect6</v>
      </c>
      <c r="G386" s="8" t="str">
        <f ca="1"/>
        <v>MovieWbPresetProtect6</v>
      </c>
      <c r="H386" s="7" t="str">
        <f ca="1"/>
        <v>MovieWbPresetProtect6</v>
      </c>
      <c r="I386" s="7" t="str">
        <f ca="1"/>
        <v>MovieWbPresetProtect6</v>
      </c>
      <c r="J386" s="7" t="str">
        <f ca="1"/>
        <v>MovieWbPresetProtect6</v>
      </c>
      <c r="K386" s="7" t="str">
        <f ca="1"/>
        <v>MovieWbPresetProtect6</v>
      </c>
      <c r="L386" s="7" t="str">
        <f ca="1"/>
        <v>MovieWbPresetProtect6</v>
      </c>
      <c r="M386" s="7" t="str">
        <f ca="1"/>
        <v>MovieWbPresetProtect6</v>
      </c>
      <c r="N386" s="7" t="str">
        <f ca="1"/>
        <v/>
      </c>
      <c r="O386" s="7" t="str">
        <f ca="1"/>
        <v/>
      </c>
      <c r="P386" s="7" t="str">
        <f ca="1"/>
        <v/>
      </c>
      <c r="Q386" s="7" t="str">
        <f ca="1"/>
        <v/>
      </c>
      <c r="T386" s="7" t="str">
        <f ca="1"/>
        <v>Z9</v>
      </c>
      <c r="U386" s="7" t="str">
        <f ca="1"/>
        <v>0xD03F</v>
      </c>
      <c r="V386" s="7" t="str">
        <f ca="1"/>
        <v>WbPresetDataValue6</v>
      </c>
      <c r="X386" s="8" t="s">
        <v>773</v>
      </c>
      <c r="Y386" s="8" t="s">
        <v>773</v>
      </c>
      <c r="Z386" s="8" t="s">
        <v>793</v>
      </c>
      <c r="AA386" s="8" t="s">
        <v>793</v>
      </c>
      <c r="AB386" s="7" t="s">
        <v>835</v>
      </c>
      <c r="AC386" s="7" t="s">
        <v>791</v>
      </c>
      <c r="AD386" s="7" t="s">
        <v>791</v>
      </c>
      <c r="AE386" s="7" t="s">
        <v>795</v>
      </c>
      <c r="AF386" s="7" t="s">
        <v>745</v>
      </c>
      <c r="AG386" s="7" t="s">
        <v>1722</v>
      </c>
      <c r="AH386" s="7" t="s">
        <v>1529</v>
      </c>
      <c r="AJ386" s="7" t="s">
        <v>1535</v>
      </c>
    </row>
    <row r="387" spans="1:36" x14ac:dyDescent="0.25">
      <c r="A387" s="13" t="str">
        <f ca="1"/>
        <v>0xD235</v>
      </c>
      <c r="B387" s="14" t="str">
        <f ca="1"/>
        <v>MovieWhiteBalanceReset</v>
      </c>
      <c r="D387" s="8" t="str">
        <f ca="1"/>
        <v/>
      </c>
      <c r="E387" s="8" t="str">
        <f ca="1"/>
        <v/>
      </c>
      <c r="F387" s="8" t="str">
        <f ca="1"/>
        <v/>
      </c>
      <c r="G387" s="8" t="str">
        <f ca="1"/>
        <v/>
      </c>
      <c r="H387" s="7" t="str">
        <f ca="1"/>
        <v>MovieWhiteBalanceReset</v>
      </c>
      <c r="I387" s="7" t="str">
        <f ca="1"/>
        <v>MovieWhiteBalanceReset</v>
      </c>
      <c r="J387" s="7" t="str">
        <f ca="1"/>
        <v>MovieWhiteBalanceReset</v>
      </c>
      <c r="K387" s="7" t="str">
        <f ca="1"/>
        <v>MovieWhiteBalanceReset</v>
      </c>
      <c r="L387" s="7" t="str">
        <f ca="1"/>
        <v/>
      </c>
      <c r="M387" s="7" t="str">
        <f ca="1"/>
        <v>MovieWhiteBalanceReset</v>
      </c>
      <c r="N387" s="7" t="str">
        <f ca="1"/>
        <v/>
      </c>
      <c r="O387" s="7" t="str">
        <f ca="1"/>
        <v/>
      </c>
      <c r="P387" s="7" t="str">
        <f ca="1"/>
        <v/>
      </c>
      <c r="Q387" s="7" t="str">
        <f ca="1"/>
        <v/>
      </c>
      <c r="T387" s="7" t="str">
        <f ca="1"/>
        <v>Z9</v>
      </c>
      <c r="U387" s="7" t="str">
        <f ca="1"/>
        <v>0xD040</v>
      </c>
      <c r="V387" s="7" t="str">
        <f ca="1"/>
        <v>CustomSettingBank</v>
      </c>
      <c r="X387" s="8" t="s">
        <v>774</v>
      </c>
      <c r="Y387" s="8" t="s">
        <v>774</v>
      </c>
      <c r="Z387" s="8" t="s">
        <v>794</v>
      </c>
      <c r="AA387" s="8" t="s">
        <v>794</v>
      </c>
      <c r="AB387" s="7" t="s">
        <v>1534</v>
      </c>
      <c r="AC387" s="7" t="s">
        <v>792</v>
      </c>
      <c r="AD387" s="7" t="s">
        <v>792</v>
      </c>
      <c r="AE387" s="7" t="s">
        <v>1222</v>
      </c>
      <c r="AF387" s="7" t="s">
        <v>1682</v>
      </c>
      <c r="AG387" s="7" t="s">
        <v>770</v>
      </c>
      <c r="AH387" s="7" t="s">
        <v>786</v>
      </c>
      <c r="AJ387" s="7" t="s">
        <v>836</v>
      </c>
    </row>
    <row r="388" spans="1:36" x14ac:dyDescent="0.25">
      <c r="A388" s="13" t="str">
        <f ca="1"/>
        <v>0xD236</v>
      </c>
      <c r="B388" s="14" t="str">
        <f ca="1"/>
        <v>MovieNoiseReductionHiIso</v>
      </c>
      <c r="D388" s="8" t="str">
        <f ca="1"/>
        <v>MovieNoiseReductionHiIso</v>
      </c>
      <c r="E388" s="8" t="str">
        <f ca="1"/>
        <v>MovieNoiseReductionHiIso</v>
      </c>
      <c r="F388" s="8" t="str">
        <f ca="1"/>
        <v>MovieNoiseReductionHiIso</v>
      </c>
      <c r="G388" s="8" t="str">
        <f ca="1"/>
        <v>MovieNoiseReductionHiIso</v>
      </c>
      <c r="H388" s="7" t="str">
        <f ca="1"/>
        <v>MovieNoiseReductionHiIso</v>
      </c>
      <c r="I388" s="7" t="str">
        <f ca="1"/>
        <v>MovieNoiseReductionHiIso</v>
      </c>
      <c r="J388" s="7" t="str">
        <f ca="1"/>
        <v>MovieNoiseReductionHiIso</v>
      </c>
      <c r="K388" s="7" t="str">
        <f ca="1"/>
        <v>MovieNoiseReductionHiIso</v>
      </c>
      <c r="L388" s="7" t="str">
        <f ca="1"/>
        <v>MovieNoiseReductionHiIso</v>
      </c>
      <c r="M388" s="7" t="str">
        <f ca="1"/>
        <v>MovieNoiseReductionHiIso</v>
      </c>
      <c r="N388" s="7" t="str">
        <f ca="1"/>
        <v/>
      </c>
      <c r="O388" s="7" t="str">
        <f ca="1"/>
        <v/>
      </c>
      <c r="P388" s="7" t="str">
        <f ca="1"/>
        <v/>
      </c>
      <c r="Q388" s="7" t="str">
        <f ca="1"/>
        <v/>
      </c>
      <c r="T388" s="7" t="str">
        <f ca="1"/>
        <v>Z9</v>
      </c>
      <c r="U388" s="7" t="str">
        <f ca="1"/>
        <v>0xD041</v>
      </c>
      <c r="V388" s="7" t="str">
        <f ca="1"/>
        <v>CustomBankNameA</v>
      </c>
      <c r="X388" s="8" t="s">
        <v>775</v>
      </c>
      <c r="Y388" s="8" t="s">
        <v>775</v>
      </c>
      <c r="Z388" s="8" t="s">
        <v>795</v>
      </c>
      <c r="AA388" s="8" t="s">
        <v>795</v>
      </c>
      <c r="AB388" s="7" t="s">
        <v>1535</v>
      </c>
      <c r="AC388" s="7" t="s">
        <v>793</v>
      </c>
      <c r="AD388" s="7" t="s">
        <v>793</v>
      </c>
      <c r="AE388" s="7" t="s">
        <v>1223</v>
      </c>
      <c r="AF388" s="7" t="s">
        <v>1683</v>
      </c>
      <c r="AG388" s="7" t="s">
        <v>771</v>
      </c>
      <c r="AH388" s="7" t="s">
        <v>787</v>
      </c>
      <c r="AJ388" s="7" t="s">
        <v>1854</v>
      </c>
    </row>
    <row r="389" spans="1:36" x14ac:dyDescent="0.25">
      <c r="A389" s="13" t="str">
        <f ca="1"/>
        <v>0xD237</v>
      </c>
      <c r="B389" s="14" t="str">
        <f ca="1"/>
        <v>MovieActivePicCtrlItem</v>
      </c>
      <c r="D389" s="8" t="str">
        <f ca="1"/>
        <v>MovieActivePicCtrlItem</v>
      </c>
      <c r="E389" s="8" t="str">
        <f ca="1"/>
        <v>MovieActivePicCtrlItem</v>
      </c>
      <c r="F389" s="8" t="str">
        <f ca="1"/>
        <v>MovieActivePicCtrlItem</v>
      </c>
      <c r="G389" s="8" t="str">
        <f ca="1"/>
        <v>MovieActivePicCtrlItem</v>
      </c>
      <c r="H389" s="7" t="str">
        <f ca="1"/>
        <v>MovieActivePicCtrlItem</v>
      </c>
      <c r="I389" s="7" t="str">
        <f ca="1"/>
        <v>MovieActivePicCtrlItem</v>
      </c>
      <c r="J389" s="7" t="str">
        <f ca="1"/>
        <v>MovieActivePicCtrlItem</v>
      </c>
      <c r="K389" s="7" t="str">
        <f ca="1"/>
        <v>MovieActivePicCtrlItem</v>
      </c>
      <c r="L389" s="7" t="str">
        <f ca="1"/>
        <v>MovieActivePicCtrlItem</v>
      </c>
      <c r="M389" s="7" t="str">
        <f ca="1"/>
        <v>MovieActivePicCtrlItem</v>
      </c>
      <c r="N389" s="7" t="str">
        <f ca="1"/>
        <v/>
      </c>
      <c r="O389" s="7" t="str">
        <f ca="1"/>
        <v/>
      </c>
      <c r="P389" s="7" t="str">
        <f ca="1"/>
        <v/>
      </c>
      <c r="Q389" s="7" t="str">
        <f ca="1"/>
        <v/>
      </c>
      <c r="T389" s="7" t="str">
        <f ca="1"/>
        <v>Z9</v>
      </c>
      <c r="U389" s="7" t="str">
        <f ca="1"/>
        <v>0xD042</v>
      </c>
      <c r="V389" s="7" t="str">
        <f ca="1"/>
        <v>CustomBankNameB</v>
      </c>
      <c r="X389" s="8" t="s">
        <v>776</v>
      </c>
      <c r="Y389" s="8" t="s">
        <v>776</v>
      </c>
      <c r="Z389" s="8" t="s">
        <v>1222</v>
      </c>
      <c r="AA389" s="8" t="s">
        <v>1222</v>
      </c>
      <c r="AB389" s="7" t="s">
        <v>836</v>
      </c>
      <c r="AC389" s="7" t="s">
        <v>794</v>
      </c>
      <c r="AD389" s="7" t="s">
        <v>794</v>
      </c>
      <c r="AE389" s="7" t="s">
        <v>796</v>
      </c>
      <c r="AF389" s="7" t="s">
        <v>746</v>
      </c>
      <c r="AG389" s="7" t="s">
        <v>1691</v>
      </c>
      <c r="AH389" s="7" t="s">
        <v>788</v>
      </c>
      <c r="AJ389" s="7" t="s">
        <v>838</v>
      </c>
    </row>
    <row r="390" spans="1:36" x14ac:dyDescent="0.25">
      <c r="A390" s="13" t="str">
        <f ca="1"/>
        <v>0xD238</v>
      </c>
      <c r="B390" s="14" t="str">
        <f ca="1"/>
        <v>MovieChangePicCtrlItem</v>
      </c>
      <c r="D390" s="8" t="str">
        <f ca="1"/>
        <v/>
      </c>
      <c r="E390" s="8" t="str">
        <f ca="1"/>
        <v/>
      </c>
      <c r="F390" s="8" t="str">
        <f ca="1"/>
        <v/>
      </c>
      <c r="G390" s="8" t="str">
        <f ca="1"/>
        <v/>
      </c>
      <c r="H390" s="7" t="str">
        <f ca="1"/>
        <v/>
      </c>
      <c r="I390" s="7" t="str">
        <f ca="1"/>
        <v/>
      </c>
      <c r="J390" s="7" t="str">
        <f ca="1"/>
        <v/>
      </c>
      <c r="K390" s="7" t="str">
        <f ca="1"/>
        <v/>
      </c>
      <c r="L390" s="7" t="str">
        <f ca="1"/>
        <v/>
      </c>
      <c r="M390" s="7" t="str">
        <f ca="1"/>
        <v>MovieChangePicCtrlItem</v>
      </c>
      <c r="N390" s="7" t="str">
        <f ca="1"/>
        <v/>
      </c>
      <c r="O390" s="7" t="str">
        <f ca="1"/>
        <v/>
      </c>
      <c r="P390" s="7" t="str">
        <f ca="1"/>
        <v/>
      </c>
      <c r="Q390" s="7" t="str">
        <f ca="1"/>
        <v/>
      </c>
      <c r="T390" s="7" t="str">
        <f ca="1"/>
        <v>Z9</v>
      </c>
      <c r="U390" s="7" t="str">
        <f ca="1"/>
        <v>0xD043</v>
      </c>
      <c r="V390" s="7" t="str">
        <f ca="1"/>
        <v>CustomBankNameC</v>
      </c>
      <c r="X390" s="8" t="s">
        <v>777</v>
      </c>
      <c r="Y390" s="8" t="s">
        <v>777</v>
      </c>
      <c r="Z390" s="8" t="s">
        <v>1223</v>
      </c>
      <c r="AA390" s="8" t="s">
        <v>1223</v>
      </c>
      <c r="AB390" s="7" t="s">
        <v>837</v>
      </c>
      <c r="AC390" s="7" t="s">
        <v>795</v>
      </c>
      <c r="AD390" s="7" t="s">
        <v>795</v>
      </c>
      <c r="AE390" s="7" t="s">
        <v>797</v>
      </c>
      <c r="AF390" s="7" t="s">
        <v>747</v>
      </c>
      <c r="AG390" s="7" t="s">
        <v>1692</v>
      </c>
      <c r="AH390" s="7" t="s">
        <v>789</v>
      </c>
      <c r="AJ390" s="7" t="s">
        <v>839</v>
      </c>
    </row>
    <row r="391" spans="1:36" x14ac:dyDescent="0.25">
      <c r="A391" s="13" t="str">
        <f ca="1"/>
        <v>0xD239</v>
      </c>
      <c r="B391" s="14" t="str">
        <f ca="1"/>
        <v>ExposureBaseCompHighlight</v>
      </c>
      <c r="D391" s="8" t="str">
        <f ca="1"/>
        <v>ExposureBaseCompHighlight</v>
      </c>
      <c r="E391" s="8" t="str">
        <f ca="1"/>
        <v>ExposureBaseCompHighlight</v>
      </c>
      <c r="F391" s="8" t="str">
        <f ca="1"/>
        <v>ExposureBaseCompHighlight</v>
      </c>
      <c r="G391" s="8" t="str">
        <f ca="1"/>
        <v>ExposureBaseCompHighlight</v>
      </c>
      <c r="H391" s="7" t="str">
        <f ca="1"/>
        <v>ExposureBaseCompHighlight</v>
      </c>
      <c r="I391" s="7" t="str">
        <f ca="1"/>
        <v>ExposureBaseCompHighlight</v>
      </c>
      <c r="J391" s="7" t="str">
        <f ca="1"/>
        <v>ExposureBaseCompHighlight</v>
      </c>
      <c r="K391" s="7" t="str">
        <f ca="1"/>
        <v>ExposureBaseCompHighlight</v>
      </c>
      <c r="L391" s="7" t="str">
        <f ca="1"/>
        <v>ExposureBaseCompHighlight</v>
      </c>
      <c r="M391" s="7" t="str">
        <f ca="1"/>
        <v>ExposureBaseCompHighlight</v>
      </c>
      <c r="N391" s="7" t="str">
        <f ca="1"/>
        <v/>
      </c>
      <c r="O391" s="7" t="str">
        <f ca="1"/>
        <v/>
      </c>
      <c r="P391" s="7" t="str">
        <f ca="1"/>
        <v/>
      </c>
      <c r="Q391" s="7" t="str">
        <f ca="1"/>
        <v/>
      </c>
      <c r="T391" s="7" t="str">
        <f ca="1"/>
        <v>Z9</v>
      </c>
      <c r="U391" s="7" t="str">
        <f ca="1"/>
        <v>0xD044</v>
      </c>
      <c r="V391" s="7" t="str">
        <f ca="1"/>
        <v>CustomBankNameD</v>
      </c>
      <c r="X391" s="8" t="s">
        <v>778</v>
      </c>
      <c r="Y391" s="8" t="s">
        <v>778</v>
      </c>
      <c r="Z391" s="8" t="s">
        <v>796</v>
      </c>
      <c r="AA391" s="8" t="s">
        <v>796</v>
      </c>
      <c r="AB391" s="7" t="s">
        <v>840</v>
      </c>
      <c r="AC391" s="7" t="s">
        <v>1222</v>
      </c>
      <c r="AD391" s="7" t="s">
        <v>1222</v>
      </c>
      <c r="AE391" s="7" t="s">
        <v>1224</v>
      </c>
      <c r="AF391" s="7" t="s">
        <v>748</v>
      </c>
      <c r="AG391" s="7" t="s">
        <v>772</v>
      </c>
      <c r="AH391" s="7" t="s">
        <v>790</v>
      </c>
      <c r="AJ391" s="7" t="s">
        <v>856</v>
      </c>
    </row>
    <row r="392" spans="1:36" x14ac:dyDescent="0.25">
      <c r="A392" s="13" t="str">
        <f ca="1"/>
        <v>0xD23A</v>
      </c>
      <c r="B392" s="14" t="str">
        <f ca="1"/>
        <v>MovieWhiteBalance</v>
      </c>
      <c r="D392" s="8" t="str">
        <f ca="1"/>
        <v>MovieWhiteBalance</v>
      </c>
      <c r="E392" s="8" t="str">
        <f ca="1"/>
        <v>MovieWhiteBalance</v>
      </c>
      <c r="F392" s="8" t="str">
        <f ca="1"/>
        <v>MovieWhiteBalance</v>
      </c>
      <c r="G392" s="8" t="str">
        <f ca="1"/>
        <v>MovieWhiteBalance</v>
      </c>
      <c r="H392" s="7" t="str">
        <f ca="1"/>
        <v>MovieWhiteBalance</v>
      </c>
      <c r="I392" s="7" t="str">
        <f ca="1"/>
        <v>MovieWhiteBalance</v>
      </c>
      <c r="J392" s="7" t="str">
        <f ca="1"/>
        <v>MovieWhiteBalance</v>
      </c>
      <c r="K392" s="7" t="str">
        <f ca="1"/>
        <v>MovieWhiteBalance</v>
      </c>
      <c r="L392" s="7" t="str">
        <f ca="1"/>
        <v>MovieWhiteBalance</v>
      </c>
      <c r="M392" s="7" t="str">
        <f ca="1"/>
        <v>MovieWhiteBalance</v>
      </c>
      <c r="N392" s="7" t="str">
        <f ca="1"/>
        <v/>
      </c>
      <c r="O392" s="7" t="str">
        <f ca="1"/>
        <v/>
      </c>
      <c r="P392" s="7" t="str">
        <f ca="1"/>
        <v/>
      </c>
      <c r="Q392" s="7" t="str">
        <f ca="1"/>
        <v/>
      </c>
      <c r="T392" s="7" t="str">
        <f ca="1"/>
        <v>Z9</v>
      </c>
      <c r="U392" s="7" t="str">
        <f ca="1"/>
        <v>0xD046</v>
      </c>
      <c r="V392" s="7" t="str">
        <f ca="1"/>
        <v>AFStillLockOnAcross</v>
      </c>
      <c r="X392" s="8" t="s">
        <v>779</v>
      </c>
      <c r="Y392" s="8" t="s">
        <v>779</v>
      </c>
      <c r="Z392" s="8" t="s">
        <v>797</v>
      </c>
      <c r="AA392" s="8" t="s">
        <v>797</v>
      </c>
      <c r="AB392" s="7" t="s">
        <v>841</v>
      </c>
      <c r="AC392" s="7" t="s">
        <v>1223</v>
      </c>
      <c r="AD392" s="7" t="s">
        <v>1223</v>
      </c>
      <c r="AE392" s="7" t="s">
        <v>1225</v>
      </c>
      <c r="AF392" s="7" t="s">
        <v>749</v>
      </c>
      <c r="AG392" s="7" t="s">
        <v>773</v>
      </c>
      <c r="AH392" s="7" t="s">
        <v>791</v>
      </c>
      <c r="AJ392" s="7" t="s">
        <v>857</v>
      </c>
    </row>
    <row r="393" spans="1:36" x14ac:dyDescent="0.25">
      <c r="A393" s="13" t="str">
        <f ca="1"/>
        <v>0xD23B</v>
      </c>
      <c r="B393" s="14" t="str">
        <f ca="1"/>
        <v>MovieActive</v>
      </c>
      <c r="D393" s="8" t="str">
        <f ca="1"/>
        <v>MovieActive</v>
      </c>
      <c r="E393" s="8" t="str">
        <f ca="1"/>
        <v>MovieActive</v>
      </c>
      <c r="F393" s="8" t="str">
        <f ca="1"/>
        <v>MovieActive</v>
      </c>
      <c r="G393" s="8" t="str">
        <f ca="1"/>
        <v>MovieActive</v>
      </c>
      <c r="H393" s="7" t="str">
        <f ca="1"/>
        <v>MovieActive</v>
      </c>
      <c r="I393" s="7" t="str">
        <f ca="1"/>
        <v>MovieActive</v>
      </c>
      <c r="J393" s="7" t="str">
        <f ca="1"/>
        <v>MovieActive</v>
      </c>
      <c r="K393" s="7" t="str">
        <f ca="1"/>
        <v>MovieActive</v>
      </c>
      <c r="L393" s="7" t="str">
        <f ca="1"/>
        <v>MovieActive</v>
      </c>
      <c r="M393" s="7" t="str">
        <f ca="1"/>
        <v/>
      </c>
      <c r="N393" s="7" t="str">
        <f ca="1"/>
        <v/>
      </c>
      <c r="O393" s="7" t="str">
        <f ca="1"/>
        <v/>
      </c>
      <c r="P393" s="7" t="str">
        <f ca="1"/>
        <v/>
      </c>
      <c r="Q393" s="7" t="str">
        <f ca="1"/>
        <v/>
      </c>
      <c r="T393" s="7" t="str">
        <f ca="1"/>
        <v>Z9</v>
      </c>
      <c r="U393" s="7" t="str">
        <f ca="1"/>
        <v>0xD047</v>
      </c>
      <c r="V393" s="7" t="str">
        <f ca="1"/>
        <v>AFStillLockOnMove</v>
      </c>
      <c r="X393" s="8" t="s">
        <v>780</v>
      </c>
      <c r="Y393" s="8" t="s">
        <v>780</v>
      </c>
      <c r="Z393" s="8" t="s">
        <v>1224</v>
      </c>
      <c r="AA393" s="8" t="s">
        <v>1224</v>
      </c>
      <c r="AB393" s="7" t="s">
        <v>842</v>
      </c>
      <c r="AC393" s="7" t="s">
        <v>796</v>
      </c>
      <c r="AD393" s="7" t="s">
        <v>796</v>
      </c>
      <c r="AE393" s="7" t="s">
        <v>798</v>
      </c>
      <c r="AF393" s="7" t="s">
        <v>750</v>
      </c>
      <c r="AG393" s="7" t="s">
        <v>1693</v>
      </c>
      <c r="AH393" s="7" t="s">
        <v>792</v>
      </c>
      <c r="AJ393" s="7" t="s">
        <v>1723</v>
      </c>
    </row>
    <row r="394" spans="1:36" x14ac:dyDescent="0.25">
      <c r="A394" s="13" t="str">
        <f ca="1"/>
        <v>0xD23C</v>
      </c>
      <c r="B394" s="14" t="str">
        <f ca="1"/>
        <v>MovieWbTuneNatural</v>
      </c>
      <c r="D394" s="8" t="str">
        <f ca="1"/>
        <v>MovieWbTuneNatural</v>
      </c>
      <c r="E394" s="8" t="str">
        <f ca="1"/>
        <v>MovieWbTuneNatural</v>
      </c>
      <c r="F394" s="8" t="str">
        <f ca="1"/>
        <v>MovieWbTuneNatural</v>
      </c>
      <c r="G394" s="8" t="str">
        <f ca="1"/>
        <v>MovieWbTuneNatural</v>
      </c>
      <c r="H394" s="7" t="str">
        <f ca="1"/>
        <v>MovieWbTuneNatural</v>
      </c>
      <c r="I394" s="7" t="str">
        <f ca="1"/>
        <v>MovieWbTuneNatural</v>
      </c>
      <c r="J394" s="7" t="str">
        <f ca="1"/>
        <v>MovieWbTuneNatural</v>
      </c>
      <c r="K394" s="7" t="str">
        <f ca="1"/>
        <v>MovieWbTuneNatural</v>
      </c>
      <c r="L394" s="7" t="str">
        <f ca="1"/>
        <v>MovieWbTuneNatural</v>
      </c>
      <c r="M394" s="7" t="str">
        <f ca="1"/>
        <v/>
      </c>
      <c r="N394" s="7" t="str">
        <f ca="1"/>
        <v/>
      </c>
      <c r="O394" s="7" t="str">
        <f ca="1"/>
        <v/>
      </c>
      <c r="P394" s="7" t="str">
        <f ca="1"/>
        <v/>
      </c>
      <c r="Q394" s="7" t="str">
        <f ca="1"/>
        <v/>
      </c>
      <c r="T394" s="7" t="str">
        <f ca="1"/>
        <v>Z9</v>
      </c>
      <c r="U394" s="7" t="str">
        <f ca="1"/>
        <v>0xD048</v>
      </c>
      <c r="V394" s="7" t="str">
        <f ca="1"/>
        <v>DynamicAFonAFC</v>
      </c>
      <c r="X394" s="8" t="s">
        <v>781</v>
      </c>
      <c r="Y394" s="8" t="s">
        <v>781</v>
      </c>
      <c r="Z394" s="8" t="s">
        <v>1225</v>
      </c>
      <c r="AA394" s="8" t="s">
        <v>1225</v>
      </c>
      <c r="AB394" s="7" t="s">
        <v>1536</v>
      </c>
      <c r="AC394" s="7" t="s">
        <v>797</v>
      </c>
      <c r="AD394" s="7" t="s">
        <v>797</v>
      </c>
      <c r="AE394" s="7" t="s">
        <v>799</v>
      </c>
      <c r="AF394" s="7" t="s">
        <v>1684</v>
      </c>
      <c r="AG394" s="7" t="s">
        <v>1694</v>
      </c>
      <c r="AH394" s="7" t="s">
        <v>793</v>
      </c>
      <c r="AJ394" s="7" t="s">
        <v>1724</v>
      </c>
    </row>
    <row r="395" spans="1:36" x14ac:dyDescent="0.25">
      <c r="A395" s="13" t="str">
        <f ca="1"/>
        <v>0xD23D</v>
      </c>
      <c r="B395" s="14" t="str">
        <f ca="1"/>
        <v>MovieAttenuator</v>
      </c>
      <c r="D395" s="8" t="str">
        <f ca="1"/>
        <v>MovieAttenuator</v>
      </c>
      <c r="E395" s="8" t="str">
        <f ca="1"/>
        <v>MovieAttenuator</v>
      </c>
      <c r="F395" s="8" t="str">
        <f ca="1"/>
        <v>MovieAttenuator</v>
      </c>
      <c r="G395" s="8" t="str">
        <f ca="1"/>
        <v>MovieAttenuator</v>
      </c>
      <c r="H395" s="7" t="str">
        <f ca="1"/>
        <v>MovieAttenuator</v>
      </c>
      <c r="I395" s="7" t="str">
        <f ca="1"/>
        <v>MovieAttenuator</v>
      </c>
      <c r="J395" s="7" t="str">
        <f ca="1"/>
        <v>MovieAttenuator</v>
      </c>
      <c r="K395" s="7" t="str">
        <f ca="1"/>
        <v>MovieAttenuator</v>
      </c>
      <c r="L395" s="7" t="str">
        <f ca="1"/>
        <v>MovieAttenuator</v>
      </c>
      <c r="M395" s="7" t="str">
        <f ca="1"/>
        <v/>
      </c>
      <c r="N395" s="7" t="str">
        <f ca="1"/>
        <v/>
      </c>
      <c r="O395" s="7" t="str">
        <f ca="1"/>
        <v/>
      </c>
      <c r="P395" s="7" t="str">
        <f ca="1"/>
        <v/>
      </c>
      <c r="Q395" s="7" t="str">
        <f ca="1"/>
        <v/>
      </c>
      <c r="T395" s="7" t="str">
        <f ca="1"/>
        <v>Z9</v>
      </c>
      <c r="U395" s="7" t="str">
        <f ca="1"/>
        <v>0xD049</v>
      </c>
      <c r="V395" s="7" t="str">
        <f ca="1"/>
        <v>DynamicAFonAFS</v>
      </c>
      <c r="X395" s="8" t="s">
        <v>782</v>
      </c>
      <c r="Y395" s="8" t="s">
        <v>782</v>
      </c>
      <c r="Z395" s="8" t="s">
        <v>798</v>
      </c>
      <c r="AA395" s="8" t="s">
        <v>798</v>
      </c>
      <c r="AB395" s="7" t="s">
        <v>844</v>
      </c>
      <c r="AC395" s="7" t="s">
        <v>1224</v>
      </c>
      <c r="AD395" s="7" t="s">
        <v>1224</v>
      </c>
      <c r="AE395" s="7" t="s">
        <v>800</v>
      </c>
      <c r="AF395" s="7" t="s">
        <v>1685</v>
      </c>
      <c r="AG395" s="7" t="s">
        <v>774</v>
      </c>
      <c r="AH395" s="7" t="s">
        <v>794</v>
      </c>
      <c r="AJ395" s="7" t="s">
        <v>952</v>
      </c>
    </row>
    <row r="396" spans="1:36" x14ac:dyDescent="0.25">
      <c r="A396" s="13" t="str">
        <f ca="1"/>
        <v>0xD23E</v>
      </c>
      <c r="B396" s="14" t="str">
        <f ca="1"/>
        <v>MovieVignetteControl</v>
      </c>
      <c r="D396" s="8" t="str">
        <f ca="1"/>
        <v>MovieVignetteControl</v>
      </c>
      <c r="E396" s="8" t="str">
        <f ca="1"/>
        <v>MovieVignetteControl</v>
      </c>
      <c r="F396" s="8" t="str">
        <f ca="1"/>
        <v>MovieVignetteControl</v>
      </c>
      <c r="G396" s="8" t="str">
        <f ca="1"/>
        <v>MovieVignetteControl</v>
      </c>
      <c r="H396" s="7" t="str">
        <f ca="1"/>
        <v>MovieVignetteControl</v>
      </c>
      <c r="I396" s="7" t="str">
        <f ca="1"/>
        <v>MovieVignetteControl</v>
      </c>
      <c r="J396" s="7" t="str">
        <f ca="1"/>
        <v>MovieVignetteControl</v>
      </c>
      <c r="K396" s="7" t="str">
        <f ca="1"/>
        <v>MovieVignetteControl</v>
      </c>
      <c r="L396" s="7" t="str">
        <f ca="1"/>
        <v/>
      </c>
      <c r="M396" s="7" t="str">
        <f ca="1"/>
        <v/>
      </c>
      <c r="N396" s="7" t="str">
        <f ca="1"/>
        <v/>
      </c>
      <c r="O396" s="7" t="str">
        <f ca="1"/>
        <v/>
      </c>
      <c r="P396" s="7" t="str">
        <f ca="1"/>
        <v/>
      </c>
      <c r="Q396" s="7" t="str">
        <f ca="1"/>
        <v/>
      </c>
      <c r="T396" s="7" t="str">
        <f ca="1"/>
        <v>Z9</v>
      </c>
      <c r="U396" s="7" t="str">
        <f ca="1"/>
        <v>0xD04F</v>
      </c>
      <c r="V396" s="7" t="str">
        <f ca="1"/>
        <v>FocusAreaSelect</v>
      </c>
      <c r="X396" s="8" t="s">
        <v>783</v>
      </c>
      <c r="Y396" s="8" t="s">
        <v>783</v>
      </c>
      <c r="Z396" s="8" t="s">
        <v>799</v>
      </c>
      <c r="AA396" s="8" t="s">
        <v>799</v>
      </c>
      <c r="AB396" s="7" t="s">
        <v>845</v>
      </c>
      <c r="AC396" s="7" t="s">
        <v>1225</v>
      </c>
      <c r="AD396" s="7" t="s">
        <v>1225</v>
      </c>
      <c r="AE396" s="7" t="s">
        <v>801</v>
      </c>
      <c r="AF396" s="7" t="s">
        <v>1686</v>
      </c>
      <c r="AG396" s="7" t="s">
        <v>775</v>
      </c>
      <c r="AH396" s="7" t="s">
        <v>795</v>
      </c>
      <c r="AJ396" s="7" t="s">
        <v>953</v>
      </c>
    </row>
    <row r="397" spans="1:36" x14ac:dyDescent="0.25">
      <c r="A397" s="13" t="str">
        <f ca="1"/>
        <v>0xD23F</v>
      </c>
      <c r="B397" s="14" t="str">
        <f ca="1"/>
        <v>MovieDiffractionCompensation</v>
      </c>
      <c r="D397" s="8" t="str">
        <f ca="1"/>
        <v>MovieDiffractionCompensation</v>
      </c>
      <c r="E397" s="8" t="str">
        <f ca="1"/>
        <v>MovieDiffractionCompensation</v>
      </c>
      <c r="F397" s="8" t="str">
        <f ca="1"/>
        <v>MovieDiffractionCompensation</v>
      </c>
      <c r="G397" s="8" t="str">
        <f ca="1"/>
        <v>MovieDiffractionCompensation</v>
      </c>
      <c r="H397" s="7" t="str">
        <f ca="1"/>
        <v>MovieDiffractionCompensation</v>
      </c>
      <c r="I397" s="7" t="str">
        <f ca="1"/>
        <v>MovieDiffractionCompensation</v>
      </c>
      <c r="J397" s="7" t="str">
        <f ca="1"/>
        <v>MovieDiffractionCompensation</v>
      </c>
      <c r="K397" s="7" t="str">
        <f ca="1"/>
        <v>MovieDiffractionCompensation</v>
      </c>
      <c r="L397" s="7" t="str">
        <f ca="1"/>
        <v>MovieDiffractionCompensation</v>
      </c>
      <c r="M397" s="7" t="str">
        <f ca="1"/>
        <v/>
      </c>
      <c r="N397" s="7" t="str">
        <f ca="1"/>
        <v/>
      </c>
      <c r="O397" s="7" t="str">
        <f ca="1"/>
        <v/>
      </c>
      <c r="P397" s="7" t="str">
        <f ca="1"/>
        <v/>
      </c>
      <c r="Q397" s="7" t="str">
        <f ca="1"/>
        <v/>
      </c>
      <c r="T397" s="7" t="str">
        <f ca="1"/>
        <v>Z9</v>
      </c>
      <c r="U397" s="7" t="str">
        <f ca="1"/>
        <v>0xD053</v>
      </c>
      <c r="V397" s="7" t="str">
        <f ca="1"/>
        <v>EnableCopyright</v>
      </c>
      <c r="X397" s="8" t="s">
        <v>784</v>
      </c>
      <c r="Y397" s="8" t="s">
        <v>784</v>
      </c>
      <c r="Z397" s="8" t="s">
        <v>800</v>
      </c>
      <c r="AA397" s="8" t="s">
        <v>800</v>
      </c>
      <c r="AB397" s="7" t="s">
        <v>846</v>
      </c>
      <c r="AC397" s="7" t="s">
        <v>800</v>
      </c>
      <c r="AD397" s="7" t="s">
        <v>800</v>
      </c>
      <c r="AE397" s="7" t="s">
        <v>802</v>
      </c>
      <c r="AF397" s="7" t="s">
        <v>1687</v>
      </c>
      <c r="AG397" s="7" t="s">
        <v>776</v>
      </c>
      <c r="AH397" s="7" t="s">
        <v>1222</v>
      </c>
      <c r="AJ397" s="7" t="s">
        <v>954</v>
      </c>
    </row>
    <row r="398" spans="1:36" x14ac:dyDescent="0.25">
      <c r="A398" s="13" t="str">
        <f ca="1"/>
        <v>0xD303</v>
      </c>
      <c r="B398" s="14" t="str">
        <f ca="1"/>
        <v>UseDeviceStageFlag</v>
      </c>
      <c r="D398" s="8" t="str">
        <f ca="1"/>
        <v>UseDeviceStageFlag</v>
      </c>
      <c r="E398" s="8" t="str">
        <f ca="1"/>
        <v>UseDeviceStageFlag</v>
      </c>
      <c r="F398" s="8" t="str">
        <f ca="1"/>
        <v>UseDeviceStageFlag</v>
      </c>
      <c r="G398" s="8" t="str">
        <f ca="1"/>
        <v>UseDeviceStageFlag</v>
      </c>
      <c r="H398" s="7" t="str">
        <f ca="1"/>
        <v>UseDeviceStageFlag</v>
      </c>
      <c r="I398" s="7" t="str">
        <f ca="1"/>
        <v>UseDeviceStageFlag</v>
      </c>
      <c r="J398" s="7" t="str">
        <f ca="1"/>
        <v>UseDeviceStageFlag</v>
      </c>
      <c r="K398" s="7" t="str">
        <f ca="1"/>
        <v>UseDeviceStageFlag</v>
      </c>
      <c r="L398" s="7" t="str">
        <f ca="1"/>
        <v>UseDeviceStageFlag</v>
      </c>
      <c r="M398" s="7" t="str">
        <f ca="1"/>
        <v>UseDeviceStageFlag</v>
      </c>
      <c r="N398" s="7" t="str">
        <f ca="1"/>
        <v>UseDeviceStageFlag</v>
      </c>
      <c r="O398" s="7" t="str">
        <f ca="1"/>
        <v>UseDeviceStageFlag</v>
      </c>
      <c r="P398" s="7" t="str">
        <f ca="1"/>
        <v/>
      </c>
      <c r="Q398" s="7" t="str">
        <f ca="1"/>
        <v/>
      </c>
      <c r="T398" s="7" t="str">
        <f ca="1"/>
        <v>Z9</v>
      </c>
      <c r="U398" s="7" t="str">
        <f ca="1"/>
        <v>0xD054</v>
      </c>
      <c r="V398" s="7" t="str">
        <f ca="1"/>
        <v>ISOAutoControl</v>
      </c>
      <c r="X398" s="8" t="s">
        <v>785</v>
      </c>
      <c r="Y398" s="8" t="s">
        <v>785</v>
      </c>
      <c r="Z398" s="8" t="s">
        <v>801</v>
      </c>
      <c r="AA398" s="8" t="s">
        <v>801</v>
      </c>
      <c r="AB398" s="7" t="s">
        <v>847</v>
      </c>
      <c r="AC398" s="7" t="s">
        <v>801</v>
      </c>
      <c r="AD398" s="7" t="s">
        <v>801</v>
      </c>
      <c r="AE398" s="7" t="s">
        <v>803</v>
      </c>
      <c r="AF398" s="7" t="s">
        <v>1688</v>
      </c>
      <c r="AG398" s="7" t="s">
        <v>777</v>
      </c>
      <c r="AH398" s="7" t="s">
        <v>1223</v>
      </c>
      <c r="AJ398" s="7" t="s">
        <v>955</v>
      </c>
    </row>
    <row r="399" spans="1:36" x14ac:dyDescent="0.25">
      <c r="A399" s="13" t="str">
        <f ca="1"/>
        <v>0xD314</v>
      </c>
      <c r="B399" s="14" t="str">
        <f ca="1"/>
        <v>ElectronicVR</v>
      </c>
      <c r="D399" s="8" t="str">
        <f ca="1"/>
        <v>ElectronicVR</v>
      </c>
      <c r="E399" s="8" t="str">
        <f ca="1"/>
        <v>ElectronicVR</v>
      </c>
      <c r="F399" s="8" t="str">
        <f ca="1"/>
        <v>ElectronicVR</v>
      </c>
      <c r="G399" s="8" t="str">
        <f ca="1"/>
        <v>ElectronicVR</v>
      </c>
      <c r="H399" s="7" t="str">
        <f ca="1"/>
        <v>ElectronicVR</v>
      </c>
      <c r="I399" s="7" t="str">
        <f ca="1"/>
        <v>ElectronicVR</v>
      </c>
      <c r="J399" s="7" t="str">
        <f ca="1"/>
        <v>ElectronicVR</v>
      </c>
      <c r="K399" s="7" t="str">
        <f ca="1"/>
        <v>ElectronicVR</v>
      </c>
      <c r="L399" s="7" t="str">
        <f ca="1"/>
        <v>ElectronicVR</v>
      </c>
      <c r="M399" s="7" t="str">
        <f ca="1"/>
        <v>ElectronicVR</v>
      </c>
      <c r="N399" s="7" t="str">
        <f ca="1"/>
        <v/>
      </c>
      <c r="O399" s="7" t="str">
        <f ca="1"/>
        <v/>
      </c>
      <c r="P399" s="7" t="str">
        <f ca="1"/>
        <v/>
      </c>
      <c r="Q399" s="7" t="str">
        <f ca="1"/>
        <v/>
      </c>
      <c r="T399" s="7" t="str">
        <f ca="1"/>
        <v>Z9</v>
      </c>
      <c r="U399" s="7" t="str">
        <f ca="1"/>
        <v>0xD055</v>
      </c>
      <c r="V399" s="7" t="str">
        <f ca="1"/>
        <v>IsoStep</v>
      </c>
      <c r="X399" s="8" t="s">
        <v>786</v>
      </c>
      <c r="Y399" s="8" t="s">
        <v>786</v>
      </c>
      <c r="Z399" s="8" t="s">
        <v>802</v>
      </c>
      <c r="AA399" s="8" t="s">
        <v>802</v>
      </c>
      <c r="AB399" s="7" t="s">
        <v>1226</v>
      </c>
      <c r="AC399" s="7" t="s">
        <v>802</v>
      </c>
      <c r="AD399" s="7" t="s">
        <v>802</v>
      </c>
      <c r="AE399" s="7" t="s">
        <v>804</v>
      </c>
      <c r="AF399" s="7" t="s">
        <v>760</v>
      </c>
      <c r="AG399" s="7" t="s">
        <v>778</v>
      </c>
      <c r="AH399" s="7" t="s">
        <v>1534</v>
      </c>
    </row>
    <row r="400" spans="1:36" x14ac:dyDescent="0.25">
      <c r="A400" s="13" t="str">
        <f ca="1"/>
        <v>0xD406</v>
      </c>
      <c r="B400" s="14" t="str">
        <f ca="1"/>
        <v>SessionInitiatorVersionInfo</v>
      </c>
      <c r="D400" s="8" t="str">
        <f ca="1"/>
        <v>SessionInitiatorVersionInfo</v>
      </c>
      <c r="E400" s="8" t="str">
        <f ca="1"/>
        <v>SessionInitiatorVersionInfo</v>
      </c>
      <c r="F400" s="8" t="str">
        <f ca="1"/>
        <v>SessionInitiatorVersionInfo</v>
      </c>
      <c r="G400" s="8" t="str">
        <f ca="1"/>
        <v>SessionInitiatorVersionInfo</v>
      </c>
      <c r="H400" s="7" t="str">
        <f ca="1"/>
        <v>SessionInitiatorVersionInfo</v>
      </c>
      <c r="I400" s="7" t="str">
        <f ca="1"/>
        <v>SessionInitiatorVersionInfo</v>
      </c>
      <c r="J400" s="7" t="str">
        <f ca="1"/>
        <v>SessionInitiatorVersionInfo</v>
      </c>
      <c r="K400" s="7" t="str">
        <f ca="1"/>
        <v>SessionInitiatorVersionInfo</v>
      </c>
      <c r="L400" s="7" t="str">
        <f ca="1"/>
        <v>SessionInitiatorVersionInfo</v>
      </c>
      <c r="M400" s="7" t="str">
        <f ca="1"/>
        <v>SessionInitiatorVersionInfo</v>
      </c>
      <c r="N400" s="7" t="str">
        <f ca="1"/>
        <v>SessionInitiatorVersionInfo</v>
      </c>
      <c r="O400" s="7" t="str">
        <f ca="1"/>
        <v>SessionInitiatorVersionInfo</v>
      </c>
      <c r="P400" s="7" t="str">
        <f ca="1"/>
        <v>SessionInitiatorVersionInfo</v>
      </c>
      <c r="Q400" s="7" t="str">
        <f ca="1"/>
        <v>SessionInitiatorVersionInfo</v>
      </c>
      <c r="T400" s="7" t="str">
        <f ca="1"/>
        <v>Z9</v>
      </c>
      <c r="U400" s="7" t="str">
        <f ca="1"/>
        <v>0xD056</v>
      </c>
      <c r="V400" s="7" t="str">
        <f ca="1"/>
        <v>ExposureEVStep</v>
      </c>
      <c r="X400" s="8" t="s">
        <v>787</v>
      </c>
      <c r="Y400" s="8" t="s">
        <v>787</v>
      </c>
      <c r="Z400" s="8" t="s">
        <v>803</v>
      </c>
      <c r="AA400" s="8" t="s">
        <v>803</v>
      </c>
      <c r="AB400" s="7" t="s">
        <v>1227</v>
      </c>
      <c r="AC400" s="7" t="s">
        <v>803</v>
      </c>
      <c r="AD400" s="7" t="s">
        <v>803</v>
      </c>
      <c r="AE400" s="7" t="s">
        <v>805</v>
      </c>
      <c r="AF400" s="7" t="s">
        <v>761</v>
      </c>
      <c r="AG400" s="7" t="s">
        <v>779</v>
      </c>
      <c r="AH400" s="7" t="s">
        <v>1535</v>
      </c>
    </row>
    <row r="401" spans="1:34" x14ac:dyDescent="0.25">
      <c r="A401" s="13" t="str">
        <f ca="1"/>
        <v>0xD407</v>
      </c>
      <c r="B401" s="14" t="str">
        <f ca="1"/>
        <v>PerceivedDeviceType</v>
      </c>
      <c r="D401" s="8" t="str">
        <f ca="1"/>
        <v>PerceivedDeviceType</v>
      </c>
      <c r="E401" s="8" t="str">
        <f ca="1"/>
        <v>PerceivedDeviceType</v>
      </c>
      <c r="F401" s="8" t="str">
        <f ca="1"/>
        <v>PerceivedDeviceType</v>
      </c>
      <c r="G401" s="8" t="str">
        <f ca="1"/>
        <v>PerceivedDeviceType</v>
      </c>
      <c r="H401" s="7" t="str">
        <f ca="1"/>
        <v>PerceivedDeviceType</v>
      </c>
      <c r="I401" s="7" t="str">
        <f ca="1"/>
        <v>PerceivedDeviceType</v>
      </c>
      <c r="J401" s="7" t="str">
        <f ca="1"/>
        <v>PerceivedDeviceType</v>
      </c>
      <c r="K401" s="7" t="str">
        <f ca="1"/>
        <v>PerceivedDeviceType</v>
      </c>
      <c r="L401" s="7" t="str">
        <f ca="1"/>
        <v>PerceivedDeviceType</v>
      </c>
      <c r="M401" s="7" t="str">
        <f ca="1"/>
        <v>PerceivedDeviceType</v>
      </c>
      <c r="N401" s="7" t="str">
        <f ca="1"/>
        <v>PerceivedDeviceType</v>
      </c>
      <c r="O401" s="7" t="str">
        <f ca="1"/>
        <v>PerceivedDeviceType</v>
      </c>
      <c r="P401" s="7" t="str">
        <f ca="1"/>
        <v>PerceivedDeviceType</v>
      </c>
      <c r="Q401" s="7" t="str">
        <f ca="1"/>
        <v>PerceivedDeviceType</v>
      </c>
      <c r="T401" s="7" t="str">
        <f ca="1"/>
        <v>Z9</v>
      </c>
      <c r="U401" s="7" t="str">
        <f ca="1"/>
        <v>0xD059</v>
      </c>
      <c r="V401" s="7" t="str">
        <f ca="1"/>
        <v>CenterWeightedExRange</v>
      </c>
      <c r="X401" s="8" t="s">
        <v>788</v>
      </c>
      <c r="Y401" s="8" t="s">
        <v>788</v>
      </c>
      <c r="Z401" s="8" t="s">
        <v>804</v>
      </c>
      <c r="AA401" s="8" t="s">
        <v>804</v>
      </c>
      <c r="AB401" s="7" t="s">
        <v>856</v>
      </c>
      <c r="AC401" s="7" t="s">
        <v>804</v>
      </c>
      <c r="AD401" s="7" t="s">
        <v>804</v>
      </c>
      <c r="AE401" s="7" t="s">
        <v>806</v>
      </c>
      <c r="AF401" s="7" t="s">
        <v>762</v>
      </c>
      <c r="AG401" s="7" t="s">
        <v>780</v>
      </c>
      <c r="AH401" s="7" t="s">
        <v>836</v>
      </c>
    </row>
    <row r="402" spans="1:34" x14ac:dyDescent="0.25">
      <c r="A402" s="13" t="str">
        <f ca="1"/>
        <v>0x0001D000</v>
      </c>
      <c r="B402" s="14" t="str">
        <f ca="1"/>
        <v>MovieProResToneMode</v>
      </c>
      <c r="D402" s="8" t="str">
        <f ca="1"/>
        <v>MovieProResToneMode</v>
      </c>
      <c r="E402" s="8" t="str">
        <f ca="1"/>
        <v>MovieProResToneMode</v>
      </c>
      <c r="F402" s="8" t="str">
        <f ca="1"/>
        <v/>
      </c>
      <c r="G402" s="8" t="str">
        <f ca="1"/>
        <v/>
      </c>
      <c r="H402" s="7" t="str">
        <f ca="1"/>
        <v/>
      </c>
      <c r="I402" s="7" t="str">
        <f ca="1"/>
        <v/>
      </c>
      <c r="J402" s="7" t="str">
        <f ca="1"/>
        <v/>
      </c>
      <c r="K402" s="7" t="str">
        <f ca="1"/>
        <v/>
      </c>
      <c r="L402" s="7" t="str">
        <f ca="1"/>
        <v/>
      </c>
      <c r="M402" s="7" t="str">
        <f ca="1"/>
        <v/>
      </c>
      <c r="N402" s="7" t="str">
        <f ca="1"/>
        <v/>
      </c>
      <c r="O402" s="7" t="str">
        <f ca="1"/>
        <v/>
      </c>
      <c r="P402" s="7" t="str">
        <f ca="1"/>
        <v/>
      </c>
      <c r="Q402" s="7" t="str">
        <f ca="1"/>
        <v/>
      </c>
      <c r="T402" s="7" t="str">
        <f ca="1"/>
        <v>Z9</v>
      </c>
      <c r="U402" s="7" t="str">
        <f ca="1"/>
        <v>0xD05A</v>
      </c>
      <c r="V402" s="7" t="str">
        <f ca="1"/>
        <v>ExposureBaseCompMatrix</v>
      </c>
      <c r="X402" s="8" t="s">
        <v>789</v>
      </c>
      <c r="Y402" s="8" t="s">
        <v>789</v>
      </c>
      <c r="Z402" s="8" t="s">
        <v>805</v>
      </c>
      <c r="AA402" s="8" t="s">
        <v>805</v>
      </c>
      <c r="AB402" s="7" t="s">
        <v>857</v>
      </c>
      <c r="AC402" s="7" t="s">
        <v>805</v>
      </c>
      <c r="AD402" s="7" t="s">
        <v>805</v>
      </c>
      <c r="AE402" s="7" t="s">
        <v>807</v>
      </c>
      <c r="AF402" s="7" t="s">
        <v>763</v>
      </c>
      <c r="AG402" s="7" t="s">
        <v>781</v>
      </c>
      <c r="AH402" s="7" t="s">
        <v>837</v>
      </c>
    </row>
    <row r="403" spans="1:34" x14ac:dyDescent="0.25">
      <c r="A403" s="13" t="str">
        <f ca="1"/>
        <v>0x0001D001</v>
      </c>
      <c r="B403" s="14" t="str">
        <f ca="1"/>
        <v>MovieH265ToneMode</v>
      </c>
      <c r="D403" s="8" t="str">
        <f ca="1"/>
        <v>MovieH265ToneMode</v>
      </c>
      <c r="E403" s="8" t="str">
        <f ca="1"/>
        <v>MovieH265ToneMode</v>
      </c>
      <c r="F403" s="8" t="str">
        <f ca="1"/>
        <v/>
      </c>
      <c r="G403" s="8" t="str">
        <f ca="1"/>
        <v/>
      </c>
      <c r="H403" s="7" t="str">
        <f ca="1"/>
        <v/>
      </c>
      <c r="I403" s="7" t="str">
        <f ca="1"/>
        <v/>
      </c>
      <c r="J403" s="7" t="str">
        <f ca="1"/>
        <v/>
      </c>
      <c r="K403" s="7" t="str">
        <f ca="1"/>
        <v/>
      </c>
      <c r="L403" s="7" t="str">
        <f ca="1"/>
        <v/>
      </c>
      <c r="M403" s="7" t="str">
        <f ca="1"/>
        <v/>
      </c>
      <c r="N403" s="7" t="str">
        <f ca="1"/>
        <v/>
      </c>
      <c r="O403" s="7" t="str">
        <f ca="1"/>
        <v/>
      </c>
      <c r="P403" s="7" t="str">
        <f ca="1"/>
        <v/>
      </c>
      <c r="Q403" s="7" t="str">
        <f ca="1"/>
        <v/>
      </c>
      <c r="T403" s="7" t="str">
        <f ca="1"/>
        <v>Z9</v>
      </c>
      <c r="U403" s="7" t="str">
        <f ca="1"/>
        <v>0xD05B</v>
      </c>
      <c r="V403" s="7" t="str">
        <f ca="1"/>
        <v>ExposureBaseCompCenter</v>
      </c>
      <c r="X403" s="8" t="s">
        <v>790</v>
      </c>
      <c r="Y403" s="8" t="s">
        <v>790</v>
      </c>
      <c r="Z403" s="8" t="s">
        <v>806</v>
      </c>
      <c r="AA403" s="8" t="s">
        <v>806</v>
      </c>
      <c r="AB403" s="7" t="s">
        <v>1228</v>
      </c>
      <c r="AC403" s="7" t="s">
        <v>810</v>
      </c>
      <c r="AD403" s="7" t="s">
        <v>810</v>
      </c>
      <c r="AE403" s="7" t="s">
        <v>810</v>
      </c>
      <c r="AF403" s="7" t="s">
        <v>764</v>
      </c>
      <c r="AG403" s="7" t="s">
        <v>782</v>
      </c>
      <c r="AH403" s="7" t="s">
        <v>838</v>
      </c>
    </row>
    <row r="404" spans="1:34" x14ac:dyDescent="0.25">
      <c r="A404" s="13" t="str">
        <f ca="1"/>
        <v>0x0001D002</v>
      </c>
      <c r="B404" s="14" t="str">
        <f ca="1"/>
        <v>SpecialShootingMode</v>
      </c>
      <c r="D404" s="8" t="str">
        <f ca="1"/>
        <v>SpecialShootingMode</v>
      </c>
      <c r="E404" s="8" t="str">
        <f ca="1"/>
        <v>SpecialShootingMode</v>
      </c>
      <c r="F404" s="8" t="str">
        <f ca="1"/>
        <v/>
      </c>
      <c r="G404" s="8" t="str">
        <f ca="1"/>
        <v/>
      </c>
      <c r="H404" s="7" t="str">
        <f ca="1"/>
        <v/>
      </c>
      <c r="I404" s="7" t="str">
        <f ca="1"/>
        <v/>
      </c>
      <c r="J404" s="7" t="str">
        <f ca="1"/>
        <v/>
      </c>
      <c r="K404" s="7" t="str">
        <f ca="1"/>
        <v/>
      </c>
      <c r="L404" s="7" t="str">
        <f ca="1"/>
        <v/>
      </c>
      <c r="M404" s="7" t="str">
        <f ca="1"/>
        <v/>
      </c>
      <c r="N404" s="7" t="str">
        <f ca="1"/>
        <v/>
      </c>
      <c r="O404" s="7" t="str">
        <f ca="1"/>
        <v/>
      </c>
      <c r="P404" s="7" t="str">
        <f ca="1"/>
        <v/>
      </c>
      <c r="Q404" s="7" t="str">
        <f ca="1"/>
        <v/>
      </c>
      <c r="T404" s="7" t="str">
        <f ca="1"/>
        <v>Z9</v>
      </c>
      <c r="U404" s="7" t="str">
        <f ca="1"/>
        <v>0xD05C</v>
      </c>
      <c r="V404" s="7" t="str">
        <f ca="1"/>
        <v>ExposureBaseCompSpot</v>
      </c>
      <c r="X404" s="8" t="s">
        <v>791</v>
      </c>
      <c r="Y404" s="8" t="s">
        <v>791</v>
      </c>
      <c r="Z404" s="8" t="s">
        <v>807</v>
      </c>
      <c r="AA404" s="8" t="s">
        <v>807</v>
      </c>
      <c r="AB404" s="7" t="s">
        <v>1229</v>
      </c>
      <c r="AC404" s="7" t="s">
        <v>811</v>
      </c>
      <c r="AD404" s="7" t="s">
        <v>811</v>
      </c>
      <c r="AE404" s="7" t="s">
        <v>811</v>
      </c>
      <c r="AF404" s="7" t="s">
        <v>765</v>
      </c>
      <c r="AG404" s="7" t="s">
        <v>783</v>
      </c>
      <c r="AH404" s="7" t="s">
        <v>839</v>
      </c>
    </row>
    <row r="405" spans="1:34" x14ac:dyDescent="0.25">
      <c r="A405" s="13" t="str">
        <f ca="1"/>
        <v>0x0001D005</v>
      </c>
      <c r="B405" s="14" t="str">
        <f ca="1"/>
        <v>AFSubjectDetection</v>
      </c>
      <c r="D405" s="8" t="str">
        <f ca="1"/>
        <v>AFSubjectDetection</v>
      </c>
      <c r="E405" s="8" t="str">
        <f ca="1"/>
        <v>AFSubjectDetection</v>
      </c>
      <c r="F405" s="8" t="str">
        <f ca="1"/>
        <v/>
      </c>
      <c r="G405" s="8" t="str">
        <f ca="1"/>
        <v/>
      </c>
      <c r="H405" s="7" t="str">
        <f ca="1"/>
        <v/>
      </c>
      <c r="I405" s="7" t="str">
        <f ca="1"/>
        <v/>
      </c>
      <c r="J405" s="7" t="str">
        <f ca="1"/>
        <v/>
      </c>
      <c r="K405" s="7" t="str">
        <f ca="1"/>
        <v/>
      </c>
      <c r="L405" s="7" t="str">
        <f ca="1"/>
        <v/>
      </c>
      <c r="M405" s="7" t="str">
        <f ca="1"/>
        <v/>
      </c>
      <c r="N405" s="7" t="str">
        <f ca="1"/>
        <v/>
      </c>
      <c r="O405" s="7" t="str">
        <f ca="1"/>
        <v/>
      </c>
      <c r="P405" s="7" t="str">
        <f ca="1"/>
        <v/>
      </c>
      <c r="Q405" s="7" t="str">
        <f ca="1"/>
        <v/>
      </c>
      <c r="T405" s="7" t="str">
        <f ca="1"/>
        <v>Z9</v>
      </c>
      <c r="U405" s="7" t="str">
        <f ca="1"/>
        <v>0xD05D</v>
      </c>
      <c r="V405" s="7" t="str">
        <f ca="1"/>
        <v>StillFocusMeteringMode</v>
      </c>
      <c r="X405" s="8" t="s">
        <v>792</v>
      </c>
      <c r="Y405" s="8" t="s">
        <v>792</v>
      </c>
      <c r="Z405" s="8" t="s">
        <v>810</v>
      </c>
      <c r="AA405" s="8" t="s">
        <v>810</v>
      </c>
      <c r="AB405" s="7" t="s">
        <v>1537</v>
      </c>
      <c r="AC405" s="7" t="s">
        <v>812</v>
      </c>
      <c r="AD405" s="7" t="s">
        <v>812</v>
      </c>
      <c r="AE405" s="7" t="s">
        <v>812</v>
      </c>
      <c r="AF405" s="7" t="s">
        <v>1689</v>
      </c>
      <c r="AG405" s="7" t="s">
        <v>784</v>
      </c>
      <c r="AH405" s="7" t="s">
        <v>840</v>
      </c>
    </row>
    <row r="406" spans="1:34" x14ac:dyDescent="0.25">
      <c r="A406" s="13" t="str">
        <f ca="1"/>
        <v>0x0001D006</v>
      </c>
      <c r="B406" s="14" t="str">
        <f ca="1"/>
        <v>MovieAFSubjectDetection</v>
      </c>
      <c r="D406" s="8" t="str">
        <f ca="1"/>
        <v>MovieAFSubjectDetection</v>
      </c>
      <c r="E406" s="8" t="str">
        <f ca="1"/>
        <v>MovieAFSubjectDetection</v>
      </c>
      <c r="F406" s="8" t="str">
        <f ca="1"/>
        <v/>
      </c>
      <c r="G406" s="8" t="str">
        <f ca="1"/>
        <v/>
      </c>
      <c r="H406" s="7" t="str">
        <f ca="1"/>
        <v/>
      </c>
      <c r="I406" s="7" t="str">
        <f ca="1"/>
        <v/>
      </c>
      <c r="J406" s="7" t="str">
        <f ca="1"/>
        <v/>
      </c>
      <c r="K406" s="7" t="str">
        <f ca="1"/>
        <v/>
      </c>
      <c r="L406" s="7" t="str">
        <f ca="1"/>
        <v/>
      </c>
      <c r="M406" s="7" t="str">
        <f ca="1"/>
        <v/>
      </c>
      <c r="N406" s="7" t="str">
        <f ca="1"/>
        <v/>
      </c>
      <c r="O406" s="7" t="str">
        <f ca="1"/>
        <v/>
      </c>
      <c r="P406" s="7" t="str">
        <f ca="1"/>
        <v/>
      </c>
      <c r="Q406" s="7" t="str">
        <f ca="1"/>
        <v/>
      </c>
      <c r="T406" s="7" t="str">
        <f ca="1"/>
        <v>Z9</v>
      </c>
      <c r="U406" s="7" t="str">
        <f ca="1"/>
        <v>0xD060</v>
      </c>
      <c r="V406" s="7" t="str">
        <f ca="1"/>
        <v>IPTCPresetSelect</v>
      </c>
      <c r="X406" s="8" t="s">
        <v>793</v>
      </c>
      <c r="Y406" s="8" t="s">
        <v>793</v>
      </c>
      <c r="Z406" s="8" t="s">
        <v>811</v>
      </c>
      <c r="AA406" s="8" t="s">
        <v>811</v>
      </c>
      <c r="AB406" s="7" t="s">
        <v>1538</v>
      </c>
      <c r="AC406" s="7" t="s">
        <v>813</v>
      </c>
      <c r="AD406" s="7" t="s">
        <v>813</v>
      </c>
      <c r="AE406" s="7" t="s">
        <v>813</v>
      </c>
      <c r="AF406" s="7" t="s">
        <v>1690</v>
      </c>
      <c r="AG406" s="7" t="s">
        <v>785</v>
      </c>
      <c r="AH406" s="7" t="s">
        <v>841</v>
      </c>
    </row>
    <row r="407" spans="1:34" x14ac:dyDescent="0.25">
      <c r="A407" s="13" t="str">
        <f ca="1"/>
        <v>0x0001D007</v>
      </c>
      <c r="B407" s="14" t="str">
        <f ca="1"/>
        <v>ViewModeEaseOfViewing</v>
      </c>
      <c r="D407" s="8" t="str">
        <f ca="1"/>
        <v>ViewModeEaseOfViewing</v>
      </c>
      <c r="E407" s="8" t="str">
        <f ca="1"/>
        <v>ViewModeEaseOfViewing</v>
      </c>
      <c r="F407" s="8" t="str">
        <f ca="1"/>
        <v/>
      </c>
      <c r="G407" s="8" t="str">
        <f ca="1"/>
        <v/>
      </c>
      <c r="H407" s="7" t="str">
        <f ca="1"/>
        <v/>
      </c>
      <c r="I407" s="7" t="str">
        <f ca="1"/>
        <v/>
      </c>
      <c r="J407" s="7" t="str">
        <f ca="1"/>
        <v/>
      </c>
      <c r="K407" s="7" t="str">
        <f ca="1"/>
        <v/>
      </c>
      <c r="L407" s="7" t="str">
        <f ca="1"/>
        <v/>
      </c>
      <c r="M407" s="7" t="str">
        <f ca="1"/>
        <v/>
      </c>
      <c r="N407" s="7" t="str">
        <f ca="1"/>
        <v/>
      </c>
      <c r="O407" s="7" t="str">
        <f ca="1"/>
        <v/>
      </c>
      <c r="P407" s="7" t="str">
        <f ca="1"/>
        <v/>
      </c>
      <c r="Q407" s="7" t="str">
        <f ca="1"/>
        <v/>
      </c>
      <c r="T407" s="7" t="str">
        <f ca="1"/>
        <v>Z9</v>
      </c>
      <c r="U407" s="7" t="str">
        <f ca="1"/>
        <v>0xD061</v>
      </c>
      <c r="V407" s="7" t="str">
        <f ca="1"/>
        <v>StillFocusMode</v>
      </c>
      <c r="X407" s="8" t="s">
        <v>794</v>
      </c>
      <c r="Y407" s="8" t="s">
        <v>794</v>
      </c>
      <c r="Z407" s="8" t="s">
        <v>812</v>
      </c>
      <c r="AA407" s="8" t="s">
        <v>812</v>
      </c>
      <c r="AB407" s="7" t="s">
        <v>860</v>
      </c>
      <c r="AC407" s="7" t="s">
        <v>814</v>
      </c>
      <c r="AD407" s="7" t="s">
        <v>814</v>
      </c>
      <c r="AE407" s="7" t="s">
        <v>814</v>
      </c>
      <c r="AF407" s="7" t="s">
        <v>1218</v>
      </c>
      <c r="AG407" s="7" t="s">
        <v>1220</v>
      </c>
      <c r="AH407" s="7" t="s">
        <v>856</v>
      </c>
    </row>
    <row r="408" spans="1:34" x14ac:dyDescent="0.25">
      <c r="A408" s="13" t="str">
        <f ca="1"/>
        <v>0x0001D008</v>
      </c>
      <c r="B408" s="14" t="str">
        <f ca="1"/>
        <v>ViewModeWhiteBalance</v>
      </c>
      <c r="D408" s="8" t="str">
        <f ca="1"/>
        <v>ViewModeWhiteBalance</v>
      </c>
      <c r="E408" s="8" t="str">
        <f ca="1"/>
        <v>ViewModeWhiteBalance</v>
      </c>
      <c r="F408" s="8" t="str">
        <f ca="1"/>
        <v/>
      </c>
      <c r="G408" s="8" t="str">
        <f ca="1"/>
        <v/>
      </c>
      <c r="H408" s="7" t="str">
        <f ca="1"/>
        <v/>
      </c>
      <c r="I408" s="7" t="str">
        <f ca="1"/>
        <v/>
      </c>
      <c r="J408" s="7" t="str">
        <f ca="1"/>
        <v/>
      </c>
      <c r="K408" s="7" t="str">
        <f ca="1"/>
        <v/>
      </c>
      <c r="L408" s="7" t="str">
        <f ca="1"/>
        <v/>
      </c>
      <c r="M408" s="7" t="str">
        <f ca="1"/>
        <v/>
      </c>
      <c r="N408" s="7" t="str">
        <f ca="1"/>
        <v/>
      </c>
      <c r="O408" s="7" t="str">
        <f ca="1"/>
        <v/>
      </c>
      <c r="P408" s="7" t="str">
        <f ca="1"/>
        <v/>
      </c>
      <c r="Q408" s="7" t="str">
        <f ca="1"/>
        <v/>
      </c>
      <c r="T408" s="7" t="str">
        <f ca="1"/>
        <v>Z9</v>
      </c>
      <c r="U408" s="7" t="str">
        <f ca="1"/>
        <v>0xD067</v>
      </c>
      <c r="V408" s="7" t="str">
        <f ca="1"/>
        <v>AngleLevel</v>
      </c>
      <c r="X408" s="8" t="s">
        <v>795</v>
      </c>
      <c r="Y408" s="8" t="s">
        <v>795</v>
      </c>
      <c r="Z408" s="8" t="s">
        <v>813</v>
      </c>
      <c r="AA408" s="8" t="s">
        <v>813</v>
      </c>
      <c r="AB408" s="7" t="s">
        <v>861</v>
      </c>
      <c r="AC408" s="7" t="s">
        <v>815</v>
      </c>
      <c r="AD408" s="7" t="s">
        <v>815</v>
      </c>
      <c r="AE408" s="7" t="s">
        <v>815</v>
      </c>
      <c r="AF408" s="7" t="s">
        <v>1219</v>
      </c>
      <c r="AG408" s="7" t="s">
        <v>1529</v>
      </c>
      <c r="AH408" s="7" t="s">
        <v>857</v>
      </c>
    </row>
    <row r="409" spans="1:34" x14ac:dyDescent="0.25">
      <c r="A409" s="13" t="str">
        <f ca="1"/>
        <v>0x0001D009</v>
      </c>
      <c r="B409" s="14" t="str">
        <f ca="1"/>
        <v>ViewModeWbColorTemp</v>
      </c>
      <c r="D409" s="8" t="str">
        <f ca="1"/>
        <v>ViewModeWbColorTemp</v>
      </c>
      <c r="E409" s="8" t="str">
        <f ca="1"/>
        <v>ViewModeWbColorTemp</v>
      </c>
      <c r="F409" s="8" t="str">
        <f ca="1"/>
        <v/>
      </c>
      <c r="G409" s="8" t="str">
        <f ca="1"/>
        <v/>
      </c>
      <c r="H409" s="7" t="str">
        <f ca="1"/>
        <v/>
      </c>
      <c r="I409" s="7" t="str">
        <f ca="1"/>
        <v/>
      </c>
      <c r="J409" s="7" t="str">
        <f ca="1"/>
        <v/>
      </c>
      <c r="K409" s="7" t="str">
        <f ca="1"/>
        <v/>
      </c>
      <c r="L409" s="7" t="str">
        <f ca="1"/>
        <v/>
      </c>
      <c r="M409" s="7" t="str">
        <f ca="1"/>
        <v/>
      </c>
      <c r="N409" s="7" t="str">
        <f ca="1"/>
        <v/>
      </c>
      <c r="O409" s="7" t="str">
        <f ca="1"/>
        <v/>
      </c>
      <c r="P409" s="7" t="str">
        <f ca="1"/>
        <v/>
      </c>
      <c r="Q409" s="7" t="str">
        <f ca="1"/>
        <v/>
      </c>
      <c r="T409" s="7" t="str">
        <f ca="1"/>
        <v>Z9</v>
      </c>
      <c r="U409" s="7" t="str">
        <f ca="1"/>
        <v>0xD068</v>
      </c>
      <c r="V409" s="7" t="str">
        <f ca="1"/>
        <v>CspeedLow</v>
      </c>
      <c r="X409" s="8" t="s">
        <v>796</v>
      </c>
      <c r="Y409" s="8" t="s">
        <v>796</v>
      </c>
      <c r="Z409" s="8" t="s">
        <v>814</v>
      </c>
      <c r="AA409" s="8" t="s">
        <v>814</v>
      </c>
      <c r="AB409" s="7" t="s">
        <v>862</v>
      </c>
      <c r="AC409" s="7" t="s">
        <v>816</v>
      </c>
      <c r="AD409" s="7" t="s">
        <v>816</v>
      </c>
      <c r="AE409" s="7" t="s">
        <v>816</v>
      </c>
      <c r="AF409" s="7" t="s">
        <v>766</v>
      </c>
      <c r="AG409" s="7" t="s">
        <v>786</v>
      </c>
      <c r="AH409" s="7" t="s">
        <v>1723</v>
      </c>
    </row>
    <row r="410" spans="1:34" x14ac:dyDescent="0.25">
      <c r="A410" s="13" t="str">
        <f ca="1"/>
        <v>0x0001D00A</v>
      </c>
      <c r="B410" s="14" t="str">
        <f ca="1"/>
        <v>ViewModeWbTuneColorTemp</v>
      </c>
      <c r="D410" s="8" t="str">
        <f ca="1"/>
        <v>ViewModeWbTuneColorTemp</v>
      </c>
      <c r="E410" s="8" t="str">
        <f ca="1"/>
        <v>ViewModeWbTuneColorTemp</v>
      </c>
      <c r="F410" s="8" t="str">
        <f ca="1"/>
        <v/>
      </c>
      <c r="G410" s="8" t="str">
        <f ca="1"/>
        <v/>
      </c>
      <c r="H410" s="7" t="str">
        <f ca="1"/>
        <v/>
      </c>
      <c r="I410" s="7" t="str">
        <f ca="1"/>
        <v/>
      </c>
      <c r="J410" s="7" t="str">
        <f ca="1"/>
        <v/>
      </c>
      <c r="K410" s="7" t="str">
        <f ca="1"/>
        <v/>
      </c>
      <c r="L410" s="7" t="str">
        <f ca="1"/>
        <v/>
      </c>
      <c r="M410" s="7" t="str">
        <f ca="1"/>
        <v/>
      </c>
      <c r="N410" s="7" t="str">
        <f ca="1"/>
        <v/>
      </c>
      <c r="O410" s="7" t="str">
        <f ca="1"/>
        <v/>
      </c>
      <c r="P410" s="7" t="str">
        <f ca="1"/>
        <v/>
      </c>
      <c r="Q410" s="7" t="str">
        <f ca="1"/>
        <v/>
      </c>
      <c r="T410" s="7" t="str">
        <f ca="1"/>
        <v>Z9</v>
      </c>
      <c r="U410" s="7" t="str">
        <f ca="1"/>
        <v>0xD069</v>
      </c>
      <c r="V410" s="7" t="str">
        <f ca="1"/>
        <v>BurstMaxNumber</v>
      </c>
      <c r="X410" s="8" t="s">
        <v>797</v>
      </c>
      <c r="Y410" s="8" t="s">
        <v>797</v>
      </c>
      <c r="Z410" s="8" t="s">
        <v>815</v>
      </c>
      <c r="AA410" s="8" t="s">
        <v>815</v>
      </c>
      <c r="AB410" s="7" t="s">
        <v>863</v>
      </c>
      <c r="AC410" s="7" t="s">
        <v>817</v>
      </c>
      <c r="AD410" s="7" t="s">
        <v>817</v>
      </c>
      <c r="AE410" s="7" t="s">
        <v>817</v>
      </c>
      <c r="AF410" s="7" t="s">
        <v>767</v>
      </c>
      <c r="AG410" s="7" t="s">
        <v>787</v>
      </c>
      <c r="AH410" s="7" t="s">
        <v>1724</v>
      </c>
    </row>
    <row r="411" spans="1:34" x14ac:dyDescent="0.25">
      <c r="A411" s="13" t="str">
        <f ca="1"/>
        <v>0x0001D00B</v>
      </c>
      <c r="B411" s="14" t="str">
        <f ca="1"/>
        <v>ViewModePictureControl</v>
      </c>
      <c r="D411" s="8" t="str">
        <f ca="1"/>
        <v>ViewModePictureControl</v>
      </c>
      <c r="E411" s="8" t="str">
        <f ca="1"/>
        <v>ViewModePictureControl</v>
      </c>
      <c r="F411" s="8" t="str">
        <f ca="1"/>
        <v/>
      </c>
      <c r="G411" s="8" t="str">
        <f ca="1"/>
        <v/>
      </c>
      <c r="H411" s="7" t="str">
        <f ca="1"/>
        <v/>
      </c>
      <c r="I411" s="7" t="str">
        <f ca="1"/>
        <v/>
      </c>
      <c r="J411" s="7" t="str">
        <f ca="1"/>
        <v/>
      </c>
      <c r="K411" s="7" t="str">
        <f ca="1"/>
        <v/>
      </c>
      <c r="L411" s="7" t="str">
        <f ca="1"/>
        <v/>
      </c>
      <c r="M411" s="7" t="str">
        <f ca="1"/>
        <v/>
      </c>
      <c r="N411" s="7" t="str">
        <f ca="1"/>
        <v/>
      </c>
      <c r="O411" s="7" t="str">
        <f ca="1"/>
        <v/>
      </c>
      <c r="P411" s="7" t="str">
        <f ca="1"/>
        <v/>
      </c>
      <c r="Q411" s="7" t="str">
        <f ca="1"/>
        <v/>
      </c>
      <c r="T411" s="7" t="str">
        <f ca="1"/>
        <v>Z9</v>
      </c>
      <c r="U411" s="7" t="str">
        <f ca="1"/>
        <v>0xD06A</v>
      </c>
      <c r="V411" s="7" t="str">
        <f ca="1"/>
        <v>ExposureDelay</v>
      </c>
      <c r="X411" s="8" t="s">
        <v>798</v>
      </c>
      <c r="Y411" s="8" t="s">
        <v>798</v>
      </c>
      <c r="Z411" s="8" t="s">
        <v>816</v>
      </c>
      <c r="AA411" s="8" t="s">
        <v>816</v>
      </c>
      <c r="AB411" s="7" t="s">
        <v>864</v>
      </c>
      <c r="AC411" s="7" t="s">
        <v>818</v>
      </c>
      <c r="AD411" s="7" t="s">
        <v>818</v>
      </c>
      <c r="AE411" s="7" t="s">
        <v>818</v>
      </c>
      <c r="AF411" s="7" t="s">
        <v>768</v>
      </c>
      <c r="AG411" s="7" t="s">
        <v>788</v>
      </c>
      <c r="AH411" s="7" t="s">
        <v>948</v>
      </c>
    </row>
    <row r="412" spans="1:34" x14ac:dyDescent="0.25">
      <c r="A412" s="13" t="str">
        <f ca="1"/>
        <v>0x0001D00C</v>
      </c>
      <c r="B412" s="14" t="str">
        <f ca="1"/>
        <v>ViewModeBrightenShadow</v>
      </c>
      <c r="D412" s="8" t="str">
        <f ca="1"/>
        <v>ViewModeBrightenShadow</v>
      </c>
      <c r="E412" s="8" t="str">
        <f ca="1"/>
        <v>ViewModeBrightenShadow</v>
      </c>
      <c r="F412" s="8" t="str">
        <f ca="1"/>
        <v/>
      </c>
      <c r="G412" s="8" t="str">
        <f ca="1"/>
        <v/>
      </c>
      <c r="H412" s="7" t="str">
        <f ca="1"/>
        <v/>
      </c>
      <c r="I412" s="7" t="str">
        <f ca="1"/>
        <v/>
      </c>
      <c r="J412" s="7" t="str">
        <f ca="1"/>
        <v/>
      </c>
      <c r="K412" s="7" t="str">
        <f ca="1"/>
        <v/>
      </c>
      <c r="L412" s="7" t="str">
        <f ca="1"/>
        <v/>
      </c>
      <c r="M412" s="7" t="str">
        <f ca="1"/>
        <v/>
      </c>
      <c r="N412" s="7" t="str">
        <f ca="1"/>
        <v/>
      </c>
      <c r="O412" s="7" t="str">
        <f ca="1"/>
        <v/>
      </c>
      <c r="P412" s="7" t="str">
        <f ca="1"/>
        <v/>
      </c>
      <c r="Q412" s="7" t="str">
        <f ca="1"/>
        <v/>
      </c>
      <c r="T412" s="7" t="str">
        <f ca="1"/>
        <v>Z9</v>
      </c>
      <c r="U412" s="7" t="str">
        <f ca="1"/>
        <v>0xD06B</v>
      </c>
      <c r="V412" s="7" t="str">
        <f ca="1"/>
        <v>NoiseReduction</v>
      </c>
      <c r="X412" s="8" t="s">
        <v>799</v>
      </c>
      <c r="Y412" s="8" t="s">
        <v>799</v>
      </c>
      <c r="Z412" s="8" t="s">
        <v>817</v>
      </c>
      <c r="AA412" s="8" t="s">
        <v>817</v>
      </c>
      <c r="AB412" s="7" t="s">
        <v>865</v>
      </c>
      <c r="AC412" s="7" t="s">
        <v>819</v>
      </c>
      <c r="AD412" s="7" t="s">
        <v>819</v>
      </c>
      <c r="AE412" s="7" t="s">
        <v>819</v>
      </c>
      <c r="AF412" s="7" t="s">
        <v>769</v>
      </c>
      <c r="AG412" s="7" t="s">
        <v>789</v>
      </c>
      <c r="AH412" s="7" t="s">
        <v>949</v>
      </c>
    </row>
    <row r="413" spans="1:34" x14ac:dyDescent="0.25">
      <c r="A413" s="13" t="str">
        <f ca="1"/>
        <v>0x0001D00E</v>
      </c>
      <c r="B413" s="14" t="str">
        <f ca="1"/>
        <v>StarlightView</v>
      </c>
      <c r="D413" s="8" t="str">
        <f ca="1"/>
        <v>StarlightView</v>
      </c>
      <c r="E413" s="8" t="str">
        <f ca="1"/>
        <v>StarlightView</v>
      </c>
      <c r="F413" s="8" t="str">
        <f ca="1"/>
        <v/>
      </c>
      <c r="G413" s="8" t="str">
        <f ca="1"/>
        <v/>
      </c>
      <c r="H413" s="7" t="str">
        <f ca="1"/>
        <v/>
      </c>
      <c r="I413" s="7" t="str">
        <f ca="1"/>
        <v/>
      </c>
      <c r="J413" s="7" t="str">
        <f ca="1"/>
        <v/>
      </c>
      <c r="K413" s="7" t="str">
        <f ca="1"/>
        <v/>
      </c>
      <c r="L413" s="7" t="str">
        <f ca="1"/>
        <v/>
      </c>
      <c r="M413" s="7" t="str">
        <f ca="1"/>
        <v/>
      </c>
      <c r="N413" s="7" t="str">
        <f ca="1"/>
        <v/>
      </c>
      <c r="O413" s="7" t="str">
        <f ca="1"/>
        <v/>
      </c>
      <c r="P413" s="7" t="str">
        <f ca="1"/>
        <v/>
      </c>
      <c r="Q413" s="7" t="str">
        <f ca="1"/>
        <v/>
      </c>
      <c r="T413" s="7" t="str">
        <f ca="1"/>
        <v>Z9</v>
      </c>
      <c r="U413" s="7" t="str">
        <f ca="1"/>
        <v>0xD06C</v>
      </c>
      <c r="V413" s="7" t="str">
        <f ca="1"/>
        <v>NumberingMode</v>
      </c>
      <c r="X413" s="8" t="s">
        <v>800</v>
      </c>
      <c r="Y413" s="8" t="s">
        <v>800</v>
      </c>
      <c r="Z413" s="8" t="s">
        <v>818</v>
      </c>
      <c r="AA413" s="8" t="s">
        <v>818</v>
      </c>
      <c r="AB413" s="7" t="s">
        <v>866</v>
      </c>
      <c r="AC413" s="7" t="s">
        <v>820</v>
      </c>
      <c r="AD413" s="7" t="s">
        <v>820</v>
      </c>
      <c r="AE413" s="7" t="s">
        <v>820</v>
      </c>
      <c r="AF413" s="7" t="s">
        <v>770</v>
      </c>
      <c r="AG413" s="7" t="s">
        <v>790</v>
      </c>
      <c r="AH413" s="7" t="s">
        <v>952</v>
      </c>
    </row>
    <row r="414" spans="1:34" x14ac:dyDescent="0.25">
      <c r="A414" s="13" t="str">
        <f ca="1"/>
        <v>0x0001D00F</v>
      </c>
      <c r="B414" s="14" t="str">
        <f ca="1"/>
        <v>MovieTVLockSetting</v>
      </c>
      <c r="D414" s="8" t="str">
        <f ca="1"/>
        <v>MovieTVLockSetting</v>
      </c>
      <c r="E414" s="8" t="str">
        <f ca="1"/>
        <v>MovieTVLockSetting</v>
      </c>
      <c r="F414" s="8" t="str">
        <f ca="1"/>
        <v/>
      </c>
      <c r="G414" s="8" t="str">
        <f ca="1"/>
        <v/>
      </c>
      <c r="H414" s="7" t="str">
        <f ca="1"/>
        <v/>
      </c>
      <c r="I414" s="7" t="str">
        <f ca="1"/>
        <v/>
      </c>
      <c r="J414" s="7" t="str">
        <f ca="1"/>
        <v/>
      </c>
      <c r="K414" s="7" t="str">
        <f ca="1"/>
        <v/>
      </c>
      <c r="L414" s="7" t="str">
        <f ca="1"/>
        <v/>
      </c>
      <c r="M414" s="7" t="str">
        <f ca="1"/>
        <v/>
      </c>
      <c r="N414" s="7" t="str">
        <f ca="1"/>
        <v/>
      </c>
      <c r="O414" s="7" t="str">
        <f ca="1"/>
        <v/>
      </c>
      <c r="P414" s="7" t="str">
        <f ca="1"/>
        <v/>
      </c>
      <c r="Q414" s="7" t="str">
        <f ca="1"/>
        <v/>
      </c>
      <c r="T414" s="7" t="str">
        <f ca="1"/>
        <v>Z9</v>
      </c>
      <c r="U414" s="7" t="str">
        <f ca="1"/>
        <v>0xD070</v>
      </c>
      <c r="V414" s="7" t="str">
        <f ca="1"/>
        <v>NoiseReductionHiIso</v>
      </c>
      <c r="X414" s="8" t="s">
        <v>801</v>
      </c>
      <c r="Y414" s="8" t="s">
        <v>801</v>
      </c>
      <c r="Z414" s="8" t="s">
        <v>819</v>
      </c>
      <c r="AA414" s="8" t="s">
        <v>819</v>
      </c>
      <c r="AB414" s="7" t="s">
        <v>867</v>
      </c>
      <c r="AC414" s="7" t="s">
        <v>821</v>
      </c>
      <c r="AD414" s="7" t="s">
        <v>821</v>
      </c>
      <c r="AE414" s="7" t="s">
        <v>821</v>
      </c>
      <c r="AF414" s="7" t="s">
        <v>771</v>
      </c>
      <c r="AG414" s="7" t="s">
        <v>791</v>
      </c>
      <c r="AH414" s="7" t="s">
        <v>953</v>
      </c>
    </row>
    <row r="415" spans="1:34" x14ac:dyDescent="0.25">
      <c r="A415" s="13" t="str">
        <f ca="1"/>
        <v>0x0001D010</v>
      </c>
      <c r="B415" s="14" t="str">
        <f ca="1"/>
        <v>MovieAVLockSetting</v>
      </c>
      <c r="D415" s="8" t="str">
        <f ca="1"/>
        <v>MovieAVLockSetting</v>
      </c>
      <c r="E415" s="8" t="str">
        <f ca="1"/>
        <v>MovieAVLockSetting</v>
      </c>
      <c r="F415" s="8" t="str">
        <f ca="1"/>
        <v/>
      </c>
      <c r="G415" s="8" t="str">
        <f ca="1"/>
        <v/>
      </c>
      <c r="H415" s="7" t="str">
        <f ca="1"/>
        <v/>
      </c>
      <c r="I415" s="7" t="str">
        <f ca="1"/>
        <v/>
      </c>
      <c r="J415" s="7" t="str">
        <f ca="1"/>
        <v/>
      </c>
      <c r="K415" s="7" t="str">
        <f ca="1"/>
        <v/>
      </c>
      <c r="L415" s="7" t="str">
        <f ca="1"/>
        <v/>
      </c>
      <c r="M415" s="7" t="str">
        <f ca="1"/>
        <v/>
      </c>
      <c r="N415" s="7" t="str">
        <f ca="1"/>
        <v/>
      </c>
      <c r="O415" s="7" t="str">
        <f ca="1"/>
        <v/>
      </c>
      <c r="P415" s="7" t="str">
        <f ca="1"/>
        <v/>
      </c>
      <c r="Q415" s="7" t="str">
        <f ca="1"/>
        <v/>
      </c>
      <c r="T415" s="7" t="str">
        <f ca="1"/>
        <v>Z9</v>
      </c>
      <c r="U415" s="7" t="str">
        <f ca="1"/>
        <v>0xD072</v>
      </c>
      <c r="V415" s="7" t="str">
        <f ca="1"/>
        <v>ArtistV</v>
      </c>
      <c r="X415" s="8" t="s">
        <v>802</v>
      </c>
      <c r="Y415" s="8" t="s">
        <v>802</v>
      </c>
      <c r="Z415" s="8" t="s">
        <v>820</v>
      </c>
      <c r="AA415" s="8" t="s">
        <v>820</v>
      </c>
      <c r="AB415" s="7" t="s">
        <v>868</v>
      </c>
      <c r="AC415" s="7" t="s">
        <v>822</v>
      </c>
      <c r="AD415" s="7" t="s">
        <v>822</v>
      </c>
      <c r="AE415" s="7" t="s">
        <v>822</v>
      </c>
      <c r="AF415" s="7" t="s">
        <v>1691</v>
      </c>
      <c r="AG415" s="7" t="s">
        <v>792</v>
      </c>
      <c r="AH415" s="7" t="s">
        <v>954</v>
      </c>
    </row>
    <row r="416" spans="1:34" x14ac:dyDescent="0.25">
      <c r="A416" s="13" t="str">
        <f ca="1"/>
        <v>0x0001D011</v>
      </c>
      <c r="B416" s="14" t="str">
        <f ca="1"/>
        <v>SilentMode</v>
      </c>
      <c r="D416" s="8" t="str">
        <f ca="1"/>
        <v>SilentMode</v>
      </c>
      <c r="E416" s="8" t="str">
        <f ca="1"/>
        <v>SilentMode</v>
      </c>
      <c r="F416" s="8" t="str">
        <f ca="1"/>
        <v/>
      </c>
      <c r="G416" s="8" t="str">
        <f ca="1"/>
        <v/>
      </c>
      <c r="H416" s="7" t="str">
        <f ca="1"/>
        <v/>
      </c>
      <c r="I416" s="7" t="str">
        <f ca="1"/>
        <v/>
      </c>
      <c r="J416" s="7" t="str">
        <f ca="1"/>
        <v/>
      </c>
      <c r="K416" s="7" t="str">
        <f ca="1"/>
        <v/>
      </c>
      <c r="L416" s="7" t="str">
        <f ca="1"/>
        <v/>
      </c>
      <c r="M416" s="7" t="str">
        <f ca="1"/>
        <v/>
      </c>
      <c r="N416" s="7" t="str">
        <f ca="1"/>
        <v/>
      </c>
      <c r="O416" s="7" t="str">
        <f ca="1"/>
        <v/>
      </c>
      <c r="P416" s="7" t="str">
        <f ca="1"/>
        <v/>
      </c>
      <c r="Q416" s="7" t="str">
        <f ca="1"/>
        <v/>
      </c>
      <c r="T416" s="7" t="str">
        <f ca="1"/>
        <v>Z9</v>
      </c>
      <c r="U416" s="7" t="str">
        <f ca="1"/>
        <v>0xD073</v>
      </c>
      <c r="V416" s="7" t="str">
        <f ca="1"/>
        <v>CopyrightV</v>
      </c>
      <c r="X416" s="8" t="s">
        <v>803</v>
      </c>
      <c r="Y416" s="8" t="s">
        <v>803</v>
      </c>
      <c r="Z416" s="8" t="s">
        <v>821</v>
      </c>
      <c r="AA416" s="8" t="s">
        <v>821</v>
      </c>
      <c r="AB416" s="7" t="s">
        <v>869</v>
      </c>
      <c r="AC416" s="7" t="s">
        <v>823</v>
      </c>
      <c r="AD416" s="7" t="s">
        <v>823</v>
      </c>
      <c r="AE416" s="7" t="s">
        <v>823</v>
      </c>
      <c r="AF416" s="7" t="s">
        <v>1692</v>
      </c>
      <c r="AG416" s="7" t="s">
        <v>793</v>
      </c>
      <c r="AH416" s="7" t="s">
        <v>955</v>
      </c>
    </row>
    <row r="417" spans="1:33" x14ac:dyDescent="0.25">
      <c r="A417" s="13" t="str">
        <f ca="1"/>
        <v>0x0001D012</v>
      </c>
      <c r="B417" s="14" t="str">
        <f ca="1"/>
        <v>ShutterSoundEffect</v>
      </c>
      <c r="D417" s="8" t="str">
        <f ca="1"/>
        <v>ShutterSoundEffect</v>
      </c>
      <c r="E417" s="8" t="str">
        <f ca="1"/>
        <v>ShutterSoundEffect</v>
      </c>
      <c r="F417" s="8" t="str">
        <f ca="1"/>
        <v/>
      </c>
      <c r="G417" s="8" t="str">
        <f ca="1"/>
        <v/>
      </c>
      <c r="H417" s="7" t="str">
        <f ca="1"/>
        <v/>
      </c>
      <c r="I417" s="7" t="str">
        <f ca="1"/>
        <v/>
      </c>
      <c r="J417" s="7" t="str">
        <f ca="1"/>
        <v/>
      </c>
      <c r="K417" s="7" t="str">
        <f ca="1"/>
        <v/>
      </c>
      <c r="L417" s="7" t="str">
        <f ca="1"/>
        <v/>
      </c>
      <c r="M417" s="7" t="str">
        <f ca="1"/>
        <v/>
      </c>
      <c r="N417" s="7" t="str">
        <f ca="1"/>
        <v/>
      </c>
      <c r="O417" s="7" t="str">
        <f ca="1"/>
        <v/>
      </c>
      <c r="P417" s="7" t="str">
        <f ca="1"/>
        <v/>
      </c>
      <c r="Q417" s="7" t="str">
        <f ca="1"/>
        <v/>
      </c>
      <c r="T417" s="7" t="str">
        <f ca="1"/>
        <v>Z9</v>
      </c>
      <c r="U417" s="7" t="str">
        <f ca="1"/>
        <v>0xD074</v>
      </c>
      <c r="V417" s="7" t="str">
        <f ca="1"/>
        <v>FlashSyncSpeed</v>
      </c>
      <c r="X417" s="8" t="s">
        <v>804</v>
      </c>
      <c r="Y417" s="8" t="s">
        <v>804</v>
      </c>
      <c r="Z417" s="8" t="s">
        <v>822</v>
      </c>
      <c r="AA417" s="8" t="s">
        <v>822</v>
      </c>
      <c r="AB417" s="7" t="s">
        <v>870</v>
      </c>
      <c r="AC417" s="7" t="s">
        <v>824</v>
      </c>
      <c r="AD417" s="7" t="s">
        <v>824</v>
      </c>
      <c r="AE417" s="7" t="s">
        <v>824</v>
      </c>
      <c r="AF417" s="7" t="s">
        <v>772</v>
      </c>
      <c r="AG417" s="7" t="s">
        <v>794</v>
      </c>
    </row>
    <row r="418" spans="1:33" x14ac:dyDescent="0.25">
      <c r="A418" s="13" t="str">
        <f ca="1"/>
        <v>0x0001D014</v>
      </c>
      <c r="B418" s="14" t="str">
        <f ca="1"/>
        <v>AFWhenSubjectNotDetected</v>
      </c>
      <c r="D418" s="8" t="str">
        <f ca="1"/>
        <v>AFWhenSubjectNotDetected</v>
      </c>
      <c r="E418" s="8" t="str">
        <f ca="1"/>
        <v>AFWhenSubjectNotDetected</v>
      </c>
      <c r="F418" s="8" t="str">
        <f ca="1"/>
        <v/>
      </c>
      <c r="G418" s="8" t="str">
        <f ca="1"/>
        <v/>
      </c>
      <c r="H418" s="7" t="str">
        <f ca="1"/>
        <v/>
      </c>
      <c r="I418" s="7" t="str">
        <f ca="1"/>
        <v/>
      </c>
      <c r="J418" s="7" t="str">
        <f ca="1"/>
        <v/>
      </c>
      <c r="K418" s="7" t="str">
        <f ca="1"/>
        <v/>
      </c>
      <c r="L418" s="7" t="str">
        <f ca="1"/>
        <v/>
      </c>
      <c r="M418" s="7" t="str">
        <f ca="1"/>
        <v/>
      </c>
      <c r="N418" s="7" t="str">
        <f ca="1"/>
        <v/>
      </c>
      <c r="O418" s="7" t="str">
        <f ca="1"/>
        <v/>
      </c>
      <c r="P418" s="7" t="str">
        <f ca="1"/>
        <v/>
      </c>
      <c r="Q418" s="7" t="str">
        <f ca="1"/>
        <v/>
      </c>
      <c r="T418" s="7" t="str">
        <f ca="1"/>
        <v>Z9</v>
      </c>
      <c r="U418" s="7" t="str">
        <f ca="1"/>
        <v>0xD075</v>
      </c>
      <c r="V418" s="7" t="str">
        <f ca="1"/>
        <v>FlashSlowSpeedLimit</v>
      </c>
      <c r="X418" s="8" t="s">
        <v>805</v>
      </c>
      <c r="Y418" s="8" t="s">
        <v>805</v>
      </c>
      <c r="Z418" s="8" t="s">
        <v>823</v>
      </c>
      <c r="AA418" s="8" t="s">
        <v>823</v>
      </c>
      <c r="AB418" s="7" t="s">
        <v>871</v>
      </c>
      <c r="AC418" s="7" t="s">
        <v>825</v>
      </c>
      <c r="AD418" s="7" t="s">
        <v>825</v>
      </c>
      <c r="AE418" s="7" t="s">
        <v>825</v>
      </c>
      <c r="AF418" s="7" t="s">
        <v>773</v>
      </c>
      <c r="AG418" s="7" t="s">
        <v>795</v>
      </c>
    </row>
    <row r="419" spans="1:33" x14ac:dyDescent="0.25">
      <c r="A419" s="13" t="str">
        <f ca="1"/>
        <v>0x0001D015</v>
      </c>
      <c r="B419" s="14" t="str">
        <f ca="1"/>
        <v>FocusPointLock</v>
      </c>
      <c r="D419" s="8" t="str">
        <f ca="1"/>
        <v>FocusPointLock</v>
      </c>
      <c r="E419" s="8" t="str">
        <f ca="1"/>
        <v>FocusPointLock</v>
      </c>
      <c r="F419" s="8" t="str">
        <f ca="1"/>
        <v/>
      </c>
      <c r="G419" s="8" t="str">
        <f ca="1"/>
        <v/>
      </c>
      <c r="H419" s="7" t="str">
        <f ca="1"/>
        <v/>
      </c>
      <c r="I419" s="7" t="str">
        <f ca="1"/>
        <v/>
      </c>
      <c r="J419" s="7" t="str">
        <f ca="1"/>
        <v/>
      </c>
      <c r="K419" s="7" t="str">
        <f ca="1"/>
        <v/>
      </c>
      <c r="L419" s="7" t="str">
        <f ca="1"/>
        <v/>
      </c>
      <c r="M419" s="7" t="str">
        <f ca="1"/>
        <v/>
      </c>
      <c r="N419" s="7" t="str">
        <f ca="1"/>
        <v/>
      </c>
      <c r="O419" s="7" t="str">
        <f ca="1"/>
        <v/>
      </c>
      <c r="P419" s="7" t="str">
        <f ca="1"/>
        <v/>
      </c>
      <c r="Q419" s="7" t="str">
        <f ca="1"/>
        <v/>
      </c>
      <c r="T419" s="7" t="str">
        <f ca="1"/>
        <v>Z9</v>
      </c>
      <c r="U419" s="7" t="str">
        <f ca="1"/>
        <v>0xD078</v>
      </c>
      <c r="V419" s="7" t="str">
        <f ca="1"/>
        <v>BracketingType</v>
      </c>
      <c r="X419" s="8" t="s">
        <v>806</v>
      </c>
      <c r="Y419" s="8" t="s">
        <v>806</v>
      </c>
      <c r="Z419" s="8" t="s">
        <v>824</v>
      </c>
      <c r="AA419" s="8" t="s">
        <v>824</v>
      </c>
      <c r="AB419" s="7" t="s">
        <v>872</v>
      </c>
      <c r="AC419" s="7" t="s">
        <v>826</v>
      </c>
      <c r="AD419" s="7" t="s">
        <v>826</v>
      </c>
      <c r="AE419" s="7" t="s">
        <v>826</v>
      </c>
      <c r="AF419" s="7" t="s">
        <v>1693</v>
      </c>
      <c r="AG419" s="7" t="s">
        <v>1222</v>
      </c>
    </row>
    <row r="420" spans="1:33" x14ac:dyDescent="0.25">
      <c r="A420" s="13" t="str">
        <f ca="1"/>
        <v>0x0001D016</v>
      </c>
      <c r="B420" s="14" t="str">
        <f ca="1"/>
        <v>MovieFocusPointLock</v>
      </c>
      <c r="D420" s="8" t="str">
        <f ca="1"/>
        <v>MovieFocusPointLock</v>
      </c>
      <c r="E420" s="8" t="str">
        <f ca="1"/>
        <v>MovieFocusPointLock</v>
      </c>
      <c r="F420" s="8" t="str">
        <f ca="1"/>
        <v/>
      </c>
      <c r="G420" s="8" t="str">
        <f ca="1"/>
        <v/>
      </c>
      <c r="H420" s="7" t="str">
        <f ca="1"/>
        <v/>
      </c>
      <c r="I420" s="7" t="str">
        <f ca="1"/>
        <v/>
      </c>
      <c r="J420" s="7" t="str">
        <f ca="1"/>
        <v/>
      </c>
      <c r="K420" s="7" t="str">
        <f ca="1"/>
        <v/>
      </c>
      <c r="L420" s="7" t="str">
        <f ca="1"/>
        <v/>
      </c>
      <c r="M420" s="7" t="str">
        <f ca="1"/>
        <v/>
      </c>
      <c r="N420" s="7" t="str">
        <f ca="1"/>
        <v/>
      </c>
      <c r="O420" s="7" t="str">
        <f ca="1"/>
        <v/>
      </c>
      <c r="P420" s="7" t="str">
        <f ca="1"/>
        <v/>
      </c>
      <c r="Q420" s="7" t="str">
        <f ca="1"/>
        <v/>
      </c>
      <c r="T420" s="7" t="str">
        <f ca="1"/>
        <v>Z9</v>
      </c>
      <c r="U420" s="7" t="str">
        <f ca="1"/>
        <v>0xD079</v>
      </c>
      <c r="V420" s="7" t="str">
        <f ca="1"/>
        <v>SelectBracketChangeFactor</v>
      </c>
      <c r="X420" s="8" t="s">
        <v>807</v>
      </c>
      <c r="Y420" s="8" t="s">
        <v>807</v>
      </c>
      <c r="Z420" s="8" t="s">
        <v>825</v>
      </c>
      <c r="AA420" s="8" t="s">
        <v>825</v>
      </c>
      <c r="AB420" s="7" t="s">
        <v>873</v>
      </c>
      <c r="AC420" s="7" t="s">
        <v>827</v>
      </c>
      <c r="AD420" s="7" t="s">
        <v>827</v>
      </c>
      <c r="AE420" s="7" t="s">
        <v>827</v>
      </c>
      <c r="AF420" s="7" t="s">
        <v>1694</v>
      </c>
      <c r="AG420" s="7" t="s">
        <v>1223</v>
      </c>
    </row>
    <row r="421" spans="1:33" x14ac:dyDescent="0.25">
      <c r="A421" s="13" t="str">
        <f ca="1"/>
        <v>0x0001D017</v>
      </c>
      <c r="B421" s="14" t="str">
        <f ca="1"/>
        <v>SkinSoftening</v>
      </c>
      <c r="D421" s="8" t="str">
        <f ca="1"/>
        <v>SkinSoftening</v>
      </c>
      <c r="E421" s="8" t="str">
        <f ca="1"/>
        <v>SkinSoftening</v>
      </c>
      <c r="F421" s="8" t="str">
        <f ca="1"/>
        <v/>
      </c>
      <c r="G421" s="8" t="str">
        <f ca="1"/>
        <v/>
      </c>
      <c r="H421" s="7" t="str">
        <f ca="1"/>
        <v/>
      </c>
      <c r="I421" s="7" t="str">
        <f ca="1"/>
        <v/>
      </c>
      <c r="J421" s="7" t="str">
        <f ca="1"/>
        <v/>
      </c>
      <c r="K421" s="7" t="str">
        <f ca="1"/>
        <v/>
      </c>
      <c r="L421" s="7" t="str">
        <f ca="1"/>
        <v/>
      </c>
      <c r="M421" s="7" t="str">
        <f ca="1"/>
        <v/>
      </c>
      <c r="N421" s="7" t="str">
        <f ca="1"/>
        <v/>
      </c>
      <c r="O421" s="7" t="str">
        <f ca="1"/>
        <v/>
      </c>
      <c r="P421" s="7" t="str">
        <f ca="1"/>
        <v/>
      </c>
      <c r="Q421" s="7" t="str">
        <f ca="1"/>
        <v/>
      </c>
      <c r="T421" s="7" t="str">
        <f ca="1"/>
        <v>Z9</v>
      </c>
      <c r="U421" s="7" t="str">
        <f ca="1"/>
        <v>0xD07A</v>
      </c>
      <c r="V421" s="7" t="str">
        <f ca="1"/>
        <v>BracketingOrder</v>
      </c>
      <c r="X421" s="8" t="s">
        <v>808</v>
      </c>
      <c r="Y421" s="8" t="s">
        <v>808</v>
      </c>
      <c r="Z421" s="8" t="s">
        <v>826</v>
      </c>
      <c r="AA421" s="8" t="s">
        <v>826</v>
      </c>
      <c r="AB421" s="7" t="s">
        <v>874</v>
      </c>
      <c r="AC421" s="7" t="s">
        <v>828</v>
      </c>
      <c r="AD421" s="7" t="s">
        <v>828</v>
      </c>
      <c r="AE421" s="7" t="s">
        <v>828</v>
      </c>
      <c r="AF421" s="7" t="s">
        <v>774</v>
      </c>
      <c r="AG421" s="7" t="s">
        <v>814</v>
      </c>
    </row>
    <row r="422" spans="1:33" x14ac:dyDescent="0.25">
      <c r="A422" s="13" t="str">
        <f ca="1"/>
        <v>0x0001D018</v>
      </c>
      <c r="B422" s="14" t="str">
        <f ca="1"/>
        <v>MovieSkinSoftening</v>
      </c>
      <c r="D422" s="8" t="str">
        <f ca="1"/>
        <v>MovieSkinSoftening</v>
      </c>
      <c r="E422" s="8" t="str">
        <f ca="1"/>
        <v>MovieSkinSoftening</v>
      </c>
      <c r="F422" s="8" t="str">
        <f ca="1"/>
        <v/>
      </c>
      <c r="G422" s="8" t="str">
        <f ca="1"/>
        <v/>
      </c>
      <c r="H422" s="7" t="str">
        <f ca="1"/>
        <v/>
      </c>
      <c r="I422" s="7" t="str">
        <f ca="1"/>
        <v/>
      </c>
      <c r="J422" s="7" t="str">
        <f ca="1"/>
        <v/>
      </c>
      <c r="K422" s="7" t="str">
        <f ca="1"/>
        <v/>
      </c>
      <c r="L422" s="7" t="str">
        <f ca="1"/>
        <v/>
      </c>
      <c r="M422" s="7" t="str">
        <f ca="1"/>
        <v/>
      </c>
      <c r="N422" s="7" t="str">
        <f ca="1"/>
        <v/>
      </c>
      <c r="O422" s="7" t="str">
        <f ca="1"/>
        <v/>
      </c>
      <c r="P422" s="7" t="str">
        <f ca="1"/>
        <v/>
      </c>
      <c r="Q422" s="7" t="str">
        <f ca="1"/>
        <v/>
      </c>
      <c r="T422" s="7" t="str">
        <f ca="1"/>
        <v>Z9</v>
      </c>
      <c r="U422" s="7" t="str">
        <f ca="1"/>
        <v>0xD07D</v>
      </c>
      <c r="V422" s="7" t="str">
        <f ca="1"/>
        <v>AngleLevelPitching</v>
      </c>
      <c r="X422" s="8" t="s">
        <v>809</v>
      </c>
      <c r="Y422" s="8" t="s">
        <v>809</v>
      </c>
      <c r="Z422" s="8" t="s">
        <v>827</v>
      </c>
      <c r="AA422" s="8" t="s">
        <v>827</v>
      </c>
      <c r="AB422" s="7" t="s">
        <v>875</v>
      </c>
      <c r="AC422" s="7" t="s">
        <v>829</v>
      </c>
      <c r="AD422" s="7" t="s">
        <v>829</v>
      </c>
      <c r="AE422" s="7" t="s">
        <v>829</v>
      </c>
      <c r="AF422" s="7" t="s">
        <v>775</v>
      </c>
      <c r="AG422" s="7" t="s">
        <v>815</v>
      </c>
    </row>
    <row r="423" spans="1:33" x14ac:dyDescent="0.25">
      <c r="A423" s="13" t="str">
        <f ca="1"/>
        <v>0x0001D019</v>
      </c>
      <c r="B423" s="14" t="str">
        <f ca="1"/>
        <v>PortraitImpressionBalance</v>
      </c>
      <c r="D423" s="8" t="str">
        <f ca="1"/>
        <v>PortraitImpressionBalance</v>
      </c>
      <c r="E423" s="8" t="str">
        <f ca="1"/>
        <v>PortraitImpressionBalance</v>
      </c>
      <c r="F423" s="8" t="str">
        <f ca="1"/>
        <v/>
      </c>
      <c r="G423" s="8" t="str">
        <f ca="1"/>
        <v/>
      </c>
      <c r="H423" s="7" t="str">
        <f ca="1"/>
        <v/>
      </c>
      <c r="I423" s="7" t="str">
        <f ca="1"/>
        <v/>
      </c>
      <c r="J423" s="7" t="str">
        <f ca="1"/>
        <v/>
      </c>
      <c r="K423" s="7" t="str">
        <f ca="1"/>
        <v/>
      </c>
      <c r="L423" s="7" t="str">
        <f ca="1"/>
        <v/>
      </c>
      <c r="M423" s="7" t="str">
        <f ca="1"/>
        <v/>
      </c>
      <c r="N423" s="7" t="str">
        <f ca="1"/>
        <v/>
      </c>
      <c r="O423" s="7" t="str">
        <f ca="1"/>
        <v/>
      </c>
      <c r="P423" s="7" t="str">
        <f ca="1"/>
        <v/>
      </c>
      <c r="Q423" s="7" t="str">
        <f ca="1"/>
        <v/>
      </c>
      <c r="T423" s="7" t="str">
        <f ca="1"/>
        <v>Z9</v>
      </c>
      <c r="U423" s="7" t="str">
        <f ca="1"/>
        <v>0xD07E</v>
      </c>
      <c r="V423" s="7" t="str">
        <f ca="1"/>
        <v>AngleLevelYawing</v>
      </c>
      <c r="X423" s="8" t="s">
        <v>810</v>
      </c>
      <c r="Y423" s="8" t="s">
        <v>810</v>
      </c>
      <c r="Z423" s="8" t="s">
        <v>828</v>
      </c>
      <c r="AA423" s="8" t="s">
        <v>828</v>
      </c>
      <c r="AB423" s="7" t="s">
        <v>876</v>
      </c>
      <c r="AC423" s="7" t="s">
        <v>830</v>
      </c>
      <c r="AD423" s="7" t="s">
        <v>830</v>
      </c>
      <c r="AE423" s="7" t="s">
        <v>830</v>
      </c>
      <c r="AF423" s="7" t="s">
        <v>776</v>
      </c>
      <c r="AG423" s="7" t="s">
        <v>816</v>
      </c>
    </row>
    <row r="424" spans="1:33" x14ac:dyDescent="0.25">
      <c r="A424" s="13" t="str">
        <f ca="1"/>
        <v>0x0001D01A</v>
      </c>
      <c r="B424" s="14" t="str">
        <f ca="1"/>
        <v>MoviePortraitImpressionBalance</v>
      </c>
      <c r="D424" s="8" t="str">
        <f ca="1"/>
        <v>MoviePortraitImpressionBalance</v>
      </c>
      <c r="E424" s="8" t="str">
        <f ca="1"/>
        <v>MoviePortraitImpressionBalance</v>
      </c>
      <c r="F424" s="8" t="str">
        <f ca="1"/>
        <v/>
      </c>
      <c r="G424" s="8" t="str">
        <f ca="1"/>
        <v/>
      </c>
      <c r="H424" s="7" t="str">
        <f ca="1"/>
        <v/>
      </c>
      <c r="I424" s="7" t="str">
        <f ca="1"/>
        <v/>
      </c>
      <c r="J424" s="7" t="str">
        <f ca="1"/>
        <v/>
      </c>
      <c r="K424" s="7" t="str">
        <f ca="1"/>
        <v/>
      </c>
      <c r="L424" s="7" t="str">
        <f ca="1"/>
        <v/>
      </c>
      <c r="M424" s="7" t="str">
        <f ca="1"/>
        <v/>
      </c>
      <c r="N424" s="7" t="str">
        <f ca="1"/>
        <v/>
      </c>
      <c r="O424" s="7" t="str">
        <f ca="1"/>
        <v/>
      </c>
      <c r="P424" s="7" t="str">
        <f ca="1"/>
        <v/>
      </c>
      <c r="Q424" s="7" t="str">
        <f ca="1"/>
        <v/>
      </c>
      <c r="T424" s="7" t="str">
        <f ca="1"/>
        <v>Z9</v>
      </c>
      <c r="U424" s="7" t="str">
        <f ca="1"/>
        <v>0xD07F</v>
      </c>
      <c r="V424" s="7" t="str">
        <f ca="1"/>
        <v>ExtendShootingMenu</v>
      </c>
      <c r="X424" s="8" t="s">
        <v>811</v>
      </c>
      <c r="Y424" s="8" t="s">
        <v>811</v>
      </c>
      <c r="Z424" s="8" t="s">
        <v>829</v>
      </c>
      <c r="AA424" s="8" t="s">
        <v>829</v>
      </c>
      <c r="AB424" s="7" t="s">
        <v>877</v>
      </c>
      <c r="AC424" s="7" t="s">
        <v>831</v>
      </c>
      <c r="AD424" s="7" t="s">
        <v>831</v>
      </c>
      <c r="AE424" s="7" t="s">
        <v>831</v>
      </c>
      <c r="AF424" s="7" t="s">
        <v>777</v>
      </c>
      <c r="AG424" s="7" t="s">
        <v>817</v>
      </c>
    </row>
    <row r="425" spans="1:33" x14ac:dyDescent="0.25">
      <c r="A425" s="13" t="str">
        <f ca="1"/>
        <v>0x0001D01B</v>
      </c>
      <c r="B425" s="14" t="str">
        <f ca="1"/>
        <v>MovieExtendedShutterSpeedsManual</v>
      </c>
      <c r="D425" s="8" t="str">
        <f ca="1"/>
        <v>MovieExtendedShutterSpeedsManual</v>
      </c>
      <c r="E425" s="8" t="str">
        <f ca="1"/>
        <v>MovieExtendedShutterSpeedsManual</v>
      </c>
      <c r="F425" s="8" t="str">
        <f ca="1"/>
        <v/>
      </c>
      <c r="G425" s="8" t="str">
        <f ca="1"/>
        <v/>
      </c>
      <c r="H425" s="7" t="str">
        <f ca="1"/>
        <v/>
      </c>
      <c r="I425" s="7" t="str">
        <f ca="1"/>
        <v/>
      </c>
      <c r="J425" s="7" t="str">
        <f ca="1"/>
        <v/>
      </c>
      <c r="K425" s="7" t="str">
        <f ca="1"/>
        <v/>
      </c>
      <c r="L425" s="7" t="str">
        <f ca="1"/>
        <v/>
      </c>
      <c r="M425" s="7" t="str">
        <f ca="1"/>
        <v/>
      </c>
      <c r="N425" s="7" t="str">
        <f ca="1"/>
        <v/>
      </c>
      <c r="O425" s="7" t="str">
        <f ca="1"/>
        <v/>
      </c>
      <c r="P425" s="7" t="str">
        <f ca="1"/>
        <v/>
      </c>
      <c r="Q425" s="7" t="str">
        <f ca="1"/>
        <v/>
      </c>
      <c r="T425" s="7" t="str">
        <f ca="1"/>
        <v>Z9</v>
      </c>
      <c r="U425" s="7" t="str">
        <f ca="1"/>
        <v>0xD08A</v>
      </c>
      <c r="V425" s="7" t="str">
        <f ca="1"/>
        <v>EnableShutter</v>
      </c>
      <c r="X425" s="8" t="s">
        <v>812</v>
      </c>
      <c r="Y425" s="8" t="s">
        <v>812</v>
      </c>
      <c r="Z425" s="8" t="s">
        <v>830</v>
      </c>
      <c r="AA425" s="8" t="s">
        <v>830</v>
      </c>
      <c r="AB425" s="7" t="s">
        <v>878</v>
      </c>
      <c r="AC425" s="7" t="s">
        <v>832</v>
      </c>
      <c r="AD425" s="7" t="s">
        <v>832</v>
      </c>
      <c r="AE425" s="7" t="s">
        <v>832</v>
      </c>
      <c r="AF425" s="7" t="s">
        <v>778</v>
      </c>
      <c r="AG425" s="7" t="s">
        <v>818</v>
      </c>
    </row>
    <row r="426" spans="1:33" x14ac:dyDescent="0.25">
      <c r="A426" s="13" t="str">
        <f ca="1"/>
        <v>0x0001D01C</v>
      </c>
      <c r="B426" s="14" t="str">
        <f ca="1"/>
        <v>ToneMode</v>
      </c>
      <c r="D426" s="8" t="str">
        <f ca="1"/>
        <v>ToneMode</v>
      </c>
      <c r="E426" s="8" t="str">
        <f ca="1"/>
        <v/>
      </c>
      <c r="F426" s="8" t="str">
        <f ca="1"/>
        <v/>
      </c>
      <c r="G426" s="8" t="str">
        <f ca="1"/>
        <v/>
      </c>
      <c r="H426" s="7" t="str">
        <f ca="1"/>
        <v/>
      </c>
      <c r="I426" s="7" t="str">
        <f ca="1"/>
        <v/>
      </c>
      <c r="J426" s="7" t="str">
        <f ca="1"/>
        <v/>
      </c>
      <c r="K426" s="7" t="str">
        <f ca="1"/>
        <v/>
      </c>
      <c r="L426" s="7" t="str">
        <f ca="1"/>
        <v/>
      </c>
      <c r="M426" s="7" t="str">
        <f ca="1"/>
        <v/>
      </c>
      <c r="N426" s="7" t="str">
        <f ca="1"/>
        <v/>
      </c>
      <c r="O426" s="7" t="str">
        <f ca="1"/>
        <v/>
      </c>
      <c r="P426" s="7" t="str">
        <f ca="1"/>
        <v/>
      </c>
      <c r="Q426" s="7" t="str">
        <f ca="1"/>
        <v/>
      </c>
      <c r="T426" s="7" t="str">
        <f ca="1"/>
        <v>Z9</v>
      </c>
      <c r="U426" s="7" t="str">
        <f ca="1"/>
        <v>0xD08D</v>
      </c>
      <c r="V426" s="7" t="str">
        <f ca="1"/>
        <v>EnableAFAreaPoint</v>
      </c>
      <c r="X426" s="8" t="s">
        <v>813</v>
      </c>
      <c r="Y426" s="8" t="s">
        <v>813</v>
      </c>
      <c r="Z426" s="8" t="s">
        <v>831</v>
      </c>
      <c r="AA426" s="8" t="s">
        <v>831</v>
      </c>
      <c r="AB426" s="7" t="s">
        <v>879</v>
      </c>
      <c r="AC426" s="7" t="s">
        <v>833</v>
      </c>
      <c r="AD426" s="7" t="s">
        <v>833</v>
      </c>
      <c r="AE426" s="7" t="s">
        <v>833</v>
      </c>
      <c r="AF426" s="7" t="s">
        <v>779</v>
      </c>
      <c r="AG426" s="7" t="s">
        <v>819</v>
      </c>
    </row>
    <row r="427" spans="1:33" x14ac:dyDescent="0.25">
      <c r="A427" s="13" t="str">
        <f ca="1"/>
        <v>0x0001D01D</v>
      </c>
      <c r="B427" s="14" t="str">
        <f ca="1"/>
        <v>ActivePicCtrlHlgItem</v>
      </c>
      <c r="D427" s="8" t="str">
        <f ca="1"/>
        <v>ActivePicCtrlHlgItem</v>
      </c>
      <c r="E427" s="8" t="str">
        <f ca="1"/>
        <v/>
      </c>
      <c r="F427" s="8" t="str">
        <f ca="1"/>
        <v/>
      </c>
      <c r="G427" s="8" t="str">
        <f ca="1"/>
        <v/>
      </c>
      <c r="H427" s="7" t="str">
        <f ca="1"/>
        <v/>
      </c>
      <c r="I427" s="7" t="str">
        <f ca="1"/>
        <v/>
      </c>
      <c r="J427" s="7" t="str">
        <f ca="1"/>
        <v/>
      </c>
      <c r="K427" s="7" t="str">
        <f ca="1"/>
        <v/>
      </c>
      <c r="L427" s="7" t="str">
        <f ca="1"/>
        <v/>
      </c>
      <c r="M427" s="7" t="str">
        <f ca="1"/>
        <v/>
      </c>
      <c r="N427" s="7" t="str">
        <f ca="1"/>
        <v/>
      </c>
      <c r="O427" s="7" t="str">
        <f ca="1"/>
        <v/>
      </c>
      <c r="P427" s="7" t="str">
        <f ca="1"/>
        <v/>
      </c>
      <c r="Q427" s="7" t="str">
        <f ca="1"/>
        <v/>
      </c>
      <c r="T427" s="7" t="str">
        <f ca="1"/>
        <v>Z9</v>
      </c>
      <c r="U427" s="7" t="str">
        <f ca="1"/>
        <v>0xD08F</v>
      </c>
      <c r="V427" s="7" t="str">
        <f ca="1"/>
        <v>ImageSensorCleaning</v>
      </c>
      <c r="X427" s="8" t="s">
        <v>814</v>
      </c>
      <c r="Y427" s="8" t="s">
        <v>814</v>
      </c>
      <c r="Z427" s="8" t="s">
        <v>832</v>
      </c>
      <c r="AA427" s="8" t="s">
        <v>832</v>
      </c>
      <c r="AB427" s="7" t="s">
        <v>880</v>
      </c>
      <c r="AC427" s="7" t="s">
        <v>834</v>
      </c>
      <c r="AD427" s="7" t="s">
        <v>834</v>
      </c>
      <c r="AE427" s="7" t="s">
        <v>834</v>
      </c>
      <c r="AF427" s="7" t="s">
        <v>780</v>
      </c>
      <c r="AG427" s="7" t="s">
        <v>820</v>
      </c>
    </row>
    <row r="428" spans="1:33" x14ac:dyDescent="0.25">
      <c r="A428" s="13" t="str">
        <f ca="1"/>
        <v>0x0001D01E</v>
      </c>
      <c r="B428" s="14" t="str">
        <f ca="1"/>
        <v>ExtendedOverSampling</v>
      </c>
      <c r="D428" s="8" t="str">
        <f ca="1"/>
        <v>ExtendedOverSampling</v>
      </c>
      <c r="E428" s="8" t="str">
        <f ca="1"/>
        <v>ExtendedOverSampling</v>
      </c>
      <c r="F428" s="8" t="str">
        <f ca="1"/>
        <v/>
      </c>
      <c r="G428" s="8" t="str">
        <f ca="1"/>
        <v/>
      </c>
      <c r="H428" s="7" t="str">
        <f ca="1"/>
        <v/>
      </c>
      <c r="I428" s="7" t="str">
        <f ca="1"/>
        <v/>
      </c>
      <c r="J428" s="7" t="str">
        <f ca="1"/>
        <v/>
      </c>
      <c r="K428" s="7" t="str">
        <f ca="1"/>
        <v/>
      </c>
      <c r="L428" s="7" t="str">
        <f ca="1"/>
        <v/>
      </c>
      <c r="M428" s="7" t="str">
        <f ca="1"/>
        <v/>
      </c>
      <c r="N428" s="7" t="str">
        <f ca="1"/>
        <v/>
      </c>
      <c r="O428" s="7" t="str">
        <f ca="1"/>
        <v/>
      </c>
      <c r="P428" s="7" t="str">
        <f ca="1"/>
        <v/>
      </c>
      <c r="Q428" s="7" t="str">
        <f ca="1"/>
        <v/>
      </c>
      <c r="T428" s="7" t="str">
        <f ca="1"/>
        <v>Z9</v>
      </c>
      <c r="U428" s="7" t="str">
        <f ca="1"/>
        <v>0xD090</v>
      </c>
      <c r="V428" s="7" t="str">
        <f ca="1"/>
        <v>CommentString</v>
      </c>
      <c r="X428" s="8" t="s">
        <v>815</v>
      </c>
      <c r="Y428" s="8" t="s">
        <v>815</v>
      </c>
      <c r="Z428" s="8" t="s">
        <v>833</v>
      </c>
      <c r="AA428" s="8" t="s">
        <v>833</v>
      </c>
      <c r="AB428" s="7" t="s">
        <v>881</v>
      </c>
      <c r="AC428" s="7" t="s">
        <v>835</v>
      </c>
      <c r="AD428" s="7" t="s">
        <v>835</v>
      </c>
      <c r="AE428" s="7" t="s">
        <v>835</v>
      </c>
      <c r="AF428" s="7" t="s">
        <v>781</v>
      </c>
      <c r="AG428" s="7" t="s">
        <v>821</v>
      </c>
    </row>
    <row r="429" spans="1:33" x14ac:dyDescent="0.25">
      <c r="A429" s="13" t="str">
        <f ca="1"/>
        <v>0x0001D01F</v>
      </c>
      <c r="B429" s="14" t="str">
        <f ca="1"/>
        <v>MovieExtendedIsoStepManual</v>
      </c>
      <c r="D429" s="8" t="str">
        <f ca="1"/>
        <v>MovieExtendedIsoStepManual</v>
      </c>
      <c r="E429" s="8" t="str">
        <f ca="1"/>
        <v>MovieExtendedIsoStepManual</v>
      </c>
      <c r="F429" s="8" t="str">
        <f ca="1"/>
        <v/>
      </c>
      <c r="G429" s="8" t="str">
        <f ca="1"/>
        <v/>
      </c>
      <c r="H429" s="7" t="str">
        <f ca="1"/>
        <v/>
      </c>
      <c r="I429" s="7" t="str">
        <f ca="1"/>
        <v/>
      </c>
      <c r="J429" s="7" t="str">
        <f ca="1"/>
        <v/>
      </c>
      <c r="K429" s="7" t="str">
        <f ca="1"/>
        <v/>
      </c>
      <c r="L429" s="7" t="str">
        <f ca="1"/>
        <v/>
      </c>
      <c r="M429" s="7" t="str">
        <f ca="1"/>
        <v/>
      </c>
      <c r="N429" s="7" t="str">
        <f ca="1"/>
        <v/>
      </c>
      <c r="O429" s="7" t="str">
        <f ca="1"/>
        <v/>
      </c>
      <c r="P429" s="7" t="str">
        <f ca="1"/>
        <v/>
      </c>
      <c r="Q429" s="7" t="str">
        <f ca="1"/>
        <v/>
      </c>
      <c r="T429" s="7" t="str">
        <f ca="1"/>
        <v>Z9</v>
      </c>
      <c r="U429" s="7" t="str">
        <f ca="1"/>
        <v>0xD091</v>
      </c>
      <c r="V429" s="7" t="str">
        <f ca="1"/>
        <v>EnableComment</v>
      </c>
      <c r="X429" s="8" t="s">
        <v>816</v>
      </c>
      <c r="Y429" s="8" t="s">
        <v>816</v>
      </c>
      <c r="Z429" s="8" t="s">
        <v>834</v>
      </c>
      <c r="AA429" s="8" t="s">
        <v>834</v>
      </c>
      <c r="AB429" s="7" t="s">
        <v>882</v>
      </c>
      <c r="AC429" s="7" t="s">
        <v>1534</v>
      </c>
      <c r="AD429" s="7" t="s">
        <v>1534</v>
      </c>
      <c r="AE429" s="7" t="s">
        <v>1534</v>
      </c>
      <c r="AF429" s="7" t="s">
        <v>782</v>
      </c>
      <c r="AG429" s="7" t="s">
        <v>822</v>
      </c>
    </row>
    <row r="430" spans="1:33" x14ac:dyDescent="0.25">
      <c r="A430" s="13" t="str">
        <f ca="1"/>
        <v>0x0001D025</v>
      </c>
      <c r="B430" s="14" t="str">
        <f ca="1"/>
        <v>PreCapturePreReleaseBurst</v>
      </c>
      <c r="D430" s="8" t="str">
        <f ca="1"/>
        <v>PreCapturePreReleaseBurst</v>
      </c>
      <c r="E430" s="8" t="str">
        <f ca="1"/>
        <v>PreCapturePreReleaseBurst</v>
      </c>
      <c r="F430" s="8" t="str">
        <f ca="1"/>
        <v/>
      </c>
      <c r="G430" s="8" t="str">
        <f ca="1"/>
        <v/>
      </c>
      <c r="H430" s="7" t="str">
        <f ca="1"/>
        <v/>
      </c>
      <c r="I430" s="7" t="str">
        <f ca="1"/>
        <v/>
      </c>
      <c r="J430" s="7" t="str">
        <f ca="1"/>
        <v/>
      </c>
      <c r="K430" s="7" t="str">
        <f ca="1"/>
        <v/>
      </c>
      <c r="L430" s="7" t="str">
        <f ca="1"/>
        <v/>
      </c>
      <c r="M430" s="7" t="str">
        <f ca="1"/>
        <v/>
      </c>
      <c r="N430" s="7" t="str">
        <f ca="1"/>
        <v/>
      </c>
      <c r="O430" s="7" t="str">
        <f ca="1"/>
        <v/>
      </c>
      <c r="P430" s="7" t="str">
        <f ca="1"/>
        <v/>
      </c>
      <c r="Q430" s="7" t="str">
        <f ca="1"/>
        <v/>
      </c>
      <c r="T430" s="7" t="str">
        <f ca="1"/>
        <v>Z9</v>
      </c>
      <c r="U430" s="7" t="str">
        <f ca="1"/>
        <v>0xD092</v>
      </c>
      <c r="V430" s="7" t="str">
        <f ca="1"/>
        <v>OrientationSensorMode</v>
      </c>
      <c r="X430" s="8" t="s">
        <v>817</v>
      </c>
      <c r="Y430" s="8" t="s">
        <v>817</v>
      </c>
      <c r="Z430" s="8" t="s">
        <v>835</v>
      </c>
      <c r="AA430" s="8" t="s">
        <v>835</v>
      </c>
      <c r="AB430" s="7" t="s">
        <v>883</v>
      </c>
      <c r="AC430" s="7" t="s">
        <v>1535</v>
      </c>
      <c r="AD430" s="7" t="s">
        <v>1535</v>
      </c>
      <c r="AE430" s="7" t="s">
        <v>1535</v>
      </c>
      <c r="AF430" s="7" t="s">
        <v>783</v>
      </c>
      <c r="AG430" s="7" t="s">
        <v>823</v>
      </c>
    </row>
    <row r="431" spans="1:33" x14ac:dyDescent="0.25">
      <c r="A431" s="13" t="str">
        <f ca="1"/>
        <v>0x0001D026</v>
      </c>
      <c r="B431" s="14" t="str">
        <f ca="1"/>
        <v>PreCapturePostReleaseBurst</v>
      </c>
      <c r="D431" s="8" t="str">
        <f ca="1"/>
        <v>PreCapturePostReleaseBurst</v>
      </c>
      <c r="E431" s="8" t="str">
        <f ca="1"/>
        <v>PreCapturePostReleaseBurst</v>
      </c>
      <c r="F431" s="8" t="str">
        <f ca="1"/>
        <v/>
      </c>
      <c r="G431" s="8" t="str">
        <f ca="1"/>
        <v/>
      </c>
      <c r="H431" s="7" t="str">
        <f ca="1"/>
        <v/>
      </c>
      <c r="I431" s="7" t="str">
        <f ca="1"/>
        <v/>
      </c>
      <c r="J431" s="7" t="str">
        <f ca="1"/>
        <v/>
      </c>
      <c r="K431" s="7" t="str">
        <f ca="1"/>
        <v/>
      </c>
      <c r="L431" s="7" t="str">
        <f ca="1"/>
        <v/>
      </c>
      <c r="M431" s="7" t="str">
        <f ca="1"/>
        <v/>
      </c>
      <c r="N431" s="7" t="str">
        <f ca="1"/>
        <v/>
      </c>
      <c r="O431" s="7" t="str">
        <f ca="1"/>
        <v/>
      </c>
      <c r="P431" s="7" t="str">
        <f ca="1"/>
        <v/>
      </c>
      <c r="Q431" s="7" t="str">
        <f ca="1"/>
        <v/>
      </c>
      <c r="T431" s="7" t="str">
        <f ca="1"/>
        <v>Z9</v>
      </c>
      <c r="U431" s="7" t="str">
        <f ca="1"/>
        <v>0xD093</v>
      </c>
      <c r="V431" s="7" t="str">
        <f ca="1"/>
        <v>ManualSettingLensNo</v>
      </c>
      <c r="X431" s="8" t="s">
        <v>818</v>
      </c>
      <c r="Y431" s="8" t="s">
        <v>818</v>
      </c>
      <c r="Z431" s="8" t="s">
        <v>836</v>
      </c>
      <c r="AA431" s="8" t="s">
        <v>836</v>
      </c>
      <c r="AB431" s="7" t="s">
        <v>884</v>
      </c>
      <c r="AC431" s="7" t="s">
        <v>836</v>
      </c>
      <c r="AD431" s="7" t="s">
        <v>836</v>
      </c>
      <c r="AE431" s="7" t="s">
        <v>836</v>
      </c>
      <c r="AF431" s="7" t="s">
        <v>1220</v>
      </c>
      <c r="AG431" s="7" t="s">
        <v>824</v>
      </c>
    </row>
    <row r="432" spans="1:33" x14ac:dyDescent="0.25">
      <c r="A432" s="13" t="str">
        <f ca="1"/>
        <v>0x0001D028</v>
      </c>
      <c r="B432" s="14" t="str">
        <f ca="1"/>
        <v>MovieNRaw12bitToneMode</v>
      </c>
      <c r="D432" s="8" t="str">
        <f ca="1"/>
        <v>MovieNRaw12bitToneMode</v>
      </c>
      <c r="E432" s="8" t="str">
        <f ca="1"/>
        <v>MovieNRaw12bitToneMode</v>
      </c>
      <c r="F432" s="8" t="str">
        <f ca="1"/>
        <v/>
      </c>
      <c r="G432" s="8" t="str">
        <f ca="1"/>
        <v/>
      </c>
      <c r="H432" s="7" t="str">
        <f ca="1"/>
        <v/>
      </c>
      <c r="I432" s="7" t="str">
        <f ca="1"/>
        <v/>
      </c>
      <c r="J432" s="7" t="str">
        <f ca="1"/>
        <v/>
      </c>
      <c r="K432" s="7" t="str">
        <f ca="1"/>
        <v/>
      </c>
      <c r="L432" s="7" t="str">
        <f ca="1"/>
        <v/>
      </c>
      <c r="M432" s="7" t="str">
        <f ca="1"/>
        <v/>
      </c>
      <c r="N432" s="7" t="str">
        <f ca="1"/>
        <v/>
      </c>
      <c r="O432" s="7" t="str">
        <f ca="1"/>
        <v/>
      </c>
      <c r="P432" s="7" t="str">
        <f ca="1"/>
        <v/>
      </c>
      <c r="Q432" s="7" t="str">
        <f ca="1"/>
        <v/>
      </c>
      <c r="T432" s="7" t="str">
        <f ca="1"/>
        <v>Z9</v>
      </c>
      <c r="U432" s="7" t="str">
        <f ca="1"/>
        <v>0xD09C</v>
      </c>
      <c r="V432" s="7" t="str">
        <f ca="1"/>
        <v>RetractableLensWarning</v>
      </c>
      <c r="X432" s="8" t="s">
        <v>819</v>
      </c>
      <c r="Y432" s="8" t="s">
        <v>819</v>
      </c>
      <c r="Z432" s="8" t="s">
        <v>837</v>
      </c>
      <c r="AA432" s="8" t="s">
        <v>837</v>
      </c>
      <c r="AB432" s="7" t="s">
        <v>885</v>
      </c>
      <c r="AC432" s="7" t="s">
        <v>837</v>
      </c>
      <c r="AD432" s="7" t="s">
        <v>837</v>
      </c>
      <c r="AE432" s="7" t="s">
        <v>837</v>
      </c>
      <c r="AF432" s="7" t="s">
        <v>1221</v>
      </c>
      <c r="AG432" s="7" t="s">
        <v>825</v>
      </c>
    </row>
    <row r="433" spans="1:33" x14ac:dyDescent="0.25">
      <c r="A433" s="13" t="str">
        <f ca="1"/>
        <v>0x0001D029</v>
      </c>
      <c r="B433" s="14" t="str">
        <f ca="1"/>
        <v>MovieProResRawHq12bitToneMode</v>
      </c>
      <c r="D433" s="8" t="str">
        <f ca="1"/>
        <v>MovieProResRawHq12bitToneMode</v>
      </c>
      <c r="E433" s="8" t="str">
        <f ca="1"/>
        <v>MovieProResRawHq12bitToneMode</v>
      </c>
      <c r="F433" s="8" t="str">
        <f ca="1"/>
        <v/>
      </c>
      <c r="G433" s="8" t="str">
        <f ca="1"/>
        <v/>
      </c>
      <c r="H433" s="7" t="str">
        <f ca="1"/>
        <v/>
      </c>
      <c r="I433" s="7" t="str">
        <f ca="1"/>
        <v/>
      </c>
      <c r="J433" s="7" t="str">
        <f ca="1"/>
        <v/>
      </c>
      <c r="K433" s="7" t="str">
        <f ca="1"/>
        <v/>
      </c>
      <c r="L433" s="7" t="str">
        <f ca="1"/>
        <v/>
      </c>
      <c r="M433" s="7" t="str">
        <f ca="1"/>
        <v/>
      </c>
      <c r="N433" s="7" t="str">
        <f ca="1"/>
        <v/>
      </c>
      <c r="O433" s="7" t="str">
        <f ca="1"/>
        <v/>
      </c>
      <c r="P433" s="7" t="str">
        <f ca="1"/>
        <v/>
      </c>
      <c r="Q433" s="7" t="str">
        <f ca="1"/>
        <v/>
      </c>
      <c r="T433" s="7" t="str">
        <f ca="1"/>
        <v>Z9</v>
      </c>
      <c r="U433" s="7" t="str">
        <f ca="1"/>
        <v>0xD09F</v>
      </c>
      <c r="V433" s="7" t="str">
        <f ca="1"/>
        <v>MatrixMetering</v>
      </c>
      <c r="X433" s="8" t="s">
        <v>820</v>
      </c>
      <c r="Y433" s="8" t="s">
        <v>820</v>
      </c>
      <c r="Z433" s="8" t="s">
        <v>838</v>
      </c>
      <c r="AA433" s="8" t="s">
        <v>838</v>
      </c>
      <c r="AB433" s="7" t="s">
        <v>886</v>
      </c>
      <c r="AC433" s="7" t="s">
        <v>840</v>
      </c>
      <c r="AD433" s="7" t="s">
        <v>840</v>
      </c>
      <c r="AE433" s="7" t="s">
        <v>838</v>
      </c>
      <c r="AF433" s="7" t="s">
        <v>784</v>
      </c>
      <c r="AG433" s="7" t="s">
        <v>826</v>
      </c>
    </row>
    <row r="434" spans="1:33" x14ac:dyDescent="0.25">
      <c r="A434" s="13" t="str">
        <f ca="1"/>
        <v>0x0001D02A</v>
      </c>
      <c r="B434" s="14" t="str">
        <f ca="1"/>
        <v>MovieQualityNRaw</v>
      </c>
      <c r="D434" s="8" t="str">
        <f ca="1"/>
        <v>MovieQualityNRaw</v>
      </c>
      <c r="E434" s="8" t="str">
        <f ca="1"/>
        <v>MovieQualityNRaw</v>
      </c>
      <c r="F434" s="8" t="str">
        <f ca="1"/>
        <v/>
      </c>
      <c r="G434" s="8" t="str">
        <f ca="1"/>
        <v/>
      </c>
      <c r="H434" s="7" t="str">
        <f ca="1"/>
        <v/>
      </c>
      <c r="I434" s="7" t="str">
        <f ca="1"/>
        <v/>
      </c>
      <c r="J434" s="7" t="str">
        <f ca="1"/>
        <v/>
      </c>
      <c r="K434" s="7" t="str">
        <f ca="1"/>
        <v/>
      </c>
      <c r="L434" s="7" t="str">
        <f ca="1"/>
        <v/>
      </c>
      <c r="M434" s="7" t="str">
        <f ca="1"/>
        <v/>
      </c>
      <c r="N434" s="7" t="str">
        <f ca="1"/>
        <v/>
      </c>
      <c r="O434" s="7" t="str">
        <f ca="1"/>
        <v/>
      </c>
      <c r="P434" s="7" t="str">
        <f ca="1"/>
        <v/>
      </c>
      <c r="Q434" s="7" t="str">
        <f ca="1"/>
        <v/>
      </c>
      <c r="T434" s="7" t="str">
        <f ca="1"/>
        <v>Z9</v>
      </c>
      <c r="U434" s="7" t="str">
        <f ca="1"/>
        <v>0xD0A0</v>
      </c>
      <c r="V434" s="7" t="str">
        <f ca="1"/>
        <v>MovieRecordScreenSize</v>
      </c>
      <c r="X434" s="8" t="s">
        <v>821</v>
      </c>
      <c r="Y434" s="8" t="s">
        <v>821</v>
      </c>
      <c r="Z434" s="8" t="s">
        <v>839</v>
      </c>
      <c r="AA434" s="8" t="s">
        <v>839</v>
      </c>
      <c r="AB434" s="7" t="s">
        <v>887</v>
      </c>
      <c r="AC434" s="7" t="s">
        <v>841</v>
      </c>
      <c r="AD434" s="7" t="s">
        <v>841</v>
      </c>
      <c r="AE434" s="7" t="s">
        <v>839</v>
      </c>
      <c r="AF434" s="7" t="s">
        <v>785</v>
      </c>
      <c r="AG434" s="7" t="s">
        <v>827</v>
      </c>
    </row>
    <row r="435" spans="1:33" x14ac:dyDescent="0.25">
      <c r="A435" s="13" t="str">
        <f ca="1"/>
        <v>0x0001D02B</v>
      </c>
      <c r="B435" s="14" t="str">
        <f ca="1"/>
        <v>AutoCaptureMode</v>
      </c>
      <c r="D435" s="8" t="str">
        <f ca="1"/>
        <v/>
      </c>
      <c r="E435" s="8" t="str">
        <f ca="1"/>
        <v>AutoCaptureMode</v>
      </c>
      <c r="F435" s="8" t="str">
        <f ca="1"/>
        <v/>
      </c>
      <c r="G435" s="8" t="str">
        <f ca="1"/>
        <v/>
      </c>
      <c r="H435" s="7" t="str">
        <f ca="1"/>
        <v/>
      </c>
      <c r="I435" s="7" t="str">
        <f ca="1"/>
        <v/>
      </c>
      <c r="J435" s="7" t="str">
        <f ca="1"/>
        <v/>
      </c>
      <c r="K435" s="7" t="str">
        <f ca="1"/>
        <v/>
      </c>
      <c r="L435" s="7" t="str">
        <f ca="1"/>
        <v/>
      </c>
      <c r="M435" s="7" t="str">
        <f ca="1"/>
        <v/>
      </c>
      <c r="N435" s="7" t="str">
        <f ca="1"/>
        <v/>
      </c>
      <c r="O435" s="7" t="str">
        <f ca="1"/>
        <v/>
      </c>
      <c r="P435" s="7" t="str">
        <f ca="1"/>
        <v/>
      </c>
      <c r="Q435" s="7" t="str">
        <f ca="1"/>
        <v/>
      </c>
      <c r="T435" s="7" t="str">
        <f ca="1"/>
        <v>Z9</v>
      </c>
      <c r="U435" s="7" t="str">
        <f ca="1"/>
        <v>0xD0A2</v>
      </c>
      <c r="V435" s="7" t="str">
        <f ca="1"/>
        <v>MovieRecordMicrophoneLevel</v>
      </c>
      <c r="X435" s="8" t="s">
        <v>822</v>
      </c>
      <c r="Y435" s="8" t="s">
        <v>822</v>
      </c>
      <c r="Z435" s="8" t="s">
        <v>840</v>
      </c>
      <c r="AA435" s="8" t="s">
        <v>840</v>
      </c>
      <c r="AB435" s="7" t="s">
        <v>888</v>
      </c>
      <c r="AC435" s="7" t="s">
        <v>842</v>
      </c>
      <c r="AD435" s="7" t="s">
        <v>842</v>
      </c>
      <c r="AE435" s="7" t="s">
        <v>840</v>
      </c>
      <c r="AF435" s="7" t="s">
        <v>786</v>
      </c>
      <c r="AG435" s="7" t="s">
        <v>828</v>
      </c>
    </row>
    <row r="436" spans="1:33" x14ac:dyDescent="0.25">
      <c r="A436" s="13" t="str">
        <f ca="1"/>
        <v>0x0001D02E</v>
      </c>
      <c r="B436" s="14" t="str">
        <f ca="1"/>
        <v>AutoCaptureFocusNear</v>
      </c>
      <c r="D436" s="8" t="str">
        <f ca="1"/>
        <v/>
      </c>
      <c r="E436" s="8" t="str">
        <f ca="1"/>
        <v>AutoCaptureFocusNear</v>
      </c>
      <c r="F436" s="8" t="str">
        <f ca="1"/>
        <v/>
      </c>
      <c r="G436" s="8" t="str">
        <f ca="1"/>
        <v/>
      </c>
      <c r="H436" s="7" t="str">
        <f ca="1"/>
        <v/>
      </c>
      <c r="I436" s="7" t="str">
        <f ca="1"/>
        <v/>
      </c>
      <c r="J436" s="7" t="str">
        <f ca="1"/>
        <v/>
      </c>
      <c r="K436" s="7" t="str">
        <f ca="1"/>
        <v/>
      </c>
      <c r="L436" s="7" t="str">
        <f ca="1"/>
        <v/>
      </c>
      <c r="M436" s="7" t="str">
        <f ca="1"/>
        <v/>
      </c>
      <c r="N436" s="7" t="str">
        <f ca="1"/>
        <v/>
      </c>
      <c r="O436" s="7" t="str">
        <f ca="1"/>
        <v/>
      </c>
      <c r="P436" s="7" t="str">
        <f ca="1"/>
        <v/>
      </c>
      <c r="Q436" s="7" t="str">
        <f ca="1"/>
        <v/>
      </c>
      <c r="T436" s="7" t="str">
        <f ca="1"/>
        <v>Z9</v>
      </c>
      <c r="U436" s="7" t="str">
        <f ca="1"/>
        <v>0xD0A3</v>
      </c>
      <c r="V436" s="7" t="str">
        <f ca="1"/>
        <v>MovieRecordDestination</v>
      </c>
      <c r="X436" s="8" t="s">
        <v>823</v>
      </c>
      <c r="Y436" s="8" t="s">
        <v>823</v>
      </c>
      <c r="Z436" s="8" t="s">
        <v>841</v>
      </c>
      <c r="AA436" s="8" t="s">
        <v>841</v>
      </c>
      <c r="AB436" s="7" t="s">
        <v>889</v>
      </c>
      <c r="AC436" s="7" t="s">
        <v>1536</v>
      </c>
      <c r="AD436" s="7" t="s">
        <v>1536</v>
      </c>
      <c r="AE436" s="7" t="s">
        <v>841</v>
      </c>
      <c r="AF436" s="7" t="s">
        <v>787</v>
      </c>
      <c r="AG436" s="7" t="s">
        <v>829</v>
      </c>
    </row>
    <row r="437" spans="1:33" x14ac:dyDescent="0.25">
      <c r="A437" s="13" t="str">
        <f ca="1"/>
        <v>0x0001D02F</v>
      </c>
      <c r="B437" s="14" t="str">
        <f ca="1"/>
        <v>AutoCaptureFocusFar</v>
      </c>
      <c r="D437" s="8" t="str">
        <f ca="1"/>
        <v/>
      </c>
      <c r="E437" s="8" t="str">
        <f ca="1"/>
        <v>AutoCaptureFocusFar</v>
      </c>
      <c r="F437" s="8" t="str">
        <f ca="1"/>
        <v/>
      </c>
      <c r="G437" s="8" t="str">
        <f ca="1"/>
        <v/>
      </c>
      <c r="H437" s="7" t="str">
        <f ca="1"/>
        <v/>
      </c>
      <c r="I437" s="7" t="str">
        <f ca="1"/>
        <v/>
      </c>
      <c r="J437" s="7" t="str">
        <f ca="1"/>
        <v/>
      </c>
      <c r="K437" s="7" t="str">
        <f ca="1"/>
        <v/>
      </c>
      <c r="L437" s="7" t="str">
        <f ca="1"/>
        <v/>
      </c>
      <c r="M437" s="7" t="str">
        <f ca="1"/>
        <v/>
      </c>
      <c r="N437" s="7" t="str">
        <f ca="1"/>
        <v/>
      </c>
      <c r="O437" s="7" t="str">
        <f ca="1"/>
        <v/>
      </c>
      <c r="P437" s="7" t="str">
        <f ca="1"/>
        <v/>
      </c>
      <c r="Q437" s="7" t="str">
        <f ca="1"/>
        <v/>
      </c>
      <c r="T437" s="7" t="str">
        <f ca="1"/>
        <v>Z9</v>
      </c>
      <c r="U437" s="7" t="str">
        <f ca="1"/>
        <v>0xD0A4</v>
      </c>
      <c r="V437" s="7" t="str">
        <f ca="1"/>
        <v>MovieRecProhibitionCondition</v>
      </c>
      <c r="X437" s="8" t="s">
        <v>824</v>
      </c>
      <c r="Y437" s="8" t="s">
        <v>824</v>
      </c>
      <c r="Z437" s="8" t="s">
        <v>842</v>
      </c>
      <c r="AA437" s="8" t="s">
        <v>842</v>
      </c>
      <c r="AB437" s="7" t="s">
        <v>890</v>
      </c>
      <c r="AC437" s="7" t="s">
        <v>844</v>
      </c>
      <c r="AD437" s="7" t="s">
        <v>844</v>
      </c>
      <c r="AE437" s="7" t="s">
        <v>842</v>
      </c>
      <c r="AF437" s="7" t="s">
        <v>788</v>
      </c>
      <c r="AG437" s="7" t="s">
        <v>830</v>
      </c>
    </row>
    <row r="438" spans="1:33" x14ac:dyDescent="0.25">
      <c r="A438" s="13" t="str">
        <f ca="1"/>
        <v>0x0001D030</v>
      </c>
      <c r="B438" s="14" t="str">
        <f ca="1"/>
        <v>AutoCaptureProhibitCondition</v>
      </c>
      <c r="D438" s="8" t="str">
        <f ca="1"/>
        <v/>
      </c>
      <c r="E438" s="8" t="str">
        <f ca="1"/>
        <v>AutoCaptureProhibitCondition</v>
      </c>
      <c r="F438" s="8" t="str">
        <f ca="1"/>
        <v/>
      </c>
      <c r="G438" s="8" t="str">
        <f ca="1"/>
        <v/>
      </c>
      <c r="H438" s="7" t="str">
        <f ca="1"/>
        <v/>
      </c>
      <c r="I438" s="7" t="str">
        <f ca="1"/>
        <v/>
      </c>
      <c r="J438" s="7" t="str">
        <f ca="1"/>
        <v/>
      </c>
      <c r="K438" s="7" t="str">
        <f ca="1"/>
        <v/>
      </c>
      <c r="L438" s="7" t="str">
        <f ca="1"/>
        <v/>
      </c>
      <c r="M438" s="7" t="str">
        <f ca="1"/>
        <v/>
      </c>
      <c r="N438" s="7" t="str">
        <f ca="1"/>
        <v/>
      </c>
      <c r="O438" s="7" t="str">
        <f ca="1"/>
        <v/>
      </c>
      <c r="P438" s="7" t="str">
        <f ca="1"/>
        <v/>
      </c>
      <c r="Q438" s="7" t="str">
        <f ca="1"/>
        <v/>
      </c>
      <c r="T438" s="7" t="str">
        <f ca="1"/>
        <v>Z9</v>
      </c>
      <c r="U438" s="7" t="str">
        <f ca="1"/>
        <v>0xD0A8</v>
      </c>
      <c r="V438" s="7" t="str">
        <f ca="1"/>
        <v>MovieRecordMicrophoneLevelValue</v>
      </c>
      <c r="X438" s="8" t="s">
        <v>825</v>
      </c>
      <c r="Y438" s="8" t="s">
        <v>825</v>
      </c>
      <c r="Z438" s="8" t="s">
        <v>843</v>
      </c>
      <c r="AA438" s="8" t="s">
        <v>843</v>
      </c>
      <c r="AB438" s="7" t="s">
        <v>891</v>
      </c>
      <c r="AC438" s="7" t="s">
        <v>845</v>
      </c>
      <c r="AD438" s="7" t="s">
        <v>845</v>
      </c>
      <c r="AE438" s="7" t="s">
        <v>1536</v>
      </c>
      <c r="AF438" s="7" t="s">
        <v>789</v>
      </c>
      <c r="AG438" s="7" t="s">
        <v>831</v>
      </c>
    </row>
    <row r="439" spans="1:33" x14ac:dyDescent="0.25">
      <c r="A439" s="13" t="str">
        <f ca="1"/>
        <v>0x0001D031</v>
      </c>
      <c r="B439" s="14" t="str">
        <f ca="1"/>
        <v>HighFrequencyFlickerReduction</v>
      </c>
      <c r="D439" s="8" t="str">
        <f ca="1"/>
        <v>HighFrequencyFlickerReduction</v>
      </c>
      <c r="E439" s="8" t="str">
        <f ca="1"/>
        <v>HighFrequencyFlickerReduction</v>
      </c>
      <c r="F439" s="8" t="str">
        <f ca="1"/>
        <v/>
      </c>
      <c r="G439" s="8" t="str">
        <f ca="1"/>
        <v/>
      </c>
      <c r="H439" s="7" t="str">
        <f ca="1"/>
        <v/>
      </c>
      <c r="I439" s="7" t="str">
        <f ca="1"/>
        <v/>
      </c>
      <c r="J439" s="7" t="str">
        <f ca="1"/>
        <v/>
      </c>
      <c r="K439" s="7" t="str">
        <f ca="1"/>
        <v/>
      </c>
      <c r="L439" s="7" t="str">
        <f ca="1"/>
        <v/>
      </c>
      <c r="M439" s="7" t="str">
        <f ca="1"/>
        <v/>
      </c>
      <c r="N439" s="7" t="str">
        <f ca="1"/>
        <v/>
      </c>
      <c r="O439" s="7" t="str">
        <f ca="1"/>
        <v/>
      </c>
      <c r="P439" s="7" t="str">
        <f ca="1"/>
        <v/>
      </c>
      <c r="Q439" s="7" t="str">
        <f ca="1"/>
        <v/>
      </c>
      <c r="T439" s="7" t="str">
        <f ca="1"/>
        <v>Z9</v>
      </c>
      <c r="U439" s="7" t="str">
        <f ca="1"/>
        <v>0xD0AA</v>
      </c>
      <c r="V439" s="7" t="str">
        <f ca="1"/>
        <v>MovieWindNoiseReduction</v>
      </c>
      <c r="X439" s="8" t="s">
        <v>826</v>
      </c>
      <c r="Y439" s="8" t="s">
        <v>826</v>
      </c>
      <c r="Z439" s="8" t="s">
        <v>844</v>
      </c>
      <c r="AA439" s="8" t="s">
        <v>844</v>
      </c>
      <c r="AB439" s="7" t="s">
        <v>892</v>
      </c>
      <c r="AC439" s="7" t="s">
        <v>846</v>
      </c>
      <c r="AD439" s="7" t="s">
        <v>846</v>
      </c>
      <c r="AE439" s="7" t="s">
        <v>844</v>
      </c>
      <c r="AF439" s="7" t="s">
        <v>790</v>
      </c>
      <c r="AG439" s="7" t="s">
        <v>832</v>
      </c>
    </row>
    <row r="440" spans="1:33" x14ac:dyDescent="0.25">
      <c r="A440" s="13" t="str">
        <f ca="1"/>
        <v>0x0001D032</v>
      </c>
      <c r="B440" s="14" t="str">
        <f ca="1"/>
        <v>MovieHighFrequencyFlickerReduction</v>
      </c>
      <c r="D440" s="8" t="str">
        <f ca="1"/>
        <v>MovieHighFrequencyFlickerReduction</v>
      </c>
      <c r="E440" s="8" t="str">
        <f ca="1"/>
        <v>MovieHighFrequencyFlickerReduction</v>
      </c>
      <c r="F440" s="8" t="str">
        <f ca="1"/>
        <v/>
      </c>
      <c r="G440" s="8" t="str">
        <f ca="1"/>
        <v/>
      </c>
      <c r="H440" s="7" t="str">
        <f ca="1"/>
        <v/>
      </c>
      <c r="I440" s="7" t="str">
        <f ca="1"/>
        <v/>
      </c>
      <c r="J440" s="7" t="str">
        <f ca="1"/>
        <v/>
      </c>
      <c r="K440" s="7" t="str">
        <f ca="1"/>
        <v/>
      </c>
      <c r="L440" s="7" t="str">
        <f ca="1"/>
        <v/>
      </c>
      <c r="M440" s="7" t="str">
        <f ca="1"/>
        <v/>
      </c>
      <c r="N440" s="7" t="str">
        <f ca="1"/>
        <v/>
      </c>
      <c r="O440" s="7" t="str">
        <f ca="1"/>
        <v/>
      </c>
      <c r="P440" s="7" t="str">
        <f ca="1"/>
        <v/>
      </c>
      <c r="Q440" s="7" t="str">
        <f ca="1"/>
        <v/>
      </c>
      <c r="T440" s="7" t="str">
        <f ca="1"/>
        <v>Z9</v>
      </c>
      <c r="U440" s="7" t="str">
        <f ca="1"/>
        <v>0xD0AC</v>
      </c>
      <c r="V440" s="7" t="str">
        <f ca="1"/>
        <v>MovieRecordingZone</v>
      </c>
      <c r="X440" s="8" t="s">
        <v>827</v>
      </c>
      <c r="Y440" s="8" t="s">
        <v>827</v>
      </c>
      <c r="Z440" s="8" t="s">
        <v>845</v>
      </c>
      <c r="AA440" s="8" t="s">
        <v>845</v>
      </c>
      <c r="AB440" s="7" t="s">
        <v>893</v>
      </c>
      <c r="AC440" s="7" t="s">
        <v>847</v>
      </c>
      <c r="AD440" s="7" t="s">
        <v>847</v>
      </c>
      <c r="AE440" s="7" t="s">
        <v>845</v>
      </c>
      <c r="AF440" s="7" t="s">
        <v>791</v>
      </c>
      <c r="AG440" s="7" t="s">
        <v>833</v>
      </c>
    </row>
    <row r="441" spans="1:33" x14ac:dyDescent="0.25">
      <c r="A441" s="13" t="str">
        <f ca="1"/>
        <v>0x0001D033</v>
      </c>
      <c r="B441" s="14" t="str">
        <f ca="1"/>
        <v>HiResZoom</v>
      </c>
      <c r="D441" s="8" t="str">
        <f ca="1"/>
        <v>HiResZoom</v>
      </c>
      <c r="E441" s="8" t="str">
        <f ca="1"/>
        <v>HiResZoom</v>
      </c>
      <c r="F441" s="8" t="str">
        <f ca="1"/>
        <v/>
      </c>
      <c r="G441" s="8" t="str">
        <f ca="1"/>
        <v/>
      </c>
      <c r="H441" s="7" t="str">
        <f ca="1"/>
        <v/>
      </c>
      <c r="I441" s="7" t="str">
        <f ca="1"/>
        <v/>
      </c>
      <c r="J441" s="7" t="str">
        <f ca="1"/>
        <v/>
      </c>
      <c r="K441" s="7" t="str">
        <f ca="1"/>
        <v/>
      </c>
      <c r="L441" s="7" t="str">
        <f ca="1"/>
        <v/>
      </c>
      <c r="M441" s="7" t="str">
        <f ca="1"/>
        <v/>
      </c>
      <c r="N441" s="7" t="str">
        <f ca="1"/>
        <v/>
      </c>
      <c r="O441" s="7" t="str">
        <f ca="1"/>
        <v/>
      </c>
      <c r="P441" s="7" t="str">
        <f ca="1"/>
        <v/>
      </c>
      <c r="Q441" s="7" t="str">
        <f ca="1"/>
        <v/>
      </c>
      <c r="T441" s="7" t="str">
        <f ca="1"/>
        <v>Z9</v>
      </c>
      <c r="U441" s="7" t="str">
        <f ca="1"/>
        <v>0xD0AD</v>
      </c>
      <c r="V441" s="7" t="str">
        <f ca="1"/>
        <v>MovieISOAutoControl</v>
      </c>
      <c r="X441" s="8" t="s">
        <v>828</v>
      </c>
      <c r="Y441" s="8" t="s">
        <v>828</v>
      </c>
      <c r="Z441" s="8" t="s">
        <v>846</v>
      </c>
      <c r="AA441" s="8" t="s">
        <v>846</v>
      </c>
      <c r="AB441" s="7" t="s">
        <v>894</v>
      </c>
      <c r="AC441" s="7" t="s">
        <v>848</v>
      </c>
      <c r="AD441" s="7" t="s">
        <v>848</v>
      </c>
      <c r="AE441" s="7" t="s">
        <v>846</v>
      </c>
      <c r="AF441" s="7" t="s">
        <v>792</v>
      </c>
      <c r="AG441" s="7" t="s">
        <v>834</v>
      </c>
    </row>
    <row r="442" spans="1:33" x14ac:dyDescent="0.25">
      <c r="A442" s="13" t="str">
        <f ca="1"/>
        <v>0x0001D036</v>
      </c>
      <c r="B442" s="14" t="str">
        <f ca="1"/>
        <v>ViewModeShowEffectsOfSettings</v>
      </c>
      <c r="D442" s="8" t="str">
        <f ca="1"/>
        <v>ViewModeShowEffectsOfSettings</v>
      </c>
      <c r="E442" s="8" t="str">
        <f ca="1"/>
        <v>ViewModeShowEffectsOfSettings</v>
      </c>
      <c r="F442" s="8" t="str">
        <f ca="1"/>
        <v/>
      </c>
      <c r="G442" s="8" t="str">
        <f ca="1"/>
        <v/>
      </c>
      <c r="H442" s="7" t="str">
        <f ca="1"/>
        <v/>
      </c>
      <c r="I442" s="7" t="str">
        <f ca="1"/>
        <v/>
      </c>
      <c r="J442" s="7" t="str">
        <f ca="1"/>
        <v/>
      </c>
      <c r="K442" s="7" t="str">
        <f ca="1"/>
        <v/>
      </c>
      <c r="L442" s="7" t="str">
        <f ca="1"/>
        <v/>
      </c>
      <c r="M442" s="7" t="str">
        <f ca="1"/>
        <v/>
      </c>
      <c r="N442" s="7" t="str">
        <f ca="1"/>
        <v/>
      </c>
      <c r="O442" s="7" t="str">
        <f ca="1"/>
        <v/>
      </c>
      <c r="P442" s="7" t="str">
        <f ca="1"/>
        <v/>
      </c>
      <c r="Q442" s="7" t="str">
        <f ca="1"/>
        <v/>
      </c>
      <c r="T442" s="7" t="str">
        <f ca="1"/>
        <v>Z9</v>
      </c>
      <c r="U442" s="7" t="str">
        <f ca="1"/>
        <v>0xD0AE</v>
      </c>
      <c r="V442" s="7" t="str">
        <f ca="1"/>
        <v>MovieISOAutoHighLimit</v>
      </c>
      <c r="X442" s="8" t="s">
        <v>829</v>
      </c>
      <c r="Y442" s="8" t="s">
        <v>829</v>
      </c>
      <c r="Z442" s="8" t="s">
        <v>847</v>
      </c>
      <c r="AA442" s="8" t="s">
        <v>847</v>
      </c>
      <c r="AB442" s="7" t="s">
        <v>895</v>
      </c>
      <c r="AC442" s="7" t="s">
        <v>849</v>
      </c>
      <c r="AD442" s="7" t="s">
        <v>849</v>
      </c>
      <c r="AE442" s="7" t="s">
        <v>847</v>
      </c>
      <c r="AF442" s="7" t="s">
        <v>793</v>
      </c>
      <c r="AG442" s="7" t="s">
        <v>835</v>
      </c>
    </row>
    <row r="443" spans="1:33" x14ac:dyDescent="0.25">
      <c r="A443" s="13" t="str">
        <f ca="1"/>
        <v>0x0001D03D</v>
      </c>
      <c r="B443" s="14" t="str">
        <f ca="1"/>
        <v>FlickerReductionShutterSpeed</v>
      </c>
      <c r="D443" s="8" t="str">
        <f ca="1"/>
        <v>FlickerReductionShutterSpeed</v>
      </c>
      <c r="E443" s="8" t="str">
        <f ca="1"/>
        <v>FlickerReductionShutterSpeed</v>
      </c>
      <c r="F443" s="8" t="str">
        <f ca="1"/>
        <v/>
      </c>
      <c r="G443" s="8" t="str">
        <f ca="1"/>
        <v/>
      </c>
      <c r="H443" s="7" t="str">
        <f ca="1"/>
        <v/>
      </c>
      <c r="I443" s="7" t="str">
        <f ca="1"/>
        <v/>
      </c>
      <c r="J443" s="7" t="str">
        <f ca="1"/>
        <v/>
      </c>
      <c r="K443" s="7" t="str">
        <f ca="1"/>
        <v/>
      </c>
      <c r="L443" s="7" t="str">
        <f ca="1"/>
        <v/>
      </c>
      <c r="M443" s="7" t="str">
        <f ca="1"/>
        <v/>
      </c>
      <c r="N443" s="7" t="str">
        <f ca="1"/>
        <v/>
      </c>
      <c r="O443" s="7" t="str">
        <f ca="1"/>
        <v/>
      </c>
      <c r="P443" s="7" t="str">
        <f ca="1"/>
        <v/>
      </c>
      <c r="Q443" s="7" t="str">
        <f ca="1"/>
        <v/>
      </c>
      <c r="T443" s="7" t="str">
        <f ca="1"/>
        <v>Z9</v>
      </c>
      <c r="U443" s="7" t="str">
        <f ca="1"/>
        <v>0xD0AF</v>
      </c>
      <c r="V443" s="7" t="str">
        <f ca="1"/>
        <v>MovieFileType</v>
      </c>
      <c r="X443" s="8" t="s">
        <v>830</v>
      </c>
      <c r="Y443" s="8" t="s">
        <v>830</v>
      </c>
      <c r="Z443" s="8" t="s">
        <v>848</v>
      </c>
      <c r="AA443" s="8" t="s">
        <v>848</v>
      </c>
      <c r="AB443" s="7" t="s">
        <v>896</v>
      </c>
      <c r="AC443" s="7" t="s">
        <v>850</v>
      </c>
      <c r="AD443" s="7" t="s">
        <v>850</v>
      </c>
      <c r="AE443" s="7" t="s">
        <v>848</v>
      </c>
      <c r="AF443" s="7" t="s">
        <v>794</v>
      </c>
      <c r="AG443" s="7" t="s">
        <v>1534</v>
      </c>
    </row>
    <row r="444" spans="1:33" x14ac:dyDescent="0.25">
      <c r="A444" s="13" t="str">
        <f ca="1"/>
        <v>0x0001D041</v>
      </c>
      <c r="B444" s="14" t="str">
        <f ca="1"/>
        <v>EnableDXImageSize</v>
      </c>
      <c r="D444" s="8" t="str">
        <f ca="1"/>
        <v>EnableDXImageSize</v>
      </c>
      <c r="E444" s="8" t="str">
        <f ca="1"/>
        <v>EnableDXImageSize</v>
      </c>
      <c r="F444" s="8" t="str">
        <f ca="1"/>
        <v/>
      </c>
      <c r="G444" s="8" t="str">
        <f ca="1"/>
        <v/>
      </c>
      <c r="H444" s="7" t="str">
        <f ca="1"/>
        <v/>
      </c>
      <c r="I444" s="7" t="str">
        <f ca="1"/>
        <v/>
      </c>
      <c r="J444" s="7" t="str">
        <f ca="1"/>
        <v/>
      </c>
      <c r="K444" s="7" t="str">
        <f ca="1"/>
        <v/>
      </c>
      <c r="L444" s="7" t="str">
        <f ca="1"/>
        <v/>
      </c>
      <c r="M444" s="7" t="str">
        <f ca="1"/>
        <v/>
      </c>
      <c r="N444" s="7" t="str">
        <f ca="1"/>
        <v/>
      </c>
      <c r="O444" s="7" t="str">
        <f ca="1"/>
        <v/>
      </c>
      <c r="P444" s="7" t="str">
        <f ca="1"/>
        <v/>
      </c>
      <c r="Q444" s="7" t="str">
        <f ca="1"/>
        <v/>
      </c>
      <c r="T444" s="7" t="str">
        <f ca="1"/>
        <v>Z9</v>
      </c>
      <c r="U444" s="7" t="str">
        <f ca="1"/>
        <v>0xD0B4</v>
      </c>
      <c r="V444" s="7" t="str">
        <f ca="1"/>
        <v>ExposureIndexEx</v>
      </c>
      <c r="X444" s="8" t="s">
        <v>831</v>
      </c>
      <c r="Y444" s="8" t="s">
        <v>831</v>
      </c>
      <c r="Z444" s="8" t="s">
        <v>849</v>
      </c>
      <c r="AA444" s="8" t="s">
        <v>849</v>
      </c>
      <c r="AB444" s="7" t="s">
        <v>897</v>
      </c>
      <c r="AC444" s="7" t="s">
        <v>851</v>
      </c>
      <c r="AD444" s="7" t="s">
        <v>851</v>
      </c>
      <c r="AE444" s="7" t="s">
        <v>849</v>
      </c>
      <c r="AF444" s="7" t="s">
        <v>795</v>
      </c>
      <c r="AG444" s="7" t="s">
        <v>1535</v>
      </c>
    </row>
    <row r="445" spans="1:33" x14ac:dyDescent="0.25">
      <c r="A445" s="13" t="str">
        <f ca="1"/>
        <v>0x0001D042</v>
      </c>
      <c r="B445" s="14" t="str">
        <f ca="1"/>
        <v>ImageSizeDX</v>
      </c>
      <c r="D445" s="8" t="str">
        <f ca="1"/>
        <v>ImageSizeDX</v>
      </c>
      <c r="E445" s="8" t="str">
        <f ca="1"/>
        <v>ImageSizeDX</v>
      </c>
      <c r="F445" s="8" t="str">
        <f ca="1"/>
        <v/>
      </c>
      <c r="G445" s="8" t="str">
        <f ca="1"/>
        <v/>
      </c>
      <c r="H445" s="7" t="str">
        <f ca="1"/>
        <v/>
      </c>
      <c r="I445" s="7" t="str">
        <f ca="1"/>
        <v/>
      </c>
      <c r="J445" s="7" t="str">
        <f ca="1"/>
        <v/>
      </c>
      <c r="K445" s="7" t="str">
        <f ca="1"/>
        <v/>
      </c>
      <c r="L445" s="7" t="str">
        <f ca="1"/>
        <v/>
      </c>
      <c r="M445" s="7" t="str">
        <f ca="1"/>
        <v/>
      </c>
      <c r="N445" s="7" t="str">
        <f ca="1"/>
        <v/>
      </c>
      <c r="O445" s="7" t="str">
        <f ca="1"/>
        <v/>
      </c>
      <c r="P445" s="7" t="str">
        <f ca="1"/>
        <v/>
      </c>
      <c r="Q445" s="7" t="str">
        <f ca="1"/>
        <v/>
      </c>
      <c r="T445" s="7" t="str">
        <f ca="1"/>
        <v>Z9</v>
      </c>
      <c r="U445" s="7" t="str">
        <f ca="1"/>
        <v>0xD0B5</v>
      </c>
      <c r="V445" s="7" t="str">
        <f ca="1"/>
        <v>ISOControlSensitivity</v>
      </c>
      <c r="X445" s="8" t="s">
        <v>832</v>
      </c>
      <c r="Y445" s="8" t="s">
        <v>832</v>
      </c>
      <c r="Z445" s="8" t="s">
        <v>850</v>
      </c>
      <c r="AA445" s="8" t="s">
        <v>850</v>
      </c>
      <c r="AB445" s="7" t="s">
        <v>898</v>
      </c>
      <c r="AC445" s="7" t="s">
        <v>852</v>
      </c>
      <c r="AD445" s="7" t="s">
        <v>852</v>
      </c>
      <c r="AE445" s="7" t="s">
        <v>850</v>
      </c>
      <c r="AF445" s="7" t="s">
        <v>1222</v>
      </c>
      <c r="AG445" s="7" t="s">
        <v>836</v>
      </c>
    </row>
    <row r="446" spans="1:33" x14ac:dyDescent="0.25">
      <c r="A446" s="13" t="str">
        <f ca="1"/>
        <v>0x0001D045</v>
      </c>
      <c r="B446" s="14" t="str">
        <f ca="1"/>
        <v>PixelShiftShootingMode</v>
      </c>
      <c r="D446" s="8" t="str">
        <f ca="1"/>
        <v>PixelShiftShootingMode</v>
      </c>
      <c r="E446" s="8" t="str">
        <f ca="1"/>
        <v/>
      </c>
      <c r="F446" s="8" t="str">
        <f ca="1"/>
        <v/>
      </c>
      <c r="G446" s="8" t="str">
        <f ca="1"/>
        <v/>
      </c>
      <c r="H446" s="7" t="str">
        <f ca="1"/>
        <v/>
      </c>
      <c r="I446" s="7" t="str">
        <f ca="1"/>
        <v/>
      </c>
      <c r="J446" s="7" t="str">
        <f ca="1"/>
        <v/>
      </c>
      <c r="K446" s="7" t="str">
        <f ca="1"/>
        <v/>
      </c>
      <c r="L446" s="7" t="str">
        <f ca="1"/>
        <v/>
      </c>
      <c r="M446" s="7" t="str">
        <f ca="1"/>
        <v/>
      </c>
      <c r="N446" s="7" t="str">
        <f ca="1"/>
        <v/>
      </c>
      <c r="O446" s="7" t="str">
        <f ca="1"/>
        <v/>
      </c>
      <c r="P446" s="7" t="str">
        <f ca="1"/>
        <v/>
      </c>
      <c r="Q446" s="7" t="str">
        <f ca="1"/>
        <v/>
      </c>
      <c r="T446" s="7" t="str">
        <f ca="1"/>
        <v>Z9</v>
      </c>
      <c r="U446" s="7" t="str">
        <f ca="1"/>
        <v>0xD0B7</v>
      </c>
      <c r="V446" s="7" t="str">
        <f ca="1"/>
        <v>FlickerReductionSetting</v>
      </c>
      <c r="X446" s="8" t="s">
        <v>833</v>
      </c>
      <c r="Y446" s="8" t="s">
        <v>833</v>
      </c>
      <c r="Z446" s="8" t="s">
        <v>851</v>
      </c>
      <c r="AA446" s="8" t="s">
        <v>851</v>
      </c>
      <c r="AB446" s="7" t="s">
        <v>899</v>
      </c>
      <c r="AC446" s="7" t="s">
        <v>853</v>
      </c>
      <c r="AD446" s="7" t="s">
        <v>853</v>
      </c>
      <c r="AE446" s="7" t="s">
        <v>851</v>
      </c>
      <c r="AF446" s="7" t="s">
        <v>1223</v>
      </c>
      <c r="AG446" s="7" t="s">
        <v>837</v>
      </c>
    </row>
    <row r="447" spans="1:33" x14ac:dyDescent="0.25">
      <c r="A447" s="13" t="str">
        <f ca="1"/>
        <v>0x0001D046</v>
      </c>
      <c r="B447" s="14" t="str">
        <f ca="1"/>
        <v>WideAreaAFC1</v>
      </c>
      <c r="D447" s="8" t="str">
        <f ca="1"/>
        <v>WideAreaAFC1</v>
      </c>
      <c r="E447" s="8" t="str">
        <f ca="1"/>
        <v>WideAreaAFC1</v>
      </c>
      <c r="F447" s="8" t="str">
        <f ca="1"/>
        <v/>
      </c>
      <c r="G447" s="8" t="str">
        <f ca="1"/>
        <v/>
      </c>
      <c r="H447" s="7" t="str">
        <f ca="1"/>
        <v/>
      </c>
      <c r="I447" s="7" t="str">
        <f ca="1"/>
        <v/>
      </c>
      <c r="J447" s="7" t="str">
        <f ca="1"/>
        <v/>
      </c>
      <c r="K447" s="7" t="str">
        <f ca="1"/>
        <v/>
      </c>
      <c r="L447" s="7" t="str">
        <f ca="1"/>
        <v/>
      </c>
      <c r="M447" s="7" t="str">
        <f ca="1"/>
        <v/>
      </c>
      <c r="N447" s="7" t="str">
        <f ca="1"/>
        <v/>
      </c>
      <c r="O447" s="7" t="str">
        <f ca="1"/>
        <v/>
      </c>
      <c r="P447" s="7" t="str">
        <f ca="1"/>
        <v/>
      </c>
      <c r="Q447" s="7" t="str">
        <f ca="1"/>
        <v/>
      </c>
      <c r="T447" s="7" t="str">
        <f ca="1"/>
        <v>Z9</v>
      </c>
      <c r="U447" s="7" t="str">
        <f ca="1"/>
        <v>0xD0BA</v>
      </c>
      <c r="V447" s="7" t="str">
        <f ca="1"/>
        <v>DiffractionCompensation</v>
      </c>
      <c r="X447" s="8" t="s">
        <v>834</v>
      </c>
      <c r="Y447" s="8" t="s">
        <v>834</v>
      </c>
      <c r="Z447" s="8" t="s">
        <v>852</v>
      </c>
      <c r="AA447" s="8" t="s">
        <v>852</v>
      </c>
      <c r="AB447" s="7" t="s">
        <v>900</v>
      </c>
      <c r="AC447" s="7" t="s">
        <v>854</v>
      </c>
      <c r="AD447" s="7" t="s">
        <v>854</v>
      </c>
      <c r="AE447" s="7" t="s">
        <v>852</v>
      </c>
      <c r="AF447" s="7" t="s">
        <v>796</v>
      </c>
      <c r="AG447" s="7" t="s">
        <v>838</v>
      </c>
    </row>
    <row r="448" spans="1:33" x14ac:dyDescent="0.25">
      <c r="A448" s="13" t="str">
        <f ca="1"/>
        <v>0x0001D047</v>
      </c>
      <c r="B448" s="14" t="str">
        <f ca="1"/>
        <v>WideAreaAFC2</v>
      </c>
      <c r="D448" s="8" t="str">
        <f ca="1"/>
        <v>WideAreaAFC2</v>
      </c>
      <c r="E448" s="8" t="str">
        <f ca="1"/>
        <v>WideAreaAFC2</v>
      </c>
      <c r="F448" s="8" t="str">
        <f ca="1"/>
        <v/>
      </c>
      <c r="G448" s="8" t="str">
        <f ca="1"/>
        <v/>
      </c>
      <c r="H448" s="7" t="str">
        <f ca="1"/>
        <v/>
      </c>
      <c r="I448" s="7" t="str">
        <f ca="1"/>
        <v/>
      </c>
      <c r="J448" s="7" t="str">
        <f ca="1"/>
        <v/>
      </c>
      <c r="K448" s="7" t="str">
        <f ca="1"/>
        <v/>
      </c>
      <c r="L448" s="7" t="str">
        <f ca="1"/>
        <v/>
      </c>
      <c r="M448" s="7" t="str">
        <f ca="1"/>
        <v/>
      </c>
      <c r="N448" s="7" t="str">
        <f ca="1"/>
        <v/>
      </c>
      <c r="O448" s="7" t="str">
        <f ca="1"/>
        <v/>
      </c>
      <c r="P448" s="7" t="str">
        <f ca="1"/>
        <v/>
      </c>
      <c r="Q448" s="7" t="str">
        <f ca="1"/>
        <v/>
      </c>
      <c r="T448" s="7" t="str">
        <f ca="1"/>
        <v>Z9</v>
      </c>
      <c r="U448" s="7" t="str">
        <f ca="1"/>
        <v>0xD0BB</v>
      </c>
      <c r="V448" s="7" t="str">
        <f ca="1"/>
        <v>MovieLogOutput</v>
      </c>
      <c r="X448" s="8" t="s">
        <v>835</v>
      </c>
      <c r="Y448" s="8" t="s">
        <v>835</v>
      </c>
      <c r="Z448" s="8" t="s">
        <v>853</v>
      </c>
      <c r="AA448" s="8" t="s">
        <v>853</v>
      </c>
      <c r="AB448" s="7" t="s">
        <v>901</v>
      </c>
      <c r="AC448" s="7" t="s">
        <v>855</v>
      </c>
      <c r="AD448" s="7" t="s">
        <v>855</v>
      </c>
      <c r="AE448" s="7" t="s">
        <v>853</v>
      </c>
      <c r="AF448" s="7" t="s">
        <v>797</v>
      </c>
      <c r="AG448" s="7" t="s">
        <v>839</v>
      </c>
    </row>
    <row r="449" spans="1:33" x14ac:dyDescent="0.25">
      <c r="A449" s="13" t="str">
        <f ca="1"/>
        <v>0x0001D048</v>
      </c>
      <c r="B449" s="14" t="str">
        <f ca="1"/>
        <v>MovieWideAreaAFC1</v>
      </c>
      <c r="D449" s="8" t="str">
        <f ca="1"/>
        <v>MovieWideAreaAFC1</v>
      </c>
      <c r="E449" s="8" t="str">
        <f ca="1"/>
        <v>MovieWideAreaAFC1</v>
      </c>
      <c r="F449" s="8" t="str">
        <f ca="1"/>
        <v/>
      </c>
      <c r="G449" s="8" t="str">
        <f ca="1"/>
        <v/>
      </c>
      <c r="H449" s="7" t="str">
        <f ca="1"/>
        <v/>
      </c>
      <c r="I449" s="7" t="str">
        <f ca="1"/>
        <v/>
      </c>
      <c r="J449" s="7" t="str">
        <f ca="1"/>
        <v/>
      </c>
      <c r="K449" s="7" t="str">
        <f ca="1"/>
        <v/>
      </c>
      <c r="L449" s="7" t="str">
        <f ca="1"/>
        <v/>
      </c>
      <c r="M449" s="7" t="str">
        <f ca="1"/>
        <v/>
      </c>
      <c r="N449" s="7" t="str">
        <f ca="1"/>
        <v/>
      </c>
      <c r="O449" s="7" t="str">
        <f ca="1"/>
        <v/>
      </c>
      <c r="P449" s="7" t="str">
        <f ca="1"/>
        <v/>
      </c>
      <c r="Q449" s="7" t="str">
        <f ca="1"/>
        <v/>
      </c>
      <c r="T449" s="7" t="str">
        <f ca="1"/>
        <v>Z9</v>
      </c>
      <c r="U449" s="7" t="str">
        <f ca="1"/>
        <v>0xD0BC</v>
      </c>
      <c r="V449" s="7" t="str">
        <f ca="1"/>
        <v>MovieAutoDistortion</v>
      </c>
      <c r="X449" s="8" t="s">
        <v>836</v>
      </c>
      <c r="Y449" s="8" t="s">
        <v>836</v>
      </c>
      <c r="Z449" s="8" t="s">
        <v>854</v>
      </c>
      <c r="AA449" s="8" t="s">
        <v>854</v>
      </c>
      <c r="AB449" s="7" t="s">
        <v>902</v>
      </c>
      <c r="AC449" s="7" t="s">
        <v>856</v>
      </c>
      <c r="AD449" s="7" t="s">
        <v>856</v>
      </c>
      <c r="AE449" s="7" t="s">
        <v>854</v>
      </c>
      <c r="AF449" s="7" t="s">
        <v>1224</v>
      </c>
      <c r="AG449" s="7" t="s">
        <v>840</v>
      </c>
    </row>
    <row r="450" spans="1:33" x14ac:dyDescent="0.25">
      <c r="A450" s="13" t="str">
        <f ca="1"/>
        <v>0x0001D049</v>
      </c>
      <c r="B450" s="14" t="str">
        <f ca="1"/>
        <v>MovieWideAreaAFC2</v>
      </c>
      <c r="D450" s="8" t="str">
        <f ca="1"/>
        <v>MovieWideAreaAFC2</v>
      </c>
      <c r="E450" s="8" t="str">
        <f ca="1"/>
        <v>MovieWideAreaAFC2</v>
      </c>
      <c r="F450" s="8" t="str">
        <f ca="1"/>
        <v/>
      </c>
      <c r="G450" s="8" t="str">
        <f ca="1"/>
        <v/>
      </c>
      <c r="H450" s="7" t="str">
        <f ca="1"/>
        <v/>
      </c>
      <c r="I450" s="7" t="str">
        <f ca="1"/>
        <v/>
      </c>
      <c r="J450" s="7" t="str">
        <f ca="1"/>
        <v/>
      </c>
      <c r="K450" s="7" t="str">
        <f ca="1"/>
        <v/>
      </c>
      <c r="L450" s="7" t="str">
        <f ca="1"/>
        <v/>
      </c>
      <c r="M450" s="7" t="str">
        <f ca="1"/>
        <v/>
      </c>
      <c r="N450" s="7" t="str">
        <f ca="1"/>
        <v/>
      </c>
      <c r="O450" s="7" t="str">
        <f ca="1"/>
        <v/>
      </c>
      <c r="P450" s="7" t="str">
        <f ca="1"/>
        <v/>
      </c>
      <c r="Q450" s="7" t="str">
        <f ca="1"/>
        <v/>
      </c>
      <c r="T450" s="7" t="str">
        <f ca="1"/>
        <v>Z9</v>
      </c>
      <c r="U450" s="7" t="str">
        <f ca="1"/>
        <v>0xD0BE</v>
      </c>
      <c r="V450" s="7" t="str">
        <f ca="1"/>
        <v>RemainingExposureTime</v>
      </c>
      <c r="X450" s="8" t="s">
        <v>837</v>
      </c>
      <c r="Y450" s="8" t="s">
        <v>837</v>
      </c>
      <c r="Z450" s="8" t="s">
        <v>855</v>
      </c>
      <c r="AA450" s="8" t="s">
        <v>855</v>
      </c>
      <c r="AB450" s="7" t="s">
        <v>903</v>
      </c>
      <c r="AC450" s="7" t="s">
        <v>857</v>
      </c>
      <c r="AD450" s="7" t="s">
        <v>857</v>
      </c>
      <c r="AE450" s="7" t="s">
        <v>855</v>
      </c>
      <c r="AF450" s="7" t="s">
        <v>1225</v>
      </c>
      <c r="AG450" s="7" t="s">
        <v>841</v>
      </c>
    </row>
    <row r="451" spans="1:33" x14ac:dyDescent="0.25">
      <c r="A451" s="13" t="str">
        <f ca="1"/>
        <v>0x0001D04A</v>
      </c>
      <c r="B451" s="14" t="str">
        <f ca="1"/>
        <v>FmmManualSetting2</v>
      </c>
      <c r="D451" s="8" t="str">
        <f ca="1"/>
        <v>FmmManualSetting2</v>
      </c>
      <c r="E451" s="8" t="str">
        <f ca="1"/>
        <v>FmmManualSetting2</v>
      </c>
      <c r="F451" s="8" t="str">
        <f ca="1"/>
        <v/>
      </c>
      <c r="G451" s="8" t="str">
        <f ca="1"/>
        <v/>
      </c>
      <c r="H451" s="7" t="str">
        <f ca="1"/>
        <v/>
      </c>
      <c r="I451" s="7" t="str">
        <f ca="1"/>
        <v/>
      </c>
      <c r="J451" s="7" t="str">
        <f ca="1"/>
        <v/>
      </c>
      <c r="K451" s="7" t="str">
        <f ca="1"/>
        <v/>
      </c>
      <c r="L451" s="7" t="str">
        <f ca="1"/>
        <v/>
      </c>
      <c r="M451" s="7" t="str">
        <f ca="1"/>
        <v/>
      </c>
      <c r="N451" s="7" t="str">
        <f ca="1"/>
        <v/>
      </c>
      <c r="O451" s="7" t="str">
        <f ca="1"/>
        <v/>
      </c>
      <c r="P451" s="7" t="str">
        <f ca="1"/>
        <v/>
      </c>
      <c r="Q451" s="7" t="str">
        <f ca="1"/>
        <v/>
      </c>
      <c r="T451" s="7" t="str">
        <f ca="1"/>
        <v>Z9</v>
      </c>
      <c r="U451" s="7" t="str">
        <f ca="1"/>
        <v>0xD0C0</v>
      </c>
      <c r="V451" s="7" t="str">
        <f ca="1"/>
        <v>EnableBracketing</v>
      </c>
      <c r="X451" s="8" t="s">
        <v>838</v>
      </c>
      <c r="Y451" s="8" t="s">
        <v>838</v>
      </c>
      <c r="Z451" s="8" t="s">
        <v>1226</v>
      </c>
      <c r="AA451" s="8" t="s">
        <v>1226</v>
      </c>
      <c r="AB451" s="7" t="s">
        <v>904</v>
      </c>
      <c r="AC451" s="7" t="s">
        <v>1228</v>
      </c>
      <c r="AD451" s="7" t="s">
        <v>1228</v>
      </c>
      <c r="AE451" s="7" t="s">
        <v>1226</v>
      </c>
      <c r="AF451" s="7" t="s">
        <v>798</v>
      </c>
      <c r="AG451" s="7" t="s">
        <v>1697</v>
      </c>
    </row>
    <row r="452" spans="1:33" x14ac:dyDescent="0.25">
      <c r="A452" s="13" t="str">
        <f ca="1"/>
        <v>0x0001D04B</v>
      </c>
      <c r="B452" s="14" t="str">
        <f ca="1"/>
        <v>F0ManualSetting2</v>
      </c>
      <c r="D452" s="8" t="str">
        <f ca="1"/>
        <v>F0ManualSetting2</v>
      </c>
      <c r="E452" s="8" t="str">
        <f ca="1"/>
        <v>F0ManualSetting2</v>
      </c>
      <c r="F452" s="8" t="str">
        <f ca="1"/>
        <v/>
      </c>
      <c r="G452" s="8" t="str">
        <f ca="1"/>
        <v/>
      </c>
      <c r="H452" s="7" t="str">
        <f ca="1"/>
        <v/>
      </c>
      <c r="I452" s="7" t="str">
        <f ca="1"/>
        <v/>
      </c>
      <c r="J452" s="7" t="str">
        <f ca="1"/>
        <v/>
      </c>
      <c r="K452" s="7" t="str">
        <f ca="1"/>
        <v/>
      </c>
      <c r="L452" s="7" t="str">
        <f ca="1"/>
        <v/>
      </c>
      <c r="M452" s="7" t="str">
        <f ca="1"/>
        <v/>
      </c>
      <c r="N452" s="7" t="str">
        <f ca="1"/>
        <v/>
      </c>
      <c r="O452" s="7" t="str">
        <f ca="1"/>
        <v/>
      </c>
      <c r="P452" s="7" t="str">
        <f ca="1"/>
        <v/>
      </c>
      <c r="Q452" s="7" t="str">
        <f ca="1"/>
        <v/>
      </c>
      <c r="T452" s="7" t="str">
        <f ca="1"/>
        <v>Z9</v>
      </c>
      <c r="U452" s="7" t="str">
        <f ca="1"/>
        <v>0xD0C1</v>
      </c>
      <c r="V452" s="7" t="str">
        <f ca="1"/>
        <v>AEBracketingStep</v>
      </c>
      <c r="X452" s="8" t="s">
        <v>839</v>
      </c>
      <c r="Y452" s="8" t="s">
        <v>839</v>
      </c>
      <c r="Z452" s="8" t="s">
        <v>1227</v>
      </c>
      <c r="AA452" s="8" t="s">
        <v>1227</v>
      </c>
      <c r="AB452" s="7" t="s">
        <v>905</v>
      </c>
      <c r="AC452" s="7" t="s">
        <v>1229</v>
      </c>
      <c r="AD452" s="7" t="s">
        <v>1229</v>
      </c>
      <c r="AE452" s="7" t="s">
        <v>1227</v>
      </c>
      <c r="AF452" s="7" t="s">
        <v>799</v>
      </c>
      <c r="AG452" s="7" t="s">
        <v>1698</v>
      </c>
    </row>
    <row r="453" spans="1:33" x14ac:dyDescent="0.25">
      <c r="A453" s="13" t="str">
        <f ca="1"/>
        <v>0x0001D04C</v>
      </c>
      <c r="B453" s="14" t="str">
        <f ca="1"/>
        <v>ManualSettingLensName</v>
      </c>
      <c r="D453" s="8" t="str">
        <f ca="1"/>
        <v>ManualSettingLensName</v>
      </c>
      <c r="E453" s="8" t="str">
        <f ca="1"/>
        <v>ManualSettingLensName</v>
      </c>
      <c r="F453" s="8" t="str">
        <f ca="1"/>
        <v/>
      </c>
      <c r="G453" s="8" t="str">
        <f ca="1"/>
        <v/>
      </c>
      <c r="H453" s="7" t="str">
        <f ca="1"/>
        <v/>
      </c>
      <c r="I453" s="7" t="str">
        <f ca="1"/>
        <v/>
      </c>
      <c r="J453" s="7" t="str">
        <f ca="1"/>
        <v/>
      </c>
      <c r="K453" s="7" t="str">
        <f ca="1"/>
        <v/>
      </c>
      <c r="L453" s="7" t="str">
        <f ca="1"/>
        <v/>
      </c>
      <c r="M453" s="7" t="str">
        <f ca="1"/>
        <v/>
      </c>
      <c r="N453" s="7" t="str">
        <f ca="1"/>
        <v/>
      </c>
      <c r="O453" s="7" t="str">
        <f ca="1"/>
        <v/>
      </c>
      <c r="P453" s="7" t="str">
        <f ca="1"/>
        <v/>
      </c>
      <c r="Q453" s="7" t="str">
        <f ca="1"/>
        <v/>
      </c>
      <c r="T453" s="7" t="str">
        <f ca="1"/>
        <v>Z9</v>
      </c>
      <c r="U453" s="7" t="str">
        <f ca="1"/>
        <v>0xD0C2</v>
      </c>
      <c r="V453" s="7" t="str">
        <f ca="1"/>
        <v>AEBracketingPattern</v>
      </c>
      <c r="X453" s="8" t="s">
        <v>840</v>
      </c>
      <c r="Y453" s="8" t="s">
        <v>840</v>
      </c>
      <c r="Z453" s="8" t="s">
        <v>856</v>
      </c>
      <c r="AA453" s="8" t="s">
        <v>856</v>
      </c>
      <c r="AB453" s="7" t="s">
        <v>906</v>
      </c>
      <c r="AC453" s="7" t="s">
        <v>1537</v>
      </c>
      <c r="AD453" s="7" t="s">
        <v>1537</v>
      </c>
      <c r="AE453" s="7" t="s">
        <v>856</v>
      </c>
      <c r="AF453" s="7" t="s">
        <v>800</v>
      </c>
      <c r="AG453" s="7" t="s">
        <v>1699</v>
      </c>
    </row>
    <row r="454" spans="1:33" x14ac:dyDescent="0.25">
      <c r="A454" s="13" t="str">
        <f ca="1"/>
        <v>0x0001D050</v>
      </c>
      <c r="B454" s="14" t="str">
        <f ca="1"/>
        <v>PixelShiftShootingInterval</v>
      </c>
      <c r="D454" s="8" t="str">
        <f ca="1"/>
        <v>PixelShiftShootingInterval</v>
      </c>
      <c r="E454" s="8" t="str">
        <f ca="1"/>
        <v/>
      </c>
      <c r="F454" s="8" t="str">
        <f ca="1"/>
        <v/>
      </c>
      <c r="G454" s="8" t="str">
        <f ca="1"/>
        <v/>
      </c>
      <c r="H454" s="7" t="str">
        <f ca="1"/>
        <v/>
      </c>
      <c r="I454" s="7" t="str">
        <f ca="1"/>
        <v/>
      </c>
      <c r="J454" s="7" t="str">
        <f ca="1"/>
        <v/>
      </c>
      <c r="K454" s="7" t="str">
        <f ca="1"/>
        <v/>
      </c>
      <c r="L454" s="7" t="str">
        <f ca="1"/>
        <v/>
      </c>
      <c r="M454" s="7" t="str">
        <f ca="1"/>
        <v/>
      </c>
      <c r="N454" s="7" t="str">
        <f ca="1"/>
        <v/>
      </c>
      <c r="O454" s="7" t="str">
        <f ca="1"/>
        <v/>
      </c>
      <c r="P454" s="7" t="str">
        <f ca="1"/>
        <v/>
      </c>
      <c r="Q454" s="7" t="str">
        <f ca="1"/>
        <v/>
      </c>
      <c r="T454" s="7" t="str">
        <f ca="1"/>
        <v>Z9</v>
      </c>
      <c r="U454" s="7" t="str">
        <f ca="1"/>
        <v>0xD0C3</v>
      </c>
      <c r="V454" s="7" t="str">
        <f ca="1"/>
        <v>AEBracketingCount</v>
      </c>
      <c r="X454" s="8" t="s">
        <v>841</v>
      </c>
      <c r="Y454" s="8" t="s">
        <v>841</v>
      </c>
      <c r="Z454" s="8" t="s">
        <v>857</v>
      </c>
      <c r="AA454" s="8" t="s">
        <v>857</v>
      </c>
      <c r="AB454" s="7" t="s">
        <v>907</v>
      </c>
      <c r="AC454" s="7" t="s">
        <v>1538</v>
      </c>
      <c r="AD454" s="7" t="s">
        <v>1538</v>
      </c>
      <c r="AE454" s="7" t="s">
        <v>857</v>
      </c>
      <c r="AF454" s="7" t="s">
        <v>801</v>
      </c>
      <c r="AG454" s="7" t="s">
        <v>1700</v>
      </c>
    </row>
    <row r="455" spans="1:33" x14ac:dyDescent="0.25">
      <c r="A455" s="13" t="str">
        <f ca="1"/>
        <v>0x0001D052</v>
      </c>
      <c r="B455" s="14" t="str">
        <f ca="1"/>
        <v>AutoCaptureCaptureCriteria</v>
      </c>
      <c r="D455" s="8" t="str">
        <f ca="1"/>
        <v/>
      </c>
      <c r="E455" s="8" t="str">
        <f ca="1"/>
        <v>AutoCaptureCaptureCriteria</v>
      </c>
      <c r="F455" s="8" t="str">
        <f ca="1"/>
        <v/>
      </c>
      <c r="G455" s="8" t="str">
        <f ca="1"/>
        <v/>
      </c>
      <c r="H455" s="7" t="str">
        <f ca="1"/>
        <v/>
      </c>
      <c r="I455" s="7" t="str">
        <f ca="1"/>
        <v/>
      </c>
      <c r="J455" s="7" t="str">
        <f ca="1"/>
        <v/>
      </c>
      <c r="K455" s="7" t="str">
        <f ca="1"/>
        <v/>
      </c>
      <c r="L455" s="7" t="str">
        <f ca="1"/>
        <v/>
      </c>
      <c r="M455" s="7" t="str">
        <f ca="1"/>
        <v/>
      </c>
      <c r="N455" s="7" t="str">
        <f ca="1"/>
        <v/>
      </c>
      <c r="O455" s="7" t="str">
        <f ca="1"/>
        <v/>
      </c>
      <c r="P455" s="7" t="str">
        <f ca="1"/>
        <v/>
      </c>
      <c r="Q455" s="7" t="str">
        <f ca="1"/>
        <v/>
      </c>
      <c r="T455" s="7" t="str">
        <f ca="1"/>
        <v>Z9</v>
      </c>
      <c r="U455" s="7" t="str">
        <f ca="1"/>
        <v>0xD0C4</v>
      </c>
      <c r="V455" s="7" t="str">
        <f ca="1"/>
        <v>WBBracketingStep</v>
      </c>
      <c r="X455" s="8" t="s">
        <v>842</v>
      </c>
      <c r="Y455" s="8" t="s">
        <v>842</v>
      </c>
      <c r="Z455" s="8" t="s">
        <v>1228</v>
      </c>
      <c r="AA455" s="8" t="s">
        <v>1228</v>
      </c>
      <c r="AB455" s="7" t="s">
        <v>908</v>
      </c>
      <c r="AC455" s="7" t="s">
        <v>858</v>
      </c>
      <c r="AD455" s="7" t="s">
        <v>858</v>
      </c>
      <c r="AE455" s="7" t="s">
        <v>1228</v>
      </c>
      <c r="AF455" s="7" t="s">
        <v>802</v>
      </c>
      <c r="AG455" s="7" t="s">
        <v>856</v>
      </c>
    </row>
    <row r="456" spans="1:33" x14ac:dyDescent="0.25">
      <c r="A456" s="13" t="str">
        <f ca="1"/>
        <v>0x0001D053</v>
      </c>
      <c r="B456" s="14" t="str">
        <f ca="1"/>
        <v>AutoCaptureMotionSpeed</v>
      </c>
      <c r="D456" s="8" t="str">
        <f ca="1"/>
        <v/>
      </c>
      <c r="E456" s="8" t="str">
        <f ca="1"/>
        <v>AutoCaptureMotionSpeed</v>
      </c>
      <c r="F456" s="8" t="str">
        <f ca="1"/>
        <v/>
      </c>
      <c r="G456" s="8" t="str">
        <f ca="1"/>
        <v/>
      </c>
      <c r="H456" s="7" t="str">
        <f ca="1"/>
        <v/>
      </c>
      <c r="I456" s="7" t="str">
        <f ca="1"/>
        <v/>
      </c>
      <c r="J456" s="7" t="str">
        <f ca="1"/>
        <v/>
      </c>
      <c r="K456" s="7" t="str">
        <f ca="1"/>
        <v/>
      </c>
      <c r="L456" s="7" t="str">
        <f ca="1"/>
        <v/>
      </c>
      <c r="M456" s="7" t="str">
        <f ca="1"/>
        <v/>
      </c>
      <c r="N456" s="7" t="str">
        <f ca="1"/>
        <v/>
      </c>
      <c r="O456" s="7" t="str">
        <f ca="1"/>
        <v/>
      </c>
      <c r="P456" s="7" t="str">
        <f ca="1"/>
        <v/>
      </c>
      <c r="Q456" s="7" t="str">
        <f ca="1"/>
        <v/>
      </c>
      <c r="T456" s="7" t="str">
        <f ca="1"/>
        <v>Z9</v>
      </c>
      <c r="U456" s="7" t="str">
        <f ca="1"/>
        <v>0xD0C5</v>
      </c>
      <c r="V456" s="7" t="str">
        <f ca="1"/>
        <v>WBBracketingPattern</v>
      </c>
      <c r="X456" s="8" t="s">
        <v>843</v>
      </c>
      <c r="Y456" s="8" t="s">
        <v>843</v>
      </c>
      <c r="Z456" s="8" t="s">
        <v>1229</v>
      </c>
      <c r="AA456" s="8" t="s">
        <v>1229</v>
      </c>
      <c r="AB456" s="7" t="s">
        <v>909</v>
      </c>
      <c r="AC456" s="7" t="s">
        <v>859</v>
      </c>
      <c r="AD456" s="7" t="s">
        <v>859</v>
      </c>
      <c r="AE456" s="7" t="s">
        <v>1229</v>
      </c>
      <c r="AF456" s="7" t="s">
        <v>803</v>
      </c>
      <c r="AG456" s="7" t="s">
        <v>857</v>
      </c>
    </row>
    <row r="457" spans="1:33" x14ac:dyDescent="0.25">
      <c r="A457" s="13" t="str">
        <f ca="1"/>
        <v>0x0001D054</v>
      </c>
      <c r="B457" s="14" t="str">
        <f ca="1"/>
        <v>AutoCaptureMotionSubjectSize</v>
      </c>
      <c r="D457" s="8" t="str">
        <f ca="1"/>
        <v/>
      </c>
      <c r="E457" s="8" t="str">
        <f ca="1"/>
        <v>AutoCaptureMotionSubjectSize</v>
      </c>
      <c r="F457" s="8" t="str">
        <f ca="1"/>
        <v/>
      </c>
      <c r="G457" s="8" t="str">
        <f ca="1"/>
        <v/>
      </c>
      <c r="H457" s="7" t="str">
        <f ca="1"/>
        <v/>
      </c>
      <c r="I457" s="7" t="str">
        <f ca="1"/>
        <v/>
      </c>
      <c r="J457" s="7" t="str">
        <f ca="1"/>
        <v/>
      </c>
      <c r="K457" s="7" t="str">
        <f ca="1"/>
        <v/>
      </c>
      <c r="L457" s="7" t="str">
        <f ca="1"/>
        <v/>
      </c>
      <c r="M457" s="7" t="str">
        <f ca="1"/>
        <v/>
      </c>
      <c r="N457" s="7" t="str">
        <f ca="1"/>
        <v/>
      </c>
      <c r="O457" s="7" t="str">
        <f ca="1"/>
        <v/>
      </c>
      <c r="P457" s="7" t="str">
        <f ca="1"/>
        <v/>
      </c>
      <c r="Q457" s="7" t="str">
        <f ca="1"/>
        <v/>
      </c>
      <c r="T457" s="7" t="str">
        <f ca="1"/>
        <v>Z9</v>
      </c>
      <c r="U457" s="7" t="str">
        <f ca="1"/>
        <v>0xD0C6</v>
      </c>
      <c r="V457" s="7" t="str">
        <f ca="1"/>
        <v>ADLBracketingPattern</v>
      </c>
      <c r="X457" s="8" t="s">
        <v>844</v>
      </c>
      <c r="Y457" s="8" t="s">
        <v>844</v>
      </c>
      <c r="Z457" s="8" t="s">
        <v>858</v>
      </c>
      <c r="AA457" s="8" t="s">
        <v>858</v>
      </c>
      <c r="AB457" s="7" t="s">
        <v>910</v>
      </c>
      <c r="AC457" s="7" t="s">
        <v>860</v>
      </c>
      <c r="AD457" s="7" t="s">
        <v>860</v>
      </c>
      <c r="AE457" s="7" t="s">
        <v>1537</v>
      </c>
      <c r="AF457" s="7" t="s">
        <v>804</v>
      </c>
      <c r="AG457" s="7" t="s">
        <v>1723</v>
      </c>
    </row>
    <row r="458" spans="1:33" x14ac:dyDescent="0.25">
      <c r="A458" s="13" t="str">
        <f ca="1"/>
        <v>0x0001D055</v>
      </c>
      <c r="B458" s="14" t="str">
        <f ca="1"/>
        <v>AutoCaptureMotionDirection</v>
      </c>
      <c r="D458" s="8" t="str">
        <f ca="1"/>
        <v/>
      </c>
      <c r="E458" s="8" t="str">
        <f ca="1"/>
        <v>AutoCaptureMotionDirection</v>
      </c>
      <c r="F458" s="8" t="str">
        <f ca="1"/>
        <v/>
      </c>
      <c r="G458" s="8" t="str">
        <f ca="1"/>
        <v/>
      </c>
      <c r="H458" s="7" t="str">
        <f ca="1"/>
        <v/>
      </c>
      <c r="I458" s="7" t="str">
        <f ca="1"/>
        <v/>
      </c>
      <c r="J458" s="7" t="str">
        <f ca="1"/>
        <v/>
      </c>
      <c r="K458" s="7" t="str">
        <f ca="1"/>
        <v/>
      </c>
      <c r="L458" s="7" t="str">
        <f ca="1"/>
        <v/>
      </c>
      <c r="M458" s="7" t="str">
        <f ca="1"/>
        <v/>
      </c>
      <c r="N458" s="7" t="str">
        <f ca="1"/>
        <v/>
      </c>
      <c r="O458" s="7" t="str">
        <f ca="1"/>
        <v/>
      </c>
      <c r="P458" s="7" t="str">
        <f ca="1"/>
        <v/>
      </c>
      <c r="Q458" s="7" t="str">
        <f ca="1"/>
        <v/>
      </c>
      <c r="T458" s="7" t="str">
        <f ca="1"/>
        <v>Z9</v>
      </c>
      <c r="U458" s="7" t="str">
        <f ca="1"/>
        <v>0xD0C7</v>
      </c>
      <c r="V458" s="7" t="str">
        <f ca="1"/>
        <v>ADLBracketingStep</v>
      </c>
      <c r="X458" s="8" t="s">
        <v>845</v>
      </c>
      <c r="Y458" s="8" t="s">
        <v>845</v>
      </c>
      <c r="Z458" s="8" t="s">
        <v>859</v>
      </c>
      <c r="AA458" s="8" t="s">
        <v>859</v>
      </c>
      <c r="AB458" s="7" t="s">
        <v>911</v>
      </c>
      <c r="AC458" s="7" t="s">
        <v>861</v>
      </c>
      <c r="AD458" s="7" t="s">
        <v>861</v>
      </c>
      <c r="AE458" s="7" t="s">
        <v>1538</v>
      </c>
      <c r="AF458" s="7" t="s">
        <v>805</v>
      </c>
      <c r="AG458" s="7" t="s">
        <v>1724</v>
      </c>
    </row>
    <row r="459" spans="1:33" x14ac:dyDescent="0.25">
      <c r="A459" s="13" t="str">
        <f ca="1"/>
        <v>0x0001D056</v>
      </c>
      <c r="B459" s="14" t="str">
        <f ca="1"/>
        <v>AutoCaptureSubjectDetectionSize</v>
      </c>
      <c r="D459" s="8" t="str">
        <f ca="1"/>
        <v/>
      </c>
      <c r="E459" s="8" t="str">
        <f ca="1"/>
        <v>AutoCaptureSubjectDetectionSize</v>
      </c>
      <c r="F459" s="8" t="str">
        <f ca="1"/>
        <v/>
      </c>
      <c r="G459" s="8" t="str">
        <f ca="1"/>
        <v/>
      </c>
      <c r="H459" s="7" t="str">
        <f ca="1"/>
        <v/>
      </c>
      <c r="I459" s="7" t="str">
        <f ca="1"/>
        <v/>
      </c>
      <c r="J459" s="7" t="str">
        <f ca="1"/>
        <v/>
      </c>
      <c r="K459" s="7" t="str">
        <f ca="1"/>
        <v/>
      </c>
      <c r="L459" s="7" t="str">
        <f ca="1"/>
        <v/>
      </c>
      <c r="M459" s="7" t="str">
        <f ca="1"/>
        <v/>
      </c>
      <c r="N459" s="7" t="str">
        <f ca="1"/>
        <v/>
      </c>
      <c r="O459" s="7" t="str">
        <f ca="1"/>
        <v/>
      </c>
      <c r="P459" s="7" t="str">
        <f ca="1"/>
        <v/>
      </c>
      <c r="Q459" s="7" t="str">
        <f ca="1"/>
        <v/>
      </c>
      <c r="T459" s="7" t="str">
        <f ca="1"/>
        <v>Z9</v>
      </c>
      <c r="U459" s="7" t="str">
        <f ca="1"/>
        <v>0xD0CD</v>
      </c>
      <c r="V459" s="7" t="str">
        <f ca="1"/>
        <v>SaveFocusPosition</v>
      </c>
      <c r="X459" s="8" t="s">
        <v>846</v>
      </c>
      <c r="Y459" s="8" t="s">
        <v>846</v>
      </c>
      <c r="Z459" s="8" t="s">
        <v>860</v>
      </c>
      <c r="AA459" s="8" t="s">
        <v>860</v>
      </c>
      <c r="AB459" s="7" t="s">
        <v>912</v>
      </c>
      <c r="AC459" s="7" t="s">
        <v>862</v>
      </c>
      <c r="AD459" s="7" t="s">
        <v>862</v>
      </c>
      <c r="AE459" s="7" t="s">
        <v>858</v>
      </c>
      <c r="AF459" s="7" t="s">
        <v>1695</v>
      </c>
      <c r="AG459" s="7" t="s">
        <v>1228</v>
      </c>
    </row>
    <row r="460" spans="1:33" x14ac:dyDescent="0.25">
      <c r="A460" s="13" t="str">
        <f ca="1"/>
        <v>0x0001D057</v>
      </c>
      <c r="B460" s="14" t="str">
        <f ca="1"/>
        <v>AutoCaptureSubjectDetectionType</v>
      </c>
      <c r="D460" s="8" t="str">
        <f ca="1"/>
        <v/>
      </c>
      <c r="E460" s="8" t="str">
        <f ca="1"/>
        <v>AutoCaptureSubjectDetectionType</v>
      </c>
      <c r="F460" s="8" t="str">
        <f ca="1"/>
        <v/>
      </c>
      <c r="G460" s="8" t="str">
        <f ca="1"/>
        <v/>
      </c>
      <c r="H460" s="7" t="str">
        <f ca="1"/>
        <v/>
      </c>
      <c r="I460" s="7" t="str">
        <f ca="1"/>
        <v/>
      </c>
      <c r="J460" s="7" t="str">
        <f ca="1"/>
        <v/>
      </c>
      <c r="K460" s="7" t="str">
        <f ca="1"/>
        <v/>
      </c>
      <c r="L460" s="7" t="str">
        <f ca="1"/>
        <v/>
      </c>
      <c r="M460" s="7" t="str">
        <f ca="1"/>
        <v/>
      </c>
      <c r="N460" s="7" t="str">
        <f ca="1"/>
        <v/>
      </c>
      <c r="O460" s="7" t="str">
        <f ca="1"/>
        <v/>
      </c>
      <c r="P460" s="7" t="str">
        <f ca="1"/>
        <v/>
      </c>
      <c r="Q460" s="7" t="str">
        <f ca="1"/>
        <v/>
      </c>
      <c r="T460" s="7" t="str">
        <f ca="1"/>
        <v>Z9</v>
      </c>
      <c r="U460" s="7" t="str">
        <f ca="1"/>
        <v>0xD0E0</v>
      </c>
      <c r="V460" s="7" t="str">
        <f ca="1"/>
        <v>LensID</v>
      </c>
      <c r="X460" s="8" t="s">
        <v>847</v>
      </c>
      <c r="Y460" s="8" t="s">
        <v>847</v>
      </c>
      <c r="Z460" s="8" t="s">
        <v>861</v>
      </c>
      <c r="AA460" s="8" t="s">
        <v>861</v>
      </c>
      <c r="AB460" s="7" t="s">
        <v>913</v>
      </c>
      <c r="AC460" s="7" t="s">
        <v>863</v>
      </c>
      <c r="AD460" s="7" t="s">
        <v>863</v>
      </c>
      <c r="AE460" s="7" t="s">
        <v>859</v>
      </c>
      <c r="AF460" s="7" t="s">
        <v>1696</v>
      </c>
      <c r="AG460" s="7" t="s">
        <v>1229</v>
      </c>
    </row>
    <row r="461" spans="1:33" x14ac:dyDescent="0.25">
      <c r="A461" s="13" t="str">
        <f ca="1"/>
        <v>0x0001D058</v>
      </c>
      <c r="B461" s="14" t="str">
        <f ca="1"/>
        <v>AutoCaptureRecordingTime</v>
      </c>
      <c r="D461" s="8" t="str">
        <f ca="1"/>
        <v/>
      </c>
      <c r="E461" s="8" t="str">
        <f ca="1"/>
        <v>AutoCaptureRecordingTime</v>
      </c>
      <c r="F461" s="8" t="str">
        <f ca="1"/>
        <v/>
      </c>
      <c r="G461" s="8" t="str">
        <f ca="1"/>
        <v/>
      </c>
      <c r="H461" s="7" t="str">
        <f ca="1"/>
        <v/>
      </c>
      <c r="I461" s="7" t="str">
        <f ca="1"/>
        <v/>
      </c>
      <c r="J461" s="7" t="str">
        <f ca="1"/>
        <v/>
      </c>
      <c r="K461" s="7" t="str">
        <f ca="1"/>
        <v/>
      </c>
      <c r="L461" s="7" t="str">
        <f ca="1"/>
        <v/>
      </c>
      <c r="M461" s="7" t="str">
        <f ca="1"/>
        <v/>
      </c>
      <c r="N461" s="7" t="str">
        <f ca="1"/>
        <v/>
      </c>
      <c r="O461" s="7" t="str">
        <f ca="1"/>
        <v/>
      </c>
      <c r="P461" s="7" t="str">
        <f ca="1"/>
        <v/>
      </c>
      <c r="Q461" s="7" t="str">
        <f ca="1"/>
        <v/>
      </c>
      <c r="T461" s="7" t="str">
        <f ca="1"/>
        <v>Z9</v>
      </c>
      <c r="U461" s="7" t="str">
        <f ca="1"/>
        <v>0xD0E1</v>
      </c>
      <c r="V461" s="7" t="str">
        <f ca="1"/>
        <v>LensSort</v>
      </c>
      <c r="X461" s="8" t="s">
        <v>848</v>
      </c>
      <c r="Y461" s="8" t="s">
        <v>848</v>
      </c>
      <c r="Z461" s="8" t="s">
        <v>862</v>
      </c>
      <c r="AA461" s="8" t="s">
        <v>862</v>
      </c>
      <c r="AB461" s="7" t="s">
        <v>914</v>
      </c>
      <c r="AC461" s="7" t="s">
        <v>864</v>
      </c>
      <c r="AD461" s="7" t="s">
        <v>864</v>
      </c>
      <c r="AE461" s="7" t="s">
        <v>860</v>
      </c>
      <c r="AF461" s="7" t="s">
        <v>806</v>
      </c>
      <c r="AG461" s="7" t="s">
        <v>1537</v>
      </c>
    </row>
    <row r="462" spans="1:33" x14ac:dyDescent="0.25">
      <c r="A462" s="13" t="str">
        <f ca="1"/>
        <v>0x0001D059</v>
      </c>
      <c r="B462" s="14" t="str">
        <f ca="1"/>
        <v>AutoCaptureWaitAfterShootingTime</v>
      </c>
      <c r="D462" s="8" t="str">
        <f ca="1"/>
        <v/>
      </c>
      <c r="E462" s="8" t="str">
        <f ca="1"/>
        <v>AutoCaptureWaitAfterShootingTime</v>
      </c>
      <c r="F462" s="8" t="str">
        <f ca="1"/>
        <v/>
      </c>
      <c r="G462" s="8" t="str">
        <f ca="1"/>
        <v/>
      </c>
      <c r="H462" s="7" t="str">
        <f ca="1"/>
        <v/>
      </c>
      <c r="I462" s="7" t="str">
        <f ca="1"/>
        <v/>
      </c>
      <c r="J462" s="7" t="str">
        <f ca="1"/>
        <v/>
      </c>
      <c r="K462" s="7" t="str">
        <f ca="1"/>
        <v/>
      </c>
      <c r="L462" s="7" t="str">
        <f ca="1"/>
        <v/>
      </c>
      <c r="M462" s="7" t="str">
        <f ca="1"/>
        <v/>
      </c>
      <c r="N462" s="7" t="str">
        <f ca="1"/>
        <v/>
      </c>
      <c r="O462" s="7" t="str">
        <f ca="1"/>
        <v/>
      </c>
      <c r="P462" s="7" t="str">
        <f ca="1"/>
        <v/>
      </c>
      <c r="Q462" s="7" t="str">
        <f ca="1"/>
        <v/>
      </c>
      <c r="T462" s="7" t="str">
        <f ca="1"/>
        <v>Z9</v>
      </c>
      <c r="U462" s="7" t="str">
        <f ca="1"/>
        <v>0xD0E2</v>
      </c>
      <c r="V462" s="7" t="str">
        <f ca="1"/>
        <v>LensTypeF</v>
      </c>
      <c r="X462" s="8" t="s">
        <v>849</v>
      </c>
      <c r="Y462" s="8" t="s">
        <v>849</v>
      </c>
      <c r="Z462" s="8" t="s">
        <v>863</v>
      </c>
      <c r="AA462" s="8" t="s">
        <v>863</v>
      </c>
      <c r="AB462" s="7" t="s">
        <v>915</v>
      </c>
      <c r="AC462" s="7" t="s">
        <v>865</v>
      </c>
      <c r="AD462" s="7" t="s">
        <v>865</v>
      </c>
      <c r="AE462" s="7" t="s">
        <v>861</v>
      </c>
      <c r="AF462" s="7" t="s">
        <v>807</v>
      </c>
      <c r="AG462" s="7" t="s">
        <v>1538</v>
      </c>
    </row>
    <row r="463" spans="1:33" x14ac:dyDescent="0.25">
      <c r="A463" s="13" t="str">
        <f ca="1"/>
        <v>0x0001D05A</v>
      </c>
      <c r="B463" s="14" t="str">
        <f ca="1"/>
        <v>AutoCaptureSelectUserPreset</v>
      </c>
      <c r="D463" s="8" t="str">
        <f ca="1"/>
        <v/>
      </c>
      <c r="E463" s="8" t="str">
        <f ca="1"/>
        <v>AutoCaptureSelectUserPreset</v>
      </c>
      <c r="F463" s="8" t="str">
        <f ca="1"/>
        <v/>
      </c>
      <c r="G463" s="8" t="str">
        <f ca="1"/>
        <v/>
      </c>
      <c r="H463" s="7" t="str">
        <f ca="1"/>
        <v/>
      </c>
      <c r="I463" s="7" t="str">
        <f ca="1"/>
        <v/>
      </c>
      <c r="J463" s="7" t="str">
        <f ca="1"/>
        <v/>
      </c>
      <c r="K463" s="7" t="str">
        <f ca="1"/>
        <v/>
      </c>
      <c r="L463" s="7" t="str">
        <f ca="1"/>
        <v/>
      </c>
      <c r="M463" s="7" t="str">
        <f ca="1"/>
        <v/>
      </c>
      <c r="N463" s="7" t="str">
        <f ca="1"/>
        <v/>
      </c>
      <c r="O463" s="7" t="str">
        <f ca="1"/>
        <v/>
      </c>
      <c r="P463" s="7" t="str">
        <f ca="1"/>
        <v/>
      </c>
      <c r="Q463" s="7" t="str">
        <f ca="1"/>
        <v/>
      </c>
      <c r="T463" s="7" t="str">
        <f ca="1"/>
        <v>Z9</v>
      </c>
      <c r="U463" s="7" t="str">
        <f ca="1"/>
        <v>0xD0E3</v>
      </c>
      <c r="V463" s="7" t="str">
        <f ca="1"/>
        <v>LensFocalMin</v>
      </c>
      <c r="X463" s="8" t="s">
        <v>850</v>
      </c>
      <c r="Y463" s="8" t="s">
        <v>850</v>
      </c>
      <c r="Z463" s="8" t="s">
        <v>864</v>
      </c>
      <c r="AA463" s="8" t="s">
        <v>864</v>
      </c>
      <c r="AB463" s="7" t="s">
        <v>916</v>
      </c>
      <c r="AC463" s="7" t="s">
        <v>866</v>
      </c>
      <c r="AD463" s="7" t="s">
        <v>866</v>
      </c>
      <c r="AE463" s="7" t="s">
        <v>862</v>
      </c>
      <c r="AF463" s="7" t="s">
        <v>810</v>
      </c>
      <c r="AG463" s="7" t="s">
        <v>858</v>
      </c>
    </row>
    <row r="464" spans="1:33" x14ac:dyDescent="0.25">
      <c r="A464" s="13" t="str">
        <f ca="1"/>
        <v>0x0001D05B</v>
      </c>
      <c r="B464" s="14" t="str">
        <f ca="1"/>
        <v>AutoCaptureMovieSelectUserPreset</v>
      </c>
      <c r="D464" s="8" t="str">
        <f ca="1"/>
        <v/>
      </c>
      <c r="E464" s="8" t="str">
        <f ca="1"/>
        <v>AutoCaptureMovieSelectUserPreset</v>
      </c>
      <c r="F464" s="8" t="str">
        <f ca="1"/>
        <v/>
      </c>
      <c r="G464" s="8" t="str">
        <f ca="1"/>
        <v/>
      </c>
      <c r="H464" s="7" t="str">
        <f ca="1"/>
        <v/>
      </c>
      <c r="I464" s="7" t="str">
        <f ca="1"/>
        <v/>
      </c>
      <c r="J464" s="7" t="str">
        <f ca="1"/>
        <v/>
      </c>
      <c r="K464" s="7" t="str">
        <f ca="1"/>
        <v/>
      </c>
      <c r="L464" s="7" t="str">
        <f ca="1"/>
        <v/>
      </c>
      <c r="M464" s="7" t="str">
        <f ca="1"/>
        <v/>
      </c>
      <c r="N464" s="7" t="str">
        <f ca="1"/>
        <v/>
      </c>
      <c r="O464" s="7" t="str">
        <f ca="1"/>
        <v/>
      </c>
      <c r="P464" s="7" t="str">
        <f ca="1"/>
        <v/>
      </c>
      <c r="Q464" s="7" t="str">
        <f ca="1"/>
        <v/>
      </c>
      <c r="T464" s="7" t="str">
        <f ca="1"/>
        <v>Z9</v>
      </c>
      <c r="U464" s="7" t="str">
        <f ca="1"/>
        <v>0xD0E4</v>
      </c>
      <c r="V464" s="7" t="str">
        <f ca="1"/>
        <v>LensFocalMax</v>
      </c>
      <c r="X464" s="8" t="s">
        <v>851</v>
      </c>
      <c r="Y464" s="8" t="s">
        <v>851</v>
      </c>
      <c r="Z464" s="8" t="s">
        <v>865</v>
      </c>
      <c r="AA464" s="8" t="s">
        <v>865</v>
      </c>
      <c r="AB464" s="7" t="s">
        <v>917</v>
      </c>
      <c r="AC464" s="7" t="s">
        <v>867</v>
      </c>
      <c r="AD464" s="7" t="s">
        <v>867</v>
      </c>
      <c r="AE464" s="7" t="s">
        <v>863</v>
      </c>
      <c r="AF464" s="7" t="s">
        <v>811</v>
      </c>
      <c r="AG464" s="7" t="s">
        <v>859</v>
      </c>
    </row>
    <row r="465" spans="1:33" x14ac:dyDescent="0.25">
      <c r="A465" s="13" t="str">
        <f ca="1"/>
        <v>0x0001D05C</v>
      </c>
      <c r="B465" s="14" t="str">
        <f ca="1"/>
        <v>ImageQualityHSFC</v>
      </c>
      <c r="D465" s="8" t="str">
        <f ca="1"/>
        <v/>
      </c>
      <c r="E465" s="8" t="str">
        <f ca="1"/>
        <v>ImageQualityHSFC</v>
      </c>
      <c r="F465" s="8" t="str">
        <f ca="1"/>
        <v/>
      </c>
      <c r="G465" s="8" t="str">
        <f ca="1"/>
        <v/>
      </c>
      <c r="H465" s="7" t="str">
        <f ca="1"/>
        <v/>
      </c>
      <c r="I465" s="7" t="str">
        <f ca="1"/>
        <v/>
      </c>
      <c r="J465" s="7" t="str">
        <f ca="1"/>
        <v/>
      </c>
      <c r="K465" s="7" t="str">
        <f ca="1"/>
        <v/>
      </c>
      <c r="L465" s="7" t="str">
        <f ca="1"/>
        <v/>
      </c>
      <c r="M465" s="7" t="str">
        <f ca="1"/>
        <v/>
      </c>
      <c r="N465" s="7" t="str">
        <f ca="1"/>
        <v/>
      </c>
      <c r="O465" s="7" t="str">
        <f ca="1"/>
        <v/>
      </c>
      <c r="P465" s="7" t="str">
        <f ca="1"/>
        <v/>
      </c>
      <c r="Q465" s="7" t="str">
        <f ca="1"/>
        <v/>
      </c>
      <c r="T465" s="7" t="str">
        <f ca="1"/>
        <v>Z9</v>
      </c>
      <c r="U465" s="7" t="str">
        <f ca="1"/>
        <v>0xD0E5</v>
      </c>
      <c r="V465" s="7" t="str">
        <f ca="1"/>
        <v>LensApatureMin</v>
      </c>
      <c r="X465" s="8" t="s">
        <v>852</v>
      </c>
      <c r="Y465" s="8" t="s">
        <v>852</v>
      </c>
      <c r="Z465" s="8" t="s">
        <v>866</v>
      </c>
      <c r="AA465" s="8" t="s">
        <v>866</v>
      </c>
      <c r="AB465" s="7" t="s">
        <v>918</v>
      </c>
      <c r="AC465" s="7" t="s">
        <v>868</v>
      </c>
      <c r="AD465" s="7" t="s">
        <v>868</v>
      </c>
      <c r="AE465" s="7" t="s">
        <v>864</v>
      </c>
      <c r="AF465" s="7" t="s">
        <v>812</v>
      </c>
      <c r="AG465" s="7" t="s">
        <v>1701</v>
      </c>
    </row>
    <row r="466" spans="1:33" x14ac:dyDescent="0.25">
      <c r="A466" s="13" t="str">
        <f ca="1"/>
        <v>0x0001D05D</v>
      </c>
      <c r="B466" s="14" t="str">
        <f ca="1"/>
        <v>PreCaptureState</v>
      </c>
      <c r="D466" s="8" t="str">
        <f ca="1"/>
        <v/>
      </c>
      <c r="E466" s="8" t="str">
        <f ca="1"/>
        <v>PreCaptureState</v>
      </c>
      <c r="F466" s="8" t="str">
        <f ca="1"/>
        <v/>
      </c>
      <c r="G466" s="8" t="str">
        <f ca="1"/>
        <v/>
      </c>
      <c r="H466" s="7" t="str">
        <f ca="1"/>
        <v/>
      </c>
      <c r="I466" s="7" t="str">
        <f ca="1"/>
        <v/>
      </c>
      <c r="J466" s="7" t="str">
        <f ca="1"/>
        <v/>
      </c>
      <c r="K466" s="7" t="str">
        <f ca="1"/>
        <v/>
      </c>
      <c r="L466" s="7" t="str">
        <f ca="1"/>
        <v/>
      </c>
      <c r="M466" s="7" t="str">
        <f ca="1"/>
        <v/>
      </c>
      <c r="N466" s="7" t="str">
        <f ca="1"/>
        <v/>
      </c>
      <c r="O466" s="7" t="str">
        <f ca="1"/>
        <v/>
      </c>
      <c r="P466" s="7" t="str">
        <f ca="1"/>
        <v/>
      </c>
      <c r="Q466" s="7" t="str">
        <f ca="1"/>
        <v/>
      </c>
      <c r="T466" s="7" t="str">
        <f ca="1"/>
        <v>Z9</v>
      </c>
      <c r="U466" s="7" t="str">
        <f ca="1"/>
        <v>0xD0E6</v>
      </c>
      <c r="V466" s="7" t="str">
        <f ca="1"/>
        <v>LensApatureMax</v>
      </c>
      <c r="X466" s="8" t="s">
        <v>853</v>
      </c>
      <c r="Y466" s="8" t="s">
        <v>853</v>
      </c>
      <c r="Z466" s="8" t="s">
        <v>867</v>
      </c>
      <c r="AA466" s="8" t="s">
        <v>867</v>
      </c>
      <c r="AB466" s="7" t="s">
        <v>919</v>
      </c>
      <c r="AC466" s="7" t="s">
        <v>869</v>
      </c>
      <c r="AD466" s="7" t="s">
        <v>869</v>
      </c>
      <c r="AE466" s="7" t="s">
        <v>865</v>
      </c>
      <c r="AF466" s="7" t="s">
        <v>813</v>
      </c>
      <c r="AG466" s="7" t="s">
        <v>1702</v>
      </c>
    </row>
    <row r="467" spans="1:33" x14ac:dyDescent="0.25">
      <c r="A467" s="13" t="str">
        <f ca="1"/>
        <v>0x0001D05E</v>
      </c>
      <c r="B467" s="14" t="str">
        <f ca="1"/>
        <v>HighISONRMode</v>
      </c>
      <c r="D467" s="8" t="str">
        <f ca="1"/>
        <v/>
      </c>
      <c r="E467" s="8" t="str">
        <f ca="1"/>
        <v>HighISONRMode</v>
      </c>
      <c r="F467" s="8" t="str">
        <f ca="1"/>
        <v/>
      </c>
      <c r="G467" s="8" t="str">
        <f ca="1"/>
        <v/>
      </c>
      <c r="H467" s="7" t="str">
        <f ca="1"/>
        <v/>
      </c>
      <c r="I467" s="7" t="str">
        <f ca="1"/>
        <v/>
      </c>
      <c r="J467" s="7" t="str">
        <f ca="1"/>
        <v/>
      </c>
      <c r="K467" s="7" t="str">
        <f ca="1"/>
        <v/>
      </c>
      <c r="L467" s="7" t="str">
        <f ca="1"/>
        <v/>
      </c>
      <c r="M467" s="7" t="str">
        <f ca="1"/>
        <v/>
      </c>
      <c r="N467" s="7" t="str">
        <f ca="1"/>
        <v/>
      </c>
      <c r="O467" s="7" t="str">
        <f ca="1"/>
        <v/>
      </c>
      <c r="P467" s="7" t="str">
        <f ca="1"/>
        <v/>
      </c>
      <c r="Q467" s="7" t="str">
        <f ca="1"/>
        <v/>
      </c>
      <c r="T467" s="7" t="str">
        <f ca="1"/>
        <v>Z9</v>
      </c>
      <c r="U467" s="7" t="str">
        <f ca="1"/>
        <v>0xD0E7</v>
      </c>
      <c r="V467" s="7" t="str">
        <f ca="1"/>
        <v>LensTypeML</v>
      </c>
      <c r="X467" s="8" t="s">
        <v>854</v>
      </c>
      <c r="Y467" s="8" t="s">
        <v>854</v>
      </c>
      <c r="Z467" s="8" t="s">
        <v>868</v>
      </c>
      <c r="AA467" s="8" t="s">
        <v>868</v>
      </c>
      <c r="AB467" s="7" t="s">
        <v>920</v>
      </c>
      <c r="AC467" s="7" t="s">
        <v>870</v>
      </c>
      <c r="AD467" s="7" t="s">
        <v>870</v>
      </c>
      <c r="AE467" s="7" t="s">
        <v>866</v>
      </c>
      <c r="AF467" s="7" t="s">
        <v>814</v>
      </c>
      <c r="AG467" s="7" t="s">
        <v>860</v>
      </c>
    </row>
    <row r="468" spans="1:33" x14ac:dyDescent="0.25">
      <c r="A468" s="13" t="str">
        <f ca="1"/>
        <v>0x0001D061</v>
      </c>
      <c r="B468" s="14" t="str">
        <f ca="1"/>
        <v>AutoCaptureFocusRange</v>
      </c>
      <c r="D468" s="8" t="str">
        <f ca="1"/>
        <v/>
      </c>
      <c r="E468" s="8" t="str">
        <f ca="1"/>
        <v>AutoCaptureFocusRange</v>
      </c>
      <c r="F468" s="8" t="str">
        <f ca="1"/>
        <v/>
      </c>
      <c r="G468" s="8" t="str">
        <f ca="1"/>
        <v/>
      </c>
      <c r="H468" s="7" t="str">
        <f ca="1"/>
        <v/>
      </c>
      <c r="I468" s="7" t="str">
        <f ca="1"/>
        <v/>
      </c>
      <c r="J468" s="7" t="str">
        <f ca="1"/>
        <v/>
      </c>
      <c r="K468" s="7" t="str">
        <f ca="1"/>
        <v/>
      </c>
      <c r="L468" s="7" t="str">
        <f ca="1"/>
        <v/>
      </c>
      <c r="M468" s="7" t="str">
        <f ca="1"/>
        <v/>
      </c>
      <c r="N468" s="7" t="str">
        <f ca="1"/>
        <v/>
      </c>
      <c r="O468" s="7" t="str">
        <f ca="1"/>
        <v/>
      </c>
      <c r="P468" s="7" t="str">
        <f ca="1"/>
        <v/>
      </c>
      <c r="Q468" s="7" t="str">
        <f ca="1"/>
        <v/>
      </c>
      <c r="T468" s="7" t="str">
        <f ca="1"/>
        <v>Z9</v>
      </c>
      <c r="U468" s="7" t="str">
        <f ca="1"/>
        <v>0xD0F6</v>
      </c>
      <c r="V468" s="7" t="str">
        <f ca="1"/>
        <v>StillCaptureModeQuick</v>
      </c>
      <c r="X468" s="8" t="s">
        <v>855</v>
      </c>
      <c r="Y468" s="8" t="s">
        <v>855</v>
      </c>
      <c r="Z468" s="8" t="s">
        <v>869</v>
      </c>
      <c r="AA468" s="8" t="s">
        <v>869</v>
      </c>
      <c r="AB468" s="7" t="s">
        <v>921</v>
      </c>
      <c r="AC468" s="7" t="s">
        <v>871</v>
      </c>
      <c r="AD468" s="7" t="s">
        <v>871</v>
      </c>
      <c r="AE468" s="7" t="s">
        <v>867</v>
      </c>
      <c r="AF468" s="7" t="s">
        <v>815</v>
      </c>
      <c r="AG468" s="7" t="s">
        <v>861</v>
      </c>
    </row>
    <row r="469" spans="1:33" x14ac:dyDescent="0.25">
      <c r="T469" s="7" t="str">
        <f ca="1"/>
        <v>Z9</v>
      </c>
      <c r="U469" s="7" t="str">
        <f ca="1"/>
        <v>0xD0F7</v>
      </c>
      <c r="V469" s="7" t="str">
        <f ca="1"/>
        <v>VignetteControl</v>
      </c>
      <c r="X469" s="8" t="s">
        <v>856</v>
      </c>
      <c r="Y469" s="8" t="s">
        <v>856</v>
      </c>
      <c r="Z469" s="8" t="s">
        <v>870</v>
      </c>
      <c r="AA469" s="8" t="s">
        <v>870</v>
      </c>
      <c r="AB469" s="7" t="s">
        <v>922</v>
      </c>
      <c r="AC469" s="7" t="s">
        <v>872</v>
      </c>
      <c r="AD469" s="7" t="s">
        <v>872</v>
      </c>
      <c r="AE469" s="7" t="s">
        <v>868</v>
      </c>
      <c r="AF469" s="7" t="s">
        <v>816</v>
      </c>
      <c r="AG469" s="7" t="s">
        <v>862</v>
      </c>
    </row>
    <row r="470" spans="1:33" x14ac:dyDescent="0.25">
      <c r="T470" s="7" t="str">
        <f ca="1"/>
        <v>Z9</v>
      </c>
      <c r="U470" s="7" t="str">
        <f ca="1"/>
        <v>0xD0F8</v>
      </c>
      <c r="V470" s="7" t="str">
        <f ca="1"/>
        <v>AutoDistortion</v>
      </c>
      <c r="X470" s="8" t="s">
        <v>857</v>
      </c>
      <c r="Y470" s="8" t="s">
        <v>857</v>
      </c>
      <c r="Z470" s="8" t="s">
        <v>871</v>
      </c>
      <c r="AA470" s="8" t="s">
        <v>871</v>
      </c>
      <c r="AB470" s="7" t="s">
        <v>923</v>
      </c>
      <c r="AC470" s="7" t="s">
        <v>873</v>
      </c>
      <c r="AD470" s="7" t="s">
        <v>873</v>
      </c>
      <c r="AE470" s="7" t="s">
        <v>869</v>
      </c>
      <c r="AF470" s="7" t="s">
        <v>817</v>
      </c>
      <c r="AG470" s="7" t="s">
        <v>863</v>
      </c>
    </row>
    <row r="471" spans="1:33" x14ac:dyDescent="0.25">
      <c r="T471" s="7" t="str">
        <f ca="1"/>
        <v>Z9</v>
      </c>
      <c r="U471" s="7" t="str">
        <f ca="1"/>
        <v>0xD100</v>
      </c>
      <c r="V471" s="7" t="str">
        <f ca="1"/>
        <v>ShutterSpeed</v>
      </c>
      <c r="X471" s="8" t="s">
        <v>858</v>
      </c>
      <c r="Y471" s="8" t="s">
        <v>858</v>
      </c>
      <c r="Z471" s="8" t="s">
        <v>872</v>
      </c>
      <c r="AA471" s="8" t="s">
        <v>872</v>
      </c>
      <c r="AB471" s="7" t="s">
        <v>924</v>
      </c>
      <c r="AC471" s="7" t="s">
        <v>874</v>
      </c>
      <c r="AD471" s="7" t="s">
        <v>874</v>
      </c>
      <c r="AE471" s="7" t="s">
        <v>870</v>
      </c>
      <c r="AF471" s="7" t="s">
        <v>818</v>
      </c>
      <c r="AG471" s="7" t="s">
        <v>864</v>
      </c>
    </row>
    <row r="472" spans="1:33" x14ac:dyDescent="0.25">
      <c r="T472" s="7" t="str">
        <f ca="1"/>
        <v>Z9</v>
      </c>
      <c r="U472" s="7" t="str">
        <f ca="1"/>
        <v>0xD101</v>
      </c>
      <c r="V472" s="7" t="str">
        <f ca="1"/>
        <v>ExternalDC</v>
      </c>
      <c r="X472" s="8" t="s">
        <v>859</v>
      </c>
      <c r="Y472" s="8" t="s">
        <v>859</v>
      </c>
      <c r="Z472" s="8" t="s">
        <v>873</v>
      </c>
      <c r="AA472" s="8" t="s">
        <v>873</v>
      </c>
      <c r="AB472" s="7" t="s">
        <v>925</v>
      </c>
      <c r="AC472" s="7" t="s">
        <v>875</v>
      </c>
      <c r="AD472" s="7" t="s">
        <v>875</v>
      </c>
      <c r="AE472" s="7" t="s">
        <v>871</v>
      </c>
      <c r="AF472" s="7" t="s">
        <v>819</v>
      </c>
      <c r="AG472" s="7" t="s">
        <v>865</v>
      </c>
    </row>
    <row r="473" spans="1:33" x14ac:dyDescent="0.25">
      <c r="T473" s="7" t="str">
        <f ca="1"/>
        <v>Z9</v>
      </c>
      <c r="U473" s="7" t="str">
        <f ca="1"/>
        <v>0xD102</v>
      </c>
      <c r="V473" s="7" t="str">
        <f ca="1"/>
        <v>WarningStatus</v>
      </c>
      <c r="X473" s="8" t="s">
        <v>860</v>
      </c>
      <c r="Y473" s="8" t="s">
        <v>860</v>
      </c>
      <c r="Z473" s="8" t="s">
        <v>874</v>
      </c>
      <c r="AA473" s="8" t="s">
        <v>874</v>
      </c>
      <c r="AB473" s="7" t="s">
        <v>926</v>
      </c>
      <c r="AC473" s="7" t="s">
        <v>876</v>
      </c>
      <c r="AD473" s="7" t="s">
        <v>876</v>
      </c>
      <c r="AE473" s="7" t="s">
        <v>872</v>
      </c>
      <c r="AF473" s="7" t="s">
        <v>820</v>
      </c>
      <c r="AG473" s="7" t="s">
        <v>866</v>
      </c>
    </row>
    <row r="474" spans="1:33" x14ac:dyDescent="0.25">
      <c r="T474" s="7" t="str">
        <f ca="1"/>
        <v>Z9</v>
      </c>
      <c r="U474" s="7" t="str">
        <f ca="1"/>
        <v>0xD104</v>
      </c>
      <c r="V474" s="7" t="str">
        <f ca="1"/>
        <v>AFLockStatus</v>
      </c>
      <c r="X474" s="8" t="s">
        <v>861</v>
      </c>
      <c r="Y474" s="8" t="s">
        <v>861</v>
      </c>
      <c r="Z474" s="8" t="s">
        <v>875</v>
      </c>
      <c r="AA474" s="8" t="s">
        <v>875</v>
      </c>
      <c r="AB474" s="7" t="s">
        <v>927</v>
      </c>
      <c r="AC474" s="7" t="s">
        <v>877</v>
      </c>
      <c r="AD474" s="7" t="s">
        <v>877</v>
      </c>
      <c r="AE474" s="7" t="s">
        <v>873</v>
      </c>
      <c r="AF474" s="7" t="s">
        <v>821</v>
      </c>
      <c r="AG474" s="7" t="s">
        <v>867</v>
      </c>
    </row>
    <row r="475" spans="1:33" x14ac:dyDescent="0.25">
      <c r="T475" s="7" t="str">
        <f ca="1"/>
        <v>Z9</v>
      </c>
      <c r="U475" s="7" t="str">
        <f ca="1"/>
        <v>0xD105</v>
      </c>
      <c r="V475" s="7" t="str">
        <f ca="1"/>
        <v>AELockStatus</v>
      </c>
      <c r="X475" s="8" t="s">
        <v>862</v>
      </c>
      <c r="Y475" s="8" t="s">
        <v>862</v>
      </c>
      <c r="Z475" s="8" t="s">
        <v>876</v>
      </c>
      <c r="AA475" s="8" t="s">
        <v>876</v>
      </c>
      <c r="AB475" s="7" t="s">
        <v>928</v>
      </c>
      <c r="AC475" s="7" t="s">
        <v>878</v>
      </c>
      <c r="AD475" s="7" t="s">
        <v>878</v>
      </c>
      <c r="AE475" s="7" t="s">
        <v>874</v>
      </c>
      <c r="AF475" s="7" t="s">
        <v>822</v>
      </c>
      <c r="AG475" s="7" t="s">
        <v>868</v>
      </c>
    </row>
    <row r="476" spans="1:33" x14ac:dyDescent="0.25">
      <c r="T476" s="7" t="str">
        <f ca="1"/>
        <v>Z9</v>
      </c>
      <c r="U476" s="7" t="str">
        <f ca="1"/>
        <v>0xD106</v>
      </c>
      <c r="V476" s="7" t="str">
        <f ca="1"/>
        <v>FVLockStatus</v>
      </c>
      <c r="X476" s="8" t="s">
        <v>863</v>
      </c>
      <c r="Y476" s="8" t="s">
        <v>863</v>
      </c>
      <c r="Z476" s="8" t="s">
        <v>877</v>
      </c>
      <c r="AA476" s="8" t="s">
        <v>877</v>
      </c>
      <c r="AB476" s="7" t="s">
        <v>929</v>
      </c>
      <c r="AC476" s="7" t="s">
        <v>879</v>
      </c>
      <c r="AD476" s="7" t="s">
        <v>879</v>
      </c>
      <c r="AE476" s="7" t="s">
        <v>875</v>
      </c>
      <c r="AF476" s="7" t="s">
        <v>823</v>
      </c>
      <c r="AG476" s="7" t="s">
        <v>869</v>
      </c>
    </row>
    <row r="477" spans="1:33" x14ac:dyDescent="0.25">
      <c r="T477" s="7" t="str">
        <f ca="1"/>
        <v>Z9</v>
      </c>
      <c r="U477" s="7" t="str">
        <f ca="1"/>
        <v>0xD109</v>
      </c>
      <c r="V477" s="7" t="str">
        <f ca="1"/>
        <v>FlexibleProgram</v>
      </c>
      <c r="X477" s="8" t="s">
        <v>864</v>
      </c>
      <c r="Y477" s="8" t="s">
        <v>864</v>
      </c>
      <c r="Z477" s="8" t="s">
        <v>878</v>
      </c>
      <c r="AA477" s="8" t="s">
        <v>878</v>
      </c>
      <c r="AB477" s="7" t="s">
        <v>1539</v>
      </c>
      <c r="AC477" s="7" t="s">
        <v>880</v>
      </c>
      <c r="AD477" s="7" t="s">
        <v>880</v>
      </c>
      <c r="AE477" s="7" t="s">
        <v>876</v>
      </c>
      <c r="AF477" s="7" t="s">
        <v>824</v>
      </c>
      <c r="AG477" s="7" t="s">
        <v>870</v>
      </c>
    </row>
    <row r="478" spans="1:33" x14ac:dyDescent="0.25">
      <c r="T478" s="7" t="str">
        <f ca="1"/>
        <v>Z9</v>
      </c>
      <c r="U478" s="7" t="str">
        <f ca="1"/>
        <v>0xD10B</v>
      </c>
      <c r="V478" s="7" t="str">
        <f ca="1"/>
        <v>RecordingMedia</v>
      </c>
      <c r="X478" s="8" t="s">
        <v>865</v>
      </c>
      <c r="Y478" s="8" t="s">
        <v>865</v>
      </c>
      <c r="Z478" s="8" t="s">
        <v>879</v>
      </c>
      <c r="AA478" s="8" t="s">
        <v>879</v>
      </c>
      <c r="AB478" s="7" t="s">
        <v>1540</v>
      </c>
      <c r="AC478" s="7" t="s">
        <v>881</v>
      </c>
      <c r="AD478" s="7" t="s">
        <v>881</v>
      </c>
      <c r="AE478" s="7" t="s">
        <v>877</v>
      </c>
      <c r="AF478" s="7" t="s">
        <v>825</v>
      </c>
      <c r="AG478" s="7" t="s">
        <v>871</v>
      </c>
    </row>
    <row r="479" spans="1:33" x14ac:dyDescent="0.25">
      <c r="T479" s="7" t="str">
        <f ca="1"/>
        <v>Z9</v>
      </c>
      <c r="U479" s="7" t="str">
        <f ca="1"/>
        <v>0xD10C</v>
      </c>
      <c r="V479" s="7" t="str">
        <f ca="1"/>
        <v>USBSpeed</v>
      </c>
      <c r="X479" s="8" t="s">
        <v>866</v>
      </c>
      <c r="Y479" s="8" t="s">
        <v>866</v>
      </c>
      <c r="Z479" s="8" t="s">
        <v>880</v>
      </c>
      <c r="AA479" s="8" t="s">
        <v>880</v>
      </c>
      <c r="AB479" s="7" t="s">
        <v>930</v>
      </c>
      <c r="AC479" s="7" t="s">
        <v>882</v>
      </c>
      <c r="AD479" s="7" t="s">
        <v>882</v>
      </c>
      <c r="AE479" s="7" t="s">
        <v>878</v>
      </c>
      <c r="AF479" s="7" t="s">
        <v>826</v>
      </c>
      <c r="AG479" s="7" t="s">
        <v>872</v>
      </c>
    </row>
    <row r="480" spans="1:33" x14ac:dyDescent="0.25">
      <c r="T480" s="7" t="str">
        <f ca="1"/>
        <v>Z9</v>
      </c>
      <c r="U480" s="7" t="str">
        <f ca="1"/>
        <v>0xD10E</v>
      </c>
      <c r="V480" s="7" t="str">
        <f ca="1"/>
        <v>Orientation</v>
      </c>
      <c r="X480" s="8" t="s">
        <v>867</v>
      </c>
      <c r="Y480" s="8" t="s">
        <v>867</v>
      </c>
      <c r="Z480" s="8" t="s">
        <v>881</v>
      </c>
      <c r="AA480" s="8" t="s">
        <v>881</v>
      </c>
      <c r="AB480" s="7" t="s">
        <v>931</v>
      </c>
      <c r="AC480" s="7" t="s">
        <v>883</v>
      </c>
      <c r="AD480" s="7" t="s">
        <v>883</v>
      </c>
      <c r="AE480" s="7" t="s">
        <v>879</v>
      </c>
      <c r="AF480" s="7" t="s">
        <v>827</v>
      </c>
      <c r="AG480" s="7" t="s">
        <v>873</v>
      </c>
    </row>
    <row r="481" spans="20:33" x14ac:dyDescent="0.25">
      <c r="T481" s="7" t="str">
        <f ca="1"/>
        <v>Z9</v>
      </c>
      <c r="U481" s="7" t="str">
        <f ca="1"/>
        <v>0xD112</v>
      </c>
      <c r="V481" s="7" t="str">
        <f ca="1"/>
        <v>TVLockSetting</v>
      </c>
      <c r="X481" s="8" t="s">
        <v>868</v>
      </c>
      <c r="Y481" s="8" t="s">
        <v>868</v>
      </c>
      <c r="Z481" s="8" t="s">
        <v>882</v>
      </c>
      <c r="AA481" s="8" t="s">
        <v>882</v>
      </c>
      <c r="AB481" s="7" t="s">
        <v>932</v>
      </c>
      <c r="AC481" s="7" t="s">
        <v>884</v>
      </c>
      <c r="AD481" s="7" t="s">
        <v>884</v>
      </c>
      <c r="AE481" s="7" t="s">
        <v>880</v>
      </c>
      <c r="AF481" s="7" t="s">
        <v>828</v>
      </c>
      <c r="AG481" s="7" t="s">
        <v>874</v>
      </c>
    </row>
    <row r="482" spans="20:33" x14ac:dyDescent="0.25">
      <c r="T482" s="7" t="str">
        <f ca="1"/>
        <v>Z9</v>
      </c>
      <c r="U482" s="7" t="str">
        <f ca="1"/>
        <v>0xD113</v>
      </c>
      <c r="V482" s="7" t="str">
        <f ca="1"/>
        <v>AVLockSetting</v>
      </c>
      <c r="X482" s="8" t="s">
        <v>869</v>
      </c>
      <c r="Y482" s="8" t="s">
        <v>869</v>
      </c>
      <c r="Z482" s="8" t="s">
        <v>883</v>
      </c>
      <c r="AA482" s="8" t="s">
        <v>883</v>
      </c>
      <c r="AB482" s="7" t="s">
        <v>933</v>
      </c>
      <c r="AC482" s="7" t="s">
        <v>885</v>
      </c>
      <c r="AD482" s="7" t="s">
        <v>885</v>
      </c>
      <c r="AE482" s="7" t="s">
        <v>881</v>
      </c>
      <c r="AF482" s="7" t="s">
        <v>829</v>
      </c>
      <c r="AG482" s="7" t="s">
        <v>875</v>
      </c>
    </row>
    <row r="483" spans="20:33" x14ac:dyDescent="0.25">
      <c r="T483" s="7" t="str">
        <f ca="1"/>
        <v>Z9</v>
      </c>
      <c r="U483" s="7" t="str">
        <f ca="1"/>
        <v>0xD118</v>
      </c>
      <c r="V483" s="7" t="str">
        <f ca="1"/>
        <v>ExposureCompFlashUsed</v>
      </c>
      <c r="X483" s="8" t="s">
        <v>870</v>
      </c>
      <c r="Y483" s="8" t="s">
        <v>870</v>
      </c>
      <c r="Z483" s="8" t="s">
        <v>884</v>
      </c>
      <c r="AA483" s="8" t="s">
        <v>884</v>
      </c>
      <c r="AB483" s="7" t="s">
        <v>934</v>
      </c>
      <c r="AC483" s="7" t="s">
        <v>886</v>
      </c>
      <c r="AD483" s="7" t="s">
        <v>886</v>
      </c>
      <c r="AE483" s="7" t="s">
        <v>882</v>
      </c>
      <c r="AF483" s="7" t="s">
        <v>830</v>
      </c>
      <c r="AG483" s="7" t="s">
        <v>876</v>
      </c>
    </row>
    <row r="484" spans="20:33" x14ac:dyDescent="0.25">
      <c r="T484" s="7" t="str">
        <f ca="1"/>
        <v>Z9</v>
      </c>
      <c r="U484" s="7" t="str">
        <f ca="1"/>
        <v>0xD119</v>
      </c>
      <c r="V484" s="7" t="str">
        <f ca="1"/>
        <v>Slot2JpegImageSize</v>
      </c>
      <c r="X484" s="8" t="s">
        <v>871</v>
      </c>
      <c r="Y484" s="8" t="s">
        <v>871</v>
      </c>
      <c r="Z484" s="8" t="s">
        <v>885</v>
      </c>
      <c r="AA484" s="8" t="s">
        <v>885</v>
      </c>
      <c r="AB484" s="7" t="s">
        <v>935</v>
      </c>
      <c r="AC484" s="7" t="s">
        <v>887</v>
      </c>
      <c r="AD484" s="7" t="s">
        <v>887</v>
      </c>
      <c r="AE484" s="7" t="s">
        <v>883</v>
      </c>
      <c r="AF484" s="7" t="s">
        <v>831</v>
      </c>
      <c r="AG484" s="7" t="s">
        <v>877</v>
      </c>
    </row>
    <row r="485" spans="20:33" x14ac:dyDescent="0.25">
      <c r="T485" s="7" t="str">
        <f ca="1"/>
        <v>Z9</v>
      </c>
      <c r="U485" s="7" t="str">
        <f ca="1"/>
        <v>0xD120</v>
      </c>
      <c r="V485" s="7" t="str">
        <f ca="1"/>
        <v>ExternalSpeedLightExist</v>
      </c>
      <c r="X485" s="8" t="s">
        <v>872</v>
      </c>
      <c r="Y485" s="8" t="s">
        <v>872</v>
      </c>
      <c r="Z485" s="8" t="s">
        <v>886</v>
      </c>
      <c r="AA485" s="8" t="s">
        <v>886</v>
      </c>
      <c r="AB485" s="7" t="s">
        <v>936</v>
      </c>
      <c r="AC485" s="7" t="s">
        <v>888</v>
      </c>
      <c r="AD485" s="7" t="s">
        <v>888</v>
      </c>
      <c r="AE485" s="7" t="s">
        <v>884</v>
      </c>
      <c r="AF485" s="7" t="s">
        <v>832</v>
      </c>
      <c r="AG485" s="7" t="s">
        <v>878</v>
      </c>
    </row>
    <row r="486" spans="20:33" x14ac:dyDescent="0.25">
      <c r="T486" s="7" t="str">
        <f ca="1"/>
        <v>Z9</v>
      </c>
      <c r="U486" s="7" t="str">
        <f ca="1"/>
        <v>0xD121</v>
      </c>
      <c r="V486" s="7" t="str">
        <f ca="1"/>
        <v>ExternalSpeedLightStatus</v>
      </c>
      <c r="X486" s="8" t="s">
        <v>873</v>
      </c>
      <c r="Y486" s="8" t="s">
        <v>873</v>
      </c>
      <c r="Z486" s="8" t="s">
        <v>887</v>
      </c>
      <c r="AA486" s="8" t="s">
        <v>887</v>
      </c>
      <c r="AB486" s="7" t="s">
        <v>937</v>
      </c>
      <c r="AC486" s="7" t="s">
        <v>889</v>
      </c>
      <c r="AD486" s="7" t="s">
        <v>889</v>
      </c>
      <c r="AE486" s="7" t="s">
        <v>885</v>
      </c>
      <c r="AF486" s="7" t="s">
        <v>833</v>
      </c>
      <c r="AG486" s="7" t="s">
        <v>879</v>
      </c>
    </row>
    <row r="487" spans="20:33" x14ac:dyDescent="0.25">
      <c r="T487" s="7" t="str">
        <f ca="1"/>
        <v>Z9</v>
      </c>
      <c r="U487" s="7" t="str">
        <f ca="1"/>
        <v>0xD122</v>
      </c>
      <c r="V487" s="7" t="str">
        <f ca="1"/>
        <v>ExternalSpeedLightSort</v>
      </c>
      <c r="X487" s="8" t="s">
        <v>874</v>
      </c>
      <c r="Y487" s="8" t="s">
        <v>874</v>
      </c>
      <c r="Z487" s="8" t="s">
        <v>888</v>
      </c>
      <c r="AA487" s="8" t="s">
        <v>888</v>
      </c>
      <c r="AB487" s="7" t="s">
        <v>938</v>
      </c>
      <c r="AC487" s="7" t="s">
        <v>890</v>
      </c>
      <c r="AD487" s="7" t="s">
        <v>890</v>
      </c>
      <c r="AE487" s="7" t="s">
        <v>886</v>
      </c>
      <c r="AF487" s="7" t="s">
        <v>834</v>
      </c>
      <c r="AG487" s="7" t="s">
        <v>880</v>
      </c>
    </row>
    <row r="488" spans="20:33" x14ac:dyDescent="0.25">
      <c r="T488" s="7" t="str">
        <f ca="1"/>
        <v>Z9</v>
      </c>
      <c r="U488" s="7" t="str">
        <f ca="1"/>
        <v>0xD124</v>
      </c>
      <c r="V488" s="7" t="str">
        <f ca="1"/>
        <v>FlashCompensation</v>
      </c>
      <c r="X488" s="8" t="s">
        <v>875</v>
      </c>
      <c r="Y488" s="8" t="s">
        <v>875</v>
      </c>
      <c r="Z488" s="8" t="s">
        <v>889</v>
      </c>
      <c r="AA488" s="8" t="s">
        <v>889</v>
      </c>
      <c r="AB488" s="7" t="s">
        <v>939</v>
      </c>
      <c r="AC488" s="7" t="s">
        <v>891</v>
      </c>
      <c r="AD488" s="7" t="s">
        <v>891</v>
      </c>
      <c r="AE488" s="7" t="s">
        <v>887</v>
      </c>
      <c r="AF488" s="7" t="s">
        <v>835</v>
      </c>
      <c r="AG488" s="7" t="s">
        <v>881</v>
      </c>
    </row>
    <row r="489" spans="20:33" x14ac:dyDescent="0.25">
      <c r="T489" s="7" t="str">
        <f ca="1"/>
        <v>Z9</v>
      </c>
      <c r="U489" s="7" t="str">
        <f ca="1"/>
        <v>0xD125</v>
      </c>
      <c r="V489" s="7" t="str">
        <f ca="1"/>
        <v>NewExternalSpeedLightMode</v>
      </c>
      <c r="X489" s="8" t="s">
        <v>876</v>
      </c>
      <c r="Y489" s="8" t="s">
        <v>876</v>
      </c>
      <c r="Z489" s="8" t="s">
        <v>890</v>
      </c>
      <c r="AA489" s="8" t="s">
        <v>890</v>
      </c>
      <c r="AB489" s="7" t="s">
        <v>940</v>
      </c>
      <c r="AC489" s="7" t="s">
        <v>892</v>
      </c>
      <c r="AD489" s="7" t="s">
        <v>892</v>
      </c>
      <c r="AE489" s="7" t="s">
        <v>888</v>
      </c>
      <c r="AF489" s="7" t="s">
        <v>836</v>
      </c>
      <c r="AG489" s="7" t="s">
        <v>882</v>
      </c>
    </row>
    <row r="490" spans="20:33" x14ac:dyDescent="0.25">
      <c r="T490" s="7" t="str">
        <f ca="1"/>
        <v>Z9</v>
      </c>
      <c r="U490" s="7" t="str">
        <f ca="1"/>
        <v>0xD126</v>
      </c>
      <c r="V490" s="7" t="str">
        <f ca="1"/>
        <v>InternalFlashCompensation</v>
      </c>
      <c r="X490" s="8" t="s">
        <v>877</v>
      </c>
      <c r="Y490" s="8" t="s">
        <v>877</v>
      </c>
      <c r="Z490" s="8" t="s">
        <v>891</v>
      </c>
      <c r="AA490" s="8" t="s">
        <v>891</v>
      </c>
      <c r="AB490" s="7" t="s">
        <v>941</v>
      </c>
      <c r="AC490" s="7" t="s">
        <v>893</v>
      </c>
      <c r="AD490" s="7" t="s">
        <v>893</v>
      </c>
      <c r="AE490" s="7" t="s">
        <v>889</v>
      </c>
      <c r="AF490" s="7" t="s">
        <v>837</v>
      </c>
      <c r="AG490" s="7" t="s">
        <v>883</v>
      </c>
    </row>
    <row r="491" spans="20:33" x14ac:dyDescent="0.25">
      <c r="T491" s="7" t="str">
        <f ca="1"/>
        <v>Z9</v>
      </c>
      <c r="U491" s="7" t="str">
        <f ca="1"/>
        <v>0xD12D</v>
      </c>
      <c r="V491" s="7" t="str">
        <f ca="1"/>
        <v>ExternalSpeedLightMultiFlashMode</v>
      </c>
      <c r="X491" s="8" t="s">
        <v>878</v>
      </c>
      <c r="Y491" s="8" t="s">
        <v>878</v>
      </c>
      <c r="Z491" s="8" t="s">
        <v>892</v>
      </c>
      <c r="AA491" s="8" t="s">
        <v>892</v>
      </c>
      <c r="AB491" s="7" t="s">
        <v>942</v>
      </c>
      <c r="AC491" s="7" t="s">
        <v>894</v>
      </c>
      <c r="AD491" s="7" t="s">
        <v>894</v>
      </c>
      <c r="AE491" s="7" t="s">
        <v>890</v>
      </c>
      <c r="AF491" s="7" t="s">
        <v>838</v>
      </c>
      <c r="AG491" s="7" t="s">
        <v>884</v>
      </c>
    </row>
    <row r="492" spans="20:33" x14ac:dyDescent="0.25">
      <c r="T492" s="7" t="str">
        <f ca="1"/>
        <v>Z9</v>
      </c>
      <c r="U492" s="7" t="str">
        <f ca="1"/>
        <v>0xD12E</v>
      </c>
      <c r="V492" s="7" t="str">
        <f ca="1"/>
        <v>ConnectionPath</v>
      </c>
      <c r="X492" s="8" t="s">
        <v>879</v>
      </c>
      <c r="Y492" s="8" t="s">
        <v>879</v>
      </c>
      <c r="Z492" s="8" t="s">
        <v>893</v>
      </c>
      <c r="AA492" s="8" t="s">
        <v>893</v>
      </c>
      <c r="AB492" s="7" t="s">
        <v>943</v>
      </c>
      <c r="AC492" s="7" t="s">
        <v>895</v>
      </c>
      <c r="AD492" s="7" t="s">
        <v>895</v>
      </c>
      <c r="AE492" s="7" t="s">
        <v>891</v>
      </c>
      <c r="AF492" s="7" t="s">
        <v>839</v>
      </c>
      <c r="AG492" s="7" t="s">
        <v>885</v>
      </c>
    </row>
    <row r="493" spans="20:33" x14ac:dyDescent="0.25">
      <c r="T493" s="7" t="str">
        <f ca="1"/>
        <v>Z9</v>
      </c>
      <c r="U493" s="7" t="str">
        <f ca="1"/>
        <v>0xD12F</v>
      </c>
      <c r="V493" s="7" t="str">
        <f ca="1"/>
        <v>AWBLockStatus</v>
      </c>
      <c r="X493" s="8" t="s">
        <v>880</v>
      </c>
      <c r="Y493" s="8" t="s">
        <v>880</v>
      </c>
      <c r="Z493" s="8" t="s">
        <v>894</v>
      </c>
      <c r="AA493" s="8" t="s">
        <v>894</v>
      </c>
      <c r="AB493" s="7" t="s">
        <v>944</v>
      </c>
      <c r="AC493" s="7" t="s">
        <v>896</v>
      </c>
      <c r="AD493" s="7" t="s">
        <v>896</v>
      </c>
      <c r="AE493" s="7" t="s">
        <v>892</v>
      </c>
      <c r="AF493" s="7" t="s">
        <v>840</v>
      </c>
      <c r="AG493" s="7" t="s">
        <v>886</v>
      </c>
    </row>
    <row r="494" spans="20:33" x14ac:dyDescent="0.25">
      <c r="T494" s="7" t="str">
        <f ca="1"/>
        <v>Z9</v>
      </c>
      <c r="U494" s="7" t="str">
        <f ca="1"/>
        <v>0xD130</v>
      </c>
      <c r="V494" s="7" t="str">
        <f ca="1"/>
        <v>HDRMode</v>
      </c>
      <c r="X494" s="8" t="s">
        <v>881</v>
      </c>
      <c r="Y494" s="8" t="s">
        <v>881</v>
      </c>
      <c r="Z494" s="8" t="s">
        <v>895</v>
      </c>
      <c r="AA494" s="8" t="s">
        <v>895</v>
      </c>
      <c r="AB494" s="7" t="s">
        <v>945</v>
      </c>
      <c r="AC494" s="7" t="s">
        <v>897</v>
      </c>
      <c r="AD494" s="7" t="s">
        <v>897</v>
      </c>
      <c r="AE494" s="7" t="s">
        <v>893</v>
      </c>
      <c r="AF494" s="7" t="s">
        <v>841</v>
      </c>
      <c r="AG494" s="7" t="s">
        <v>887</v>
      </c>
    </row>
    <row r="495" spans="20:33" x14ac:dyDescent="0.25">
      <c r="T495" s="7" t="str">
        <f ca="1"/>
        <v>Z9</v>
      </c>
      <c r="U495" s="7" t="str">
        <f ca="1"/>
        <v>0xD132</v>
      </c>
      <c r="V495" s="7" t="str">
        <f ca="1"/>
        <v>HDRStrength</v>
      </c>
      <c r="X495" s="8" t="s">
        <v>882</v>
      </c>
      <c r="Y495" s="8" t="s">
        <v>882</v>
      </c>
      <c r="Z495" s="8" t="s">
        <v>896</v>
      </c>
      <c r="AA495" s="8" t="s">
        <v>896</v>
      </c>
      <c r="AB495" s="7" t="s">
        <v>946</v>
      </c>
      <c r="AC495" s="7" t="s">
        <v>898</v>
      </c>
      <c r="AD495" s="7" t="s">
        <v>898</v>
      </c>
      <c r="AE495" s="7" t="s">
        <v>894</v>
      </c>
      <c r="AF495" s="7" t="s">
        <v>1697</v>
      </c>
      <c r="AG495" s="7" t="s">
        <v>888</v>
      </c>
    </row>
    <row r="496" spans="20:33" x14ac:dyDescent="0.25">
      <c r="T496" s="7" t="str">
        <f ca="1"/>
        <v>Z9</v>
      </c>
      <c r="U496" s="7" t="str">
        <f ca="1"/>
        <v>0xD133</v>
      </c>
      <c r="V496" s="7" t="str">
        <f ca="1"/>
        <v>HDRSaveIndividualImages</v>
      </c>
      <c r="X496" s="8" t="s">
        <v>883</v>
      </c>
      <c r="Y496" s="8" t="s">
        <v>883</v>
      </c>
      <c r="Z496" s="8" t="s">
        <v>897</v>
      </c>
      <c r="AA496" s="8" t="s">
        <v>897</v>
      </c>
      <c r="AB496" s="7" t="s">
        <v>947</v>
      </c>
      <c r="AC496" s="7" t="s">
        <v>899</v>
      </c>
      <c r="AD496" s="7" t="s">
        <v>899</v>
      </c>
      <c r="AE496" s="7" t="s">
        <v>895</v>
      </c>
      <c r="AF496" s="7" t="s">
        <v>1698</v>
      </c>
      <c r="AG496" s="7" t="s">
        <v>889</v>
      </c>
    </row>
    <row r="497" spans="20:33" x14ac:dyDescent="0.25">
      <c r="T497" s="7" t="str">
        <f ca="1"/>
        <v>Z9</v>
      </c>
      <c r="U497" s="7" t="str">
        <f ca="1"/>
        <v>0xD138</v>
      </c>
      <c r="V497" s="7" t="str">
        <f ca="1"/>
        <v>VibrationReduction</v>
      </c>
      <c r="X497" s="8" t="s">
        <v>884</v>
      </c>
      <c r="Y497" s="8" t="s">
        <v>884</v>
      </c>
      <c r="Z497" s="8" t="s">
        <v>898</v>
      </c>
      <c r="AA497" s="8" t="s">
        <v>898</v>
      </c>
      <c r="AB497" s="7" t="s">
        <v>948</v>
      </c>
      <c r="AC497" s="7" t="s">
        <v>900</v>
      </c>
      <c r="AD497" s="7" t="s">
        <v>900</v>
      </c>
      <c r="AE497" s="7" t="s">
        <v>896</v>
      </c>
      <c r="AF497" s="7" t="s">
        <v>1699</v>
      </c>
      <c r="AG497" s="7" t="s">
        <v>890</v>
      </c>
    </row>
    <row r="498" spans="20:33" x14ac:dyDescent="0.25">
      <c r="T498" s="7" t="str">
        <f ca="1"/>
        <v>Z9</v>
      </c>
      <c r="U498" s="7" t="str">
        <f ca="1"/>
        <v>0xD141</v>
      </c>
      <c r="V498" s="7" t="str">
        <f ca="1"/>
        <v>WbAutoType</v>
      </c>
      <c r="X498" s="8" t="s">
        <v>885</v>
      </c>
      <c r="Y498" s="8" t="s">
        <v>885</v>
      </c>
      <c r="Z498" s="8" t="s">
        <v>899</v>
      </c>
      <c r="AA498" s="8" t="s">
        <v>899</v>
      </c>
      <c r="AB498" s="7" t="s">
        <v>949</v>
      </c>
      <c r="AC498" s="7" t="s">
        <v>901</v>
      </c>
      <c r="AD498" s="7" t="s">
        <v>901</v>
      </c>
      <c r="AE498" s="7" t="s">
        <v>897</v>
      </c>
      <c r="AF498" s="7" t="s">
        <v>1700</v>
      </c>
      <c r="AG498" s="7" t="s">
        <v>891</v>
      </c>
    </row>
    <row r="499" spans="20:33" x14ac:dyDescent="0.25">
      <c r="T499" s="7" t="str">
        <f ca="1"/>
        <v>Z9</v>
      </c>
      <c r="U499" s="7" t="str">
        <f ca="1"/>
        <v>0xD148</v>
      </c>
      <c r="V499" s="7" t="str">
        <f ca="1"/>
        <v>Slot2ImageSaveMode</v>
      </c>
      <c r="X499" s="8" t="s">
        <v>886</v>
      </c>
      <c r="Y499" s="8" t="s">
        <v>886</v>
      </c>
      <c r="Z499" s="8" t="s">
        <v>900</v>
      </c>
      <c r="AA499" s="8" t="s">
        <v>900</v>
      </c>
      <c r="AB499" s="7" t="s">
        <v>950</v>
      </c>
      <c r="AC499" s="7" t="s">
        <v>902</v>
      </c>
      <c r="AD499" s="7" t="s">
        <v>902</v>
      </c>
      <c r="AE499" s="7" t="s">
        <v>898</v>
      </c>
      <c r="AF499" s="7" t="s">
        <v>842</v>
      </c>
      <c r="AG499" s="7" t="s">
        <v>892</v>
      </c>
    </row>
    <row r="500" spans="20:33" x14ac:dyDescent="0.25">
      <c r="T500" s="7" t="str">
        <f ca="1"/>
        <v>Z9</v>
      </c>
      <c r="U500" s="7" t="str">
        <f ca="1"/>
        <v>0xD14E</v>
      </c>
      <c r="V500" s="7" t="str">
        <f ca="1"/>
        <v>Active</v>
      </c>
      <c r="X500" s="8" t="s">
        <v>887</v>
      </c>
      <c r="Y500" s="8" t="s">
        <v>887</v>
      </c>
      <c r="Z500" s="8" t="s">
        <v>901</v>
      </c>
      <c r="AA500" s="8" t="s">
        <v>901</v>
      </c>
      <c r="AB500" s="7" t="s">
        <v>951</v>
      </c>
      <c r="AC500" s="7" t="s">
        <v>903</v>
      </c>
      <c r="AD500" s="7" t="s">
        <v>903</v>
      </c>
      <c r="AE500" s="7" t="s">
        <v>899</v>
      </c>
      <c r="AF500" s="7" t="s">
        <v>843</v>
      </c>
      <c r="AG500" s="7" t="s">
        <v>893</v>
      </c>
    </row>
    <row r="501" spans="20:33" x14ac:dyDescent="0.25">
      <c r="T501" s="7" t="str">
        <f ca="1"/>
        <v>Z9</v>
      </c>
      <c r="U501" s="7" t="str">
        <f ca="1"/>
        <v>0xD14F</v>
      </c>
      <c r="V501" s="7" t="str">
        <f ca="1"/>
        <v>WbFluorescentType</v>
      </c>
      <c r="X501" s="8" t="s">
        <v>888</v>
      </c>
      <c r="Y501" s="8" t="s">
        <v>888</v>
      </c>
      <c r="Z501" s="8" t="s">
        <v>902</v>
      </c>
      <c r="AA501" s="8" t="s">
        <v>902</v>
      </c>
      <c r="AB501" s="7" t="s">
        <v>952</v>
      </c>
      <c r="AC501" s="7" t="s">
        <v>904</v>
      </c>
      <c r="AD501" s="7" t="s">
        <v>904</v>
      </c>
      <c r="AE501" s="7" t="s">
        <v>900</v>
      </c>
      <c r="AF501" s="7" t="s">
        <v>846</v>
      </c>
      <c r="AG501" s="7" t="s">
        <v>894</v>
      </c>
    </row>
    <row r="502" spans="20:33" x14ac:dyDescent="0.25">
      <c r="T502" s="7" t="str">
        <f ca="1"/>
        <v>Z9</v>
      </c>
      <c r="U502" s="7" t="str">
        <f ca="1"/>
        <v>0xD150</v>
      </c>
      <c r="V502" s="7" t="str">
        <f ca="1"/>
        <v>WbTuneColorTemp</v>
      </c>
      <c r="X502" s="8" t="s">
        <v>889</v>
      </c>
      <c r="Y502" s="8" t="s">
        <v>889</v>
      </c>
      <c r="Z502" s="8" t="s">
        <v>903</v>
      </c>
      <c r="AA502" s="8" t="s">
        <v>903</v>
      </c>
      <c r="AB502" s="7" t="s">
        <v>953</v>
      </c>
      <c r="AC502" s="7" t="s">
        <v>905</v>
      </c>
      <c r="AD502" s="7" t="s">
        <v>905</v>
      </c>
      <c r="AE502" s="7" t="s">
        <v>901</v>
      </c>
      <c r="AF502" s="7" t="s">
        <v>847</v>
      </c>
      <c r="AG502" s="7" t="s">
        <v>895</v>
      </c>
    </row>
    <row r="503" spans="20:33" x14ac:dyDescent="0.25">
      <c r="T503" s="7" t="str">
        <f ca="1"/>
        <v>Z9</v>
      </c>
      <c r="U503" s="7" t="str">
        <f ca="1"/>
        <v>0xD152</v>
      </c>
      <c r="V503" s="7" t="str">
        <f ca="1"/>
        <v>WbTunePreset1</v>
      </c>
      <c r="X503" s="8" t="s">
        <v>890</v>
      </c>
      <c r="Y503" s="8" t="s">
        <v>890</v>
      </c>
      <c r="Z503" s="8" t="s">
        <v>904</v>
      </c>
      <c r="AA503" s="8" t="s">
        <v>904</v>
      </c>
      <c r="AB503" s="7" t="s">
        <v>954</v>
      </c>
      <c r="AC503" s="7" t="s">
        <v>906</v>
      </c>
      <c r="AD503" s="7" t="s">
        <v>906</v>
      </c>
      <c r="AE503" s="7" t="s">
        <v>902</v>
      </c>
      <c r="AF503" s="7" t="s">
        <v>848</v>
      </c>
      <c r="AG503" s="7" t="s">
        <v>896</v>
      </c>
    </row>
    <row r="504" spans="20:33" x14ac:dyDescent="0.25">
      <c r="T504" s="7" t="str">
        <f ca="1"/>
        <v>Z9</v>
      </c>
      <c r="U504" s="7" t="str">
        <f ca="1"/>
        <v>0xD153</v>
      </c>
      <c r="V504" s="7" t="str">
        <f ca="1"/>
        <v>WbTunePreset2</v>
      </c>
      <c r="X504" s="8" t="s">
        <v>891</v>
      </c>
      <c r="Y504" s="8" t="s">
        <v>891</v>
      </c>
      <c r="Z504" s="8" t="s">
        <v>905</v>
      </c>
      <c r="AA504" s="8" t="s">
        <v>905</v>
      </c>
      <c r="AB504" s="7" t="s">
        <v>955</v>
      </c>
      <c r="AC504" s="7" t="s">
        <v>907</v>
      </c>
      <c r="AD504" s="7" t="s">
        <v>907</v>
      </c>
      <c r="AE504" s="7" t="s">
        <v>903</v>
      </c>
      <c r="AF504" s="7" t="s">
        <v>849</v>
      </c>
      <c r="AG504" s="7" t="s">
        <v>897</v>
      </c>
    </row>
    <row r="505" spans="20:33" x14ac:dyDescent="0.25">
      <c r="T505" s="7" t="str">
        <f ca="1"/>
        <v>Z9</v>
      </c>
      <c r="U505" s="7" t="str">
        <f ca="1"/>
        <v>0xD154</v>
      </c>
      <c r="V505" s="7" t="str">
        <f ca="1"/>
        <v>WbTunePreset3</v>
      </c>
      <c r="X505" s="8" t="s">
        <v>892</v>
      </c>
      <c r="Y505" s="8" t="s">
        <v>892</v>
      </c>
      <c r="Z505" s="8" t="s">
        <v>906</v>
      </c>
      <c r="AA505" s="8" t="s">
        <v>906</v>
      </c>
      <c r="AC505" s="7" t="s">
        <v>908</v>
      </c>
      <c r="AD505" s="7" t="s">
        <v>908</v>
      </c>
      <c r="AE505" s="7" t="s">
        <v>904</v>
      </c>
      <c r="AF505" s="7" t="s">
        <v>850</v>
      </c>
      <c r="AG505" s="7" t="s">
        <v>898</v>
      </c>
    </row>
    <row r="506" spans="20:33" x14ac:dyDescent="0.25">
      <c r="T506" s="7" t="str">
        <f ca="1"/>
        <v>Z9</v>
      </c>
      <c r="U506" s="7" t="str">
        <f ca="1"/>
        <v>0xD155</v>
      </c>
      <c r="V506" s="7" t="str">
        <f ca="1"/>
        <v>WbTunePreset4</v>
      </c>
      <c r="X506" s="8" t="s">
        <v>893</v>
      </c>
      <c r="Y506" s="8" t="s">
        <v>893</v>
      </c>
      <c r="Z506" s="8" t="s">
        <v>907</v>
      </c>
      <c r="AA506" s="8" t="s">
        <v>907</v>
      </c>
      <c r="AC506" s="7" t="s">
        <v>909</v>
      </c>
      <c r="AD506" s="7" t="s">
        <v>909</v>
      </c>
      <c r="AE506" s="7" t="s">
        <v>905</v>
      </c>
      <c r="AF506" s="7" t="s">
        <v>851</v>
      </c>
      <c r="AG506" s="7" t="s">
        <v>899</v>
      </c>
    </row>
    <row r="507" spans="20:33" x14ac:dyDescent="0.25">
      <c r="T507" s="7" t="str">
        <f ca="1"/>
        <v>Z9</v>
      </c>
      <c r="U507" s="7" t="str">
        <f ca="1"/>
        <v>0xD158</v>
      </c>
      <c r="V507" s="7" t="str">
        <f ca="1"/>
        <v>WbPresetProtect1</v>
      </c>
      <c r="X507" s="8" t="s">
        <v>894</v>
      </c>
      <c r="Y507" s="8" t="s">
        <v>894</v>
      </c>
      <c r="Z507" s="8" t="s">
        <v>908</v>
      </c>
      <c r="AA507" s="8" t="s">
        <v>908</v>
      </c>
      <c r="AC507" s="7" t="s">
        <v>910</v>
      </c>
      <c r="AD507" s="7" t="s">
        <v>910</v>
      </c>
      <c r="AE507" s="7" t="s">
        <v>906</v>
      </c>
      <c r="AF507" s="7" t="s">
        <v>852</v>
      </c>
      <c r="AG507" s="7" t="s">
        <v>900</v>
      </c>
    </row>
    <row r="508" spans="20:33" x14ac:dyDescent="0.25">
      <c r="T508" s="7" t="str">
        <f ca="1"/>
        <v>Z9</v>
      </c>
      <c r="U508" s="7" t="str">
        <f ca="1"/>
        <v>0xD159</v>
      </c>
      <c r="V508" s="7" t="str">
        <f ca="1"/>
        <v>WbPresetProtect2</v>
      </c>
      <c r="X508" s="8" t="s">
        <v>895</v>
      </c>
      <c r="Y508" s="8" t="s">
        <v>895</v>
      </c>
      <c r="Z508" s="8" t="s">
        <v>909</v>
      </c>
      <c r="AA508" s="8" t="s">
        <v>909</v>
      </c>
      <c r="AC508" s="7" t="s">
        <v>911</v>
      </c>
      <c r="AD508" s="7" t="s">
        <v>911</v>
      </c>
      <c r="AE508" s="7" t="s">
        <v>907</v>
      </c>
      <c r="AF508" s="7" t="s">
        <v>853</v>
      </c>
      <c r="AG508" s="7" t="s">
        <v>901</v>
      </c>
    </row>
    <row r="509" spans="20:33" x14ac:dyDescent="0.25">
      <c r="T509" s="7" t="str">
        <f ca="1"/>
        <v>Z9</v>
      </c>
      <c r="U509" s="7" t="str">
        <f ca="1"/>
        <v>0xD15A</v>
      </c>
      <c r="V509" s="7" t="str">
        <f ca="1"/>
        <v>WbPresetProtect3</v>
      </c>
      <c r="X509" s="8" t="s">
        <v>896</v>
      </c>
      <c r="Y509" s="8" t="s">
        <v>896</v>
      </c>
      <c r="Z509" s="8" t="s">
        <v>910</v>
      </c>
      <c r="AA509" s="8" t="s">
        <v>910</v>
      </c>
      <c r="AC509" s="7" t="s">
        <v>912</v>
      </c>
      <c r="AD509" s="7" t="s">
        <v>912</v>
      </c>
      <c r="AE509" s="7" t="s">
        <v>908</v>
      </c>
      <c r="AF509" s="7" t="s">
        <v>854</v>
      </c>
      <c r="AG509" s="7" t="s">
        <v>902</v>
      </c>
    </row>
    <row r="510" spans="20:33" x14ac:dyDescent="0.25">
      <c r="T510" s="7" t="str">
        <f ca="1"/>
        <v>Z9</v>
      </c>
      <c r="U510" s="7" t="str">
        <f ca="1"/>
        <v>0xD15B</v>
      </c>
      <c r="V510" s="7" t="str">
        <f ca="1"/>
        <v>ActiveFolder</v>
      </c>
      <c r="X510" s="8" t="s">
        <v>897</v>
      </c>
      <c r="Y510" s="8" t="s">
        <v>897</v>
      </c>
      <c r="Z510" s="8" t="s">
        <v>911</v>
      </c>
      <c r="AA510" s="8" t="s">
        <v>911</v>
      </c>
      <c r="AC510" s="7" t="s">
        <v>913</v>
      </c>
      <c r="AD510" s="7" t="s">
        <v>913</v>
      </c>
      <c r="AE510" s="7" t="s">
        <v>909</v>
      </c>
      <c r="AF510" s="7" t="s">
        <v>855</v>
      </c>
      <c r="AG510" s="7" t="s">
        <v>903</v>
      </c>
    </row>
    <row r="511" spans="20:33" x14ac:dyDescent="0.25">
      <c r="T511" s="7" t="str">
        <f ca="1"/>
        <v>Z9</v>
      </c>
      <c r="U511" s="7" t="str">
        <f ca="1"/>
        <v>0xD15C</v>
      </c>
      <c r="V511" s="7" t="str">
        <f ca="1"/>
        <v>WbPresetProtect4</v>
      </c>
      <c r="X511" s="8" t="s">
        <v>898</v>
      </c>
      <c r="Y511" s="8" t="s">
        <v>898</v>
      </c>
      <c r="Z511" s="8" t="s">
        <v>912</v>
      </c>
      <c r="AA511" s="8" t="s">
        <v>912</v>
      </c>
      <c r="AC511" s="7" t="s">
        <v>914</v>
      </c>
      <c r="AD511" s="7" t="s">
        <v>914</v>
      </c>
      <c r="AE511" s="7" t="s">
        <v>910</v>
      </c>
      <c r="AF511" s="7" t="s">
        <v>856</v>
      </c>
      <c r="AG511" s="7" t="s">
        <v>904</v>
      </c>
    </row>
    <row r="512" spans="20:33" x14ac:dyDescent="0.25">
      <c r="T512" s="7" t="str">
        <f ca="1"/>
        <v>Z9</v>
      </c>
      <c r="U512" s="7" t="str">
        <f ca="1"/>
        <v>0xD15E</v>
      </c>
      <c r="V512" s="7" t="str">
        <f ca="1"/>
        <v>WbTuneNatural</v>
      </c>
      <c r="X512" s="8" t="s">
        <v>899</v>
      </c>
      <c r="Y512" s="8" t="s">
        <v>899</v>
      </c>
      <c r="Z512" s="8" t="s">
        <v>913</v>
      </c>
      <c r="AA512" s="8" t="s">
        <v>913</v>
      </c>
      <c r="AC512" s="7" t="s">
        <v>915</v>
      </c>
      <c r="AD512" s="7" t="s">
        <v>915</v>
      </c>
      <c r="AE512" s="7" t="s">
        <v>911</v>
      </c>
      <c r="AF512" s="7" t="s">
        <v>857</v>
      </c>
      <c r="AG512" s="7" t="s">
        <v>905</v>
      </c>
    </row>
    <row r="513" spans="20:33" x14ac:dyDescent="0.25">
      <c r="T513" s="7" t="str">
        <f ca="1"/>
        <v>Z9</v>
      </c>
      <c r="U513" s="7" t="str">
        <f ca="1"/>
        <v>0xD164</v>
      </c>
      <c r="V513" s="7" t="str">
        <f ca="1"/>
        <v>ISOAutoShutterTime</v>
      </c>
      <c r="X513" s="8" t="s">
        <v>900</v>
      </c>
      <c r="Y513" s="8" t="s">
        <v>900</v>
      </c>
      <c r="Z513" s="8" t="s">
        <v>914</v>
      </c>
      <c r="AA513" s="8" t="s">
        <v>914</v>
      </c>
      <c r="AC513" s="7" t="s">
        <v>916</v>
      </c>
      <c r="AD513" s="7" t="s">
        <v>916</v>
      </c>
      <c r="AE513" s="7" t="s">
        <v>912</v>
      </c>
      <c r="AF513" s="7" t="s">
        <v>1228</v>
      </c>
      <c r="AG513" s="7" t="s">
        <v>906</v>
      </c>
    </row>
    <row r="514" spans="20:33" x14ac:dyDescent="0.25">
      <c r="T514" s="7" t="str">
        <f ca="1"/>
        <v>Z9</v>
      </c>
      <c r="U514" s="7" t="str">
        <f ca="1"/>
        <v>0xD16E</v>
      </c>
      <c r="V514" s="7" t="str">
        <f ca="1"/>
        <v>ExtendedShutterSpeedsManual</v>
      </c>
      <c r="X514" s="8" t="s">
        <v>901</v>
      </c>
      <c r="Y514" s="8" t="s">
        <v>901</v>
      </c>
      <c r="Z514" s="8" t="s">
        <v>915</v>
      </c>
      <c r="AA514" s="8" t="s">
        <v>915</v>
      </c>
      <c r="AC514" s="7" t="s">
        <v>917</v>
      </c>
      <c r="AD514" s="7" t="s">
        <v>917</v>
      </c>
      <c r="AE514" s="7" t="s">
        <v>913</v>
      </c>
      <c r="AF514" s="7" t="s">
        <v>1229</v>
      </c>
      <c r="AG514" s="7" t="s">
        <v>907</v>
      </c>
    </row>
    <row r="515" spans="20:33" x14ac:dyDescent="0.25">
      <c r="T515" s="7" t="str">
        <f ca="1"/>
        <v>Z9</v>
      </c>
      <c r="U515" s="7" t="str">
        <f ca="1"/>
        <v>0xD177</v>
      </c>
      <c r="V515" s="7" t="str">
        <f ca="1"/>
        <v>FocusModeRestrictions</v>
      </c>
      <c r="X515" s="8" t="s">
        <v>902</v>
      </c>
      <c r="Y515" s="8" t="s">
        <v>902</v>
      </c>
      <c r="Z515" s="8" t="s">
        <v>916</v>
      </c>
      <c r="AA515" s="8" t="s">
        <v>916</v>
      </c>
      <c r="AC515" s="7" t="s">
        <v>918</v>
      </c>
      <c r="AD515" s="7" t="s">
        <v>918</v>
      </c>
      <c r="AE515" s="7" t="s">
        <v>914</v>
      </c>
      <c r="AF515" s="7" t="s">
        <v>858</v>
      </c>
      <c r="AG515" s="7" t="s">
        <v>908</v>
      </c>
    </row>
    <row r="516" spans="20:33" x14ac:dyDescent="0.25">
      <c r="T516" s="7" t="str">
        <f ca="1"/>
        <v>Z9</v>
      </c>
      <c r="U516" s="7" t="str">
        <f ca="1"/>
        <v>0xD17B</v>
      </c>
      <c r="V516" s="7" t="str">
        <f ca="1"/>
        <v>ViewMode</v>
      </c>
      <c r="X516" s="8" t="s">
        <v>903</v>
      </c>
      <c r="Y516" s="8" t="s">
        <v>903</v>
      </c>
      <c r="Z516" s="8" t="s">
        <v>917</v>
      </c>
      <c r="AA516" s="8" t="s">
        <v>917</v>
      </c>
      <c r="AC516" s="7" t="s">
        <v>919</v>
      </c>
      <c r="AD516" s="7" t="s">
        <v>919</v>
      </c>
      <c r="AE516" s="7" t="s">
        <v>915</v>
      </c>
      <c r="AF516" s="7" t="s">
        <v>859</v>
      </c>
      <c r="AG516" s="7" t="s">
        <v>909</v>
      </c>
    </row>
    <row r="517" spans="20:33" x14ac:dyDescent="0.25">
      <c r="T517" s="7" t="str">
        <f ca="1"/>
        <v>Z9</v>
      </c>
      <c r="U517" s="7" t="str">
        <f ca="1"/>
        <v>0xD17C</v>
      </c>
      <c r="V517" s="7" t="str">
        <f ca="1"/>
        <v>MovieAfSpeed</v>
      </c>
      <c r="X517" s="8" t="s">
        <v>904</v>
      </c>
      <c r="Y517" s="8" t="s">
        <v>904</v>
      </c>
      <c r="Z517" s="8" t="s">
        <v>918</v>
      </c>
      <c r="AA517" s="8" t="s">
        <v>918</v>
      </c>
      <c r="AC517" s="7" t="s">
        <v>920</v>
      </c>
      <c r="AD517" s="7" t="s">
        <v>920</v>
      </c>
      <c r="AE517" s="7" t="s">
        <v>916</v>
      </c>
      <c r="AF517" s="7" t="s">
        <v>1701</v>
      </c>
      <c r="AG517" s="7" t="s">
        <v>910</v>
      </c>
    </row>
    <row r="518" spans="20:33" x14ac:dyDescent="0.25">
      <c r="T518" s="7" t="str">
        <f ca="1"/>
        <v>Z9</v>
      </c>
      <c r="U518" s="7" t="str">
        <f ca="1"/>
        <v>0xD17D</v>
      </c>
      <c r="V518" s="7" t="str">
        <f ca="1"/>
        <v>MovieAfSpeedWhenToApply</v>
      </c>
      <c r="X518" s="8" t="s">
        <v>905</v>
      </c>
      <c r="Y518" s="8" t="s">
        <v>905</v>
      </c>
      <c r="Z518" s="8" t="s">
        <v>919</v>
      </c>
      <c r="AA518" s="8" t="s">
        <v>919</v>
      </c>
      <c r="AC518" s="7" t="s">
        <v>921</v>
      </c>
      <c r="AD518" s="7" t="s">
        <v>921</v>
      </c>
      <c r="AE518" s="7" t="s">
        <v>917</v>
      </c>
      <c r="AF518" s="7" t="s">
        <v>1702</v>
      </c>
      <c r="AG518" s="7" t="s">
        <v>911</v>
      </c>
    </row>
    <row r="519" spans="20:33" x14ac:dyDescent="0.25">
      <c r="T519" s="7" t="str">
        <f ca="1"/>
        <v>Z9</v>
      </c>
      <c r="U519" s="7" t="str">
        <f ca="1"/>
        <v>0xD17E</v>
      </c>
      <c r="V519" s="7" t="str">
        <f ca="1"/>
        <v>MovieAfTrackingSensitivity</v>
      </c>
      <c r="X519" s="8" t="s">
        <v>906</v>
      </c>
      <c r="Y519" s="8" t="s">
        <v>906</v>
      </c>
      <c r="Z519" s="8" t="s">
        <v>920</v>
      </c>
      <c r="AA519" s="8" t="s">
        <v>920</v>
      </c>
      <c r="AC519" s="7" t="s">
        <v>922</v>
      </c>
      <c r="AD519" s="7" t="s">
        <v>922</v>
      </c>
      <c r="AE519" s="7" t="s">
        <v>918</v>
      </c>
      <c r="AF519" s="7" t="s">
        <v>860</v>
      </c>
      <c r="AG519" s="7" t="s">
        <v>912</v>
      </c>
    </row>
    <row r="520" spans="20:33" x14ac:dyDescent="0.25">
      <c r="T520" s="7" t="str">
        <f ca="1"/>
        <v>Z9</v>
      </c>
      <c r="U520" s="7" t="str">
        <f ca="1"/>
        <v>0xD180</v>
      </c>
      <c r="V520" s="7" t="str">
        <f ca="1"/>
        <v>FlushBurstPrioritize</v>
      </c>
      <c r="X520" s="8" t="s">
        <v>907</v>
      </c>
      <c r="Y520" s="8" t="s">
        <v>907</v>
      </c>
      <c r="Z520" s="8" t="s">
        <v>921</v>
      </c>
      <c r="AA520" s="8" t="s">
        <v>921</v>
      </c>
      <c r="AC520" s="7" t="s">
        <v>923</v>
      </c>
      <c r="AD520" s="7" t="s">
        <v>923</v>
      </c>
      <c r="AE520" s="7" t="s">
        <v>919</v>
      </c>
      <c r="AF520" s="7" t="s">
        <v>861</v>
      </c>
      <c r="AG520" s="7" t="s">
        <v>913</v>
      </c>
    </row>
    <row r="521" spans="20:33" x14ac:dyDescent="0.25">
      <c r="T521" s="7" t="str">
        <f ca="1"/>
        <v>Z9</v>
      </c>
      <c r="U521" s="7" t="str">
        <f ca="1"/>
        <v>0xD183</v>
      </c>
      <c r="V521" s="7" t="str">
        <f ca="1"/>
        <v>ISOAutoHighLimit</v>
      </c>
      <c r="X521" s="8" t="s">
        <v>908</v>
      </c>
      <c r="Y521" s="8" t="s">
        <v>908</v>
      </c>
      <c r="Z521" s="8" t="s">
        <v>922</v>
      </c>
      <c r="AA521" s="8" t="s">
        <v>922</v>
      </c>
      <c r="AC521" s="7" t="s">
        <v>924</v>
      </c>
      <c r="AD521" s="7" t="s">
        <v>924</v>
      </c>
      <c r="AE521" s="7" t="s">
        <v>920</v>
      </c>
      <c r="AF521" s="7" t="s">
        <v>862</v>
      </c>
      <c r="AG521" s="7" t="s">
        <v>914</v>
      </c>
    </row>
    <row r="522" spans="20:33" x14ac:dyDescent="0.25">
      <c r="T522" s="7" t="str">
        <f ca="1"/>
        <v>Z9</v>
      </c>
      <c r="U522" s="7" t="str">
        <f ca="1"/>
        <v>0xD186</v>
      </c>
      <c r="V522" s="7" t="str">
        <f ca="1"/>
        <v>CSpeedHigh</v>
      </c>
      <c r="X522" s="8" t="s">
        <v>909</v>
      </c>
      <c r="Y522" s="8" t="s">
        <v>909</v>
      </c>
      <c r="Z522" s="8" t="s">
        <v>923</v>
      </c>
      <c r="AA522" s="8" t="s">
        <v>923</v>
      </c>
      <c r="AC522" s="7" t="s">
        <v>925</v>
      </c>
      <c r="AD522" s="7" t="s">
        <v>925</v>
      </c>
      <c r="AE522" s="7" t="s">
        <v>921</v>
      </c>
      <c r="AF522" s="7" t="s">
        <v>863</v>
      </c>
      <c r="AG522" s="7" t="s">
        <v>915</v>
      </c>
    </row>
    <row r="523" spans="20:33" x14ac:dyDescent="0.25">
      <c r="T523" s="7" t="str">
        <f ca="1"/>
        <v>Z9</v>
      </c>
      <c r="U523" s="7" t="str">
        <f ca="1"/>
        <v>0xD199</v>
      </c>
      <c r="V523" s="7" t="str">
        <f ca="1"/>
        <v>FlashISOAutoHighLimit</v>
      </c>
      <c r="X523" s="8" t="s">
        <v>910</v>
      </c>
      <c r="Y523" s="8" t="s">
        <v>910</v>
      </c>
      <c r="Z523" s="8" t="s">
        <v>924</v>
      </c>
      <c r="AA523" s="8" t="s">
        <v>924</v>
      </c>
      <c r="AC523" s="7" t="s">
        <v>926</v>
      </c>
      <c r="AD523" s="7" t="s">
        <v>926</v>
      </c>
      <c r="AE523" s="7" t="s">
        <v>922</v>
      </c>
      <c r="AF523" s="7" t="s">
        <v>864</v>
      </c>
      <c r="AG523" s="7" t="s">
        <v>916</v>
      </c>
    </row>
    <row r="524" spans="20:33" x14ac:dyDescent="0.25">
      <c r="T524" s="7" t="str">
        <f ca="1"/>
        <v>Z9</v>
      </c>
      <c r="U524" s="7" t="str">
        <f ca="1"/>
        <v>0xD1A2</v>
      </c>
      <c r="V524" s="7" t="str">
        <f ca="1"/>
        <v>RemoteLiveViewStatus</v>
      </c>
      <c r="X524" s="8" t="s">
        <v>911</v>
      </c>
      <c r="Y524" s="8" t="s">
        <v>911</v>
      </c>
      <c r="Z524" s="8" t="s">
        <v>925</v>
      </c>
      <c r="AA524" s="8" t="s">
        <v>925</v>
      </c>
      <c r="AC524" s="7" t="s">
        <v>927</v>
      </c>
      <c r="AD524" s="7" t="s">
        <v>927</v>
      </c>
      <c r="AE524" s="7" t="s">
        <v>923</v>
      </c>
      <c r="AF524" s="7" t="s">
        <v>865</v>
      </c>
      <c r="AG524" s="7" t="s">
        <v>917</v>
      </c>
    </row>
    <row r="525" spans="20:33" x14ac:dyDescent="0.25">
      <c r="T525" s="7" t="str">
        <f ca="1"/>
        <v>Z9</v>
      </c>
      <c r="U525" s="7" t="str">
        <f ca="1"/>
        <v>0xD1A4</v>
      </c>
      <c r="V525" s="7" t="str">
        <f ca="1"/>
        <v>LiveViewProhibitionCondition</v>
      </c>
      <c r="X525" s="8" t="s">
        <v>912</v>
      </c>
      <c r="Y525" s="8" t="s">
        <v>912</v>
      </c>
      <c r="Z525" s="8" t="s">
        <v>926</v>
      </c>
      <c r="AA525" s="8" t="s">
        <v>926</v>
      </c>
      <c r="AC525" s="7" t="s">
        <v>928</v>
      </c>
      <c r="AD525" s="7" t="s">
        <v>928</v>
      </c>
      <c r="AE525" s="7" t="s">
        <v>924</v>
      </c>
      <c r="AF525" s="7" t="s">
        <v>866</v>
      </c>
      <c r="AG525" s="7" t="s">
        <v>918</v>
      </c>
    </row>
    <row r="526" spans="20:33" x14ac:dyDescent="0.25">
      <c r="T526" s="7" t="str">
        <f ca="1"/>
        <v>Z9</v>
      </c>
      <c r="U526" s="7" t="str">
        <f ca="1"/>
        <v>0xD1A6</v>
      </c>
      <c r="V526" s="7" t="str">
        <f ca="1"/>
        <v>LiveViewSelector</v>
      </c>
      <c r="X526" s="8" t="s">
        <v>913</v>
      </c>
      <c r="Y526" s="8" t="s">
        <v>913</v>
      </c>
      <c r="Z526" s="8" t="s">
        <v>927</v>
      </c>
      <c r="AA526" s="8" t="s">
        <v>927</v>
      </c>
      <c r="AC526" s="7" t="s">
        <v>929</v>
      </c>
      <c r="AD526" s="7" t="s">
        <v>929</v>
      </c>
      <c r="AE526" s="7" t="s">
        <v>925</v>
      </c>
      <c r="AF526" s="7" t="s">
        <v>867</v>
      </c>
      <c r="AG526" s="7" t="s">
        <v>919</v>
      </c>
    </row>
    <row r="527" spans="20:33" x14ac:dyDescent="0.25">
      <c r="T527" s="7" t="str">
        <f ca="1"/>
        <v>Z9</v>
      </c>
      <c r="U527" s="7" t="str">
        <f ca="1"/>
        <v>0xD1A8</v>
      </c>
      <c r="V527" s="7" t="str">
        <f ca="1"/>
        <v>MovieShutterSpeed</v>
      </c>
      <c r="X527" s="8" t="s">
        <v>914</v>
      </c>
      <c r="Y527" s="8" t="s">
        <v>914</v>
      </c>
      <c r="Z527" s="8" t="s">
        <v>928</v>
      </c>
      <c r="AA527" s="8" t="s">
        <v>928</v>
      </c>
      <c r="AC527" s="7" t="s">
        <v>1539</v>
      </c>
      <c r="AD527" s="7" t="s">
        <v>1539</v>
      </c>
      <c r="AE527" s="7" t="s">
        <v>926</v>
      </c>
      <c r="AF527" s="7" t="s">
        <v>868</v>
      </c>
      <c r="AG527" s="7" t="s">
        <v>920</v>
      </c>
    </row>
    <row r="528" spans="20:33" x14ac:dyDescent="0.25">
      <c r="T528" s="7" t="str">
        <f ca="1"/>
        <v>Z9</v>
      </c>
      <c r="U528" s="7" t="str">
        <f ca="1"/>
        <v>0xD1A9</v>
      </c>
      <c r="V528" s="7" t="str">
        <f ca="1"/>
        <v>MovieFnumber</v>
      </c>
      <c r="X528" s="8" t="s">
        <v>915</v>
      </c>
      <c r="Y528" s="8" t="s">
        <v>915</v>
      </c>
      <c r="Z528" s="8" t="s">
        <v>929</v>
      </c>
      <c r="AA528" s="8" t="s">
        <v>929</v>
      </c>
      <c r="AC528" s="7" t="s">
        <v>1540</v>
      </c>
      <c r="AD528" s="7" t="s">
        <v>1540</v>
      </c>
      <c r="AE528" s="7" t="s">
        <v>927</v>
      </c>
      <c r="AF528" s="7" t="s">
        <v>869</v>
      </c>
      <c r="AG528" s="7" t="s">
        <v>921</v>
      </c>
    </row>
    <row r="529" spans="20:33" x14ac:dyDescent="0.25">
      <c r="T529" s="7" t="str">
        <f ca="1"/>
        <v>Z9</v>
      </c>
      <c r="U529" s="7" t="str">
        <f ca="1"/>
        <v>0xD1AA</v>
      </c>
      <c r="V529" s="7" t="str">
        <f ca="1"/>
        <v>MovieExposureIndex</v>
      </c>
      <c r="X529" s="8" t="s">
        <v>916</v>
      </c>
      <c r="Y529" s="8" t="s">
        <v>916</v>
      </c>
      <c r="Z529" s="8" t="s">
        <v>930</v>
      </c>
      <c r="AA529" s="8" t="s">
        <v>930</v>
      </c>
      <c r="AC529" s="7" t="s">
        <v>930</v>
      </c>
      <c r="AD529" s="7" t="s">
        <v>930</v>
      </c>
      <c r="AE529" s="7" t="s">
        <v>928</v>
      </c>
      <c r="AF529" s="7" t="s">
        <v>870</v>
      </c>
      <c r="AG529" s="7" t="s">
        <v>922</v>
      </c>
    </row>
    <row r="530" spans="20:33" x14ac:dyDescent="0.25">
      <c r="T530" s="7" t="str">
        <f ca="1"/>
        <v>Z9</v>
      </c>
      <c r="U530" s="7" t="str">
        <f ca="1"/>
        <v>0xD1AB</v>
      </c>
      <c r="V530" s="7" t="str">
        <f ca="1"/>
        <v>MovieExposureBiasCompensation</v>
      </c>
      <c r="X530" s="8" t="s">
        <v>917</v>
      </c>
      <c r="Y530" s="8" t="s">
        <v>917</v>
      </c>
      <c r="Z530" s="8" t="s">
        <v>931</v>
      </c>
      <c r="AA530" s="8" t="s">
        <v>931</v>
      </c>
      <c r="AC530" s="7" t="s">
        <v>931</v>
      </c>
      <c r="AD530" s="7" t="s">
        <v>931</v>
      </c>
      <c r="AE530" s="7" t="s">
        <v>929</v>
      </c>
      <c r="AF530" s="7" t="s">
        <v>871</v>
      </c>
      <c r="AG530" s="7" t="s">
        <v>923</v>
      </c>
    </row>
    <row r="531" spans="20:33" x14ac:dyDescent="0.25">
      <c r="T531" s="7" t="str">
        <f ca="1"/>
        <v>Z9</v>
      </c>
      <c r="U531" s="7" t="str">
        <f ca="1"/>
        <v>0xD1AC</v>
      </c>
      <c r="V531" s="7" t="str">
        <f ca="1"/>
        <v>LiveViewImageSize</v>
      </c>
      <c r="X531" s="8" t="s">
        <v>918</v>
      </c>
      <c r="Y531" s="8" t="s">
        <v>918</v>
      </c>
      <c r="Z531" s="8" t="s">
        <v>932</v>
      </c>
      <c r="AA531" s="8" t="s">
        <v>932</v>
      </c>
      <c r="AC531" s="7" t="s">
        <v>932</v>
      </c>
      <c r="AD531" s="7" t="s">
        <v>932</v>
      </c>
      <c r="AE531" s="7" t="s">
        <v>1539</v>
      </c>
      <c r="AF531" s="7" t="s">
        <v>872</v>
      </c>
      <c r="AG531" s="7" t="s">
        <v>924</v>
      </c>
    </row>
    <row r="532" spans="20:33" x14ac:dyDescent="0.25">
      <c r="T532" s="7" t="str">
        <f ca="1"/>
        <v>Z9</v>
      </c>
      <c r="U532" s="7" t="str">
        <f ca="1"/>
        <v>0xD1AF</v>
      </c>
      <c r="V532" s="7" t="str">
        <f ca="1"/>
        <v>MovieExposureMeteringMode</v>
      </c>
      <c r="X532" s="8" t="s">
        <v>919</v>
      </c>
      <c r="Y532" s="8" t="s">
        <v>919</v>
      </c>
      <c r="Z532" s="8" t="s">
        <v>933</v>
      </c>
      <c r="AA532" s="8" t="s">
        <v>933</v>
      </c>
      <c r="AC532" s="7" t="s">
        <v>933</v>
      </c>
      <c r="AD532" s="7" t="s">
        <v>933</v>
      </c>
      <c r="AE532" s="7" t="s">
        <v>1540</v>
      </c>
      <c r="AF532" s="7" t="s">
        <v>873</v>
      </c>
      <c r="AG532" s="7" t="s">
        <v>925</v>
      </c>
    </row>
    <row r="533" spans="20:33" x14ac:dyDescent="0.25">
      <c r="T533" s="7" t="str">
        <f ca="1"/>
        <v>Z9</v>
      </c>
      <c r="U533" s="7" t="str">
        <f ca="1"/>
        <v>0xD1B0</v>
      </c>
      <c r="V533" s="7" t="str">
        <f ca="1"/>
        <v>ExposureDisplayStatus</v>
      </c>
      <c r="X533" s="8" t="s">
        <v>920</v>
      </c>
      <c r="Y533" s="8" t="s">
        <v>920</v>
      </c>
      <c r="Z533" s="8" t="s">
        <v>934</v>
      </c>
      <c r="AA533" s="8" t="s">
        <v>934</v>
      </c>
      <c r="AC533" s="7" t="s">
        <v>934</v>
      </c>
      <c r="AD533" s="7" t="s">
        <v>934</v>
      </c>
      <c r="AE533" s="7" t="s">
        <v>930</v>
      </c>
      <c r="AF533" s="7" t="s">
        <v>874</v>
      </c>
      <c r="AG533" s="7" t="s">
        <v>926</v>
      </c>
    </row>
    <row r="534" spans="20:33" x14ac:dyDescent="0.25">
      <c r="T534" s="7" t="str">
        <f ca="1"/>
        <v>Z9</v>
      </c>
      <c r="U534" s="7" t="str">
        <f ca="1"/>
        <v>0xD1B1</v>
      </c>
      <c r="V534" s="7" t="str">
        <f ca="1"/>
        <v>ExposureIndicateStatus</v>
      </c>
      <c r="X534" s="8" t="s">
        <v>921</v>
      </c>
      <c r="Y534" s="8" t="s">
        <v>921</v>
      </c>
      <c r="Z534" s="8" t="s">
        <v>935</v>
      </c>
      <c r="AA534" s="8" t="s">
        <v>935</v>
      </c>
      <c r="AC534" s="7" t="s">
        <v>935</v>
      </c>
      <c r="AD534" s="7" t="s">
        <v>935</v>
      </c>
      <c r="AE534" s="7" t="s">
        <v>931</v>
      </c>
      <c r="AF534" s="7" t="s">
        <v>875</v>
      </c>
      <c r="AG534" s="7" t="s">
        <v>927</v>
      </c>
    </row>
    <row r="535" spans="20:33" x14ac:dyDescent="0.25">
      <c r="T535" s="7" t="str">
        <f ca="1"/>
        <v>Z9</v>
      </c>
      <c r="U535" s="7" t="str">
        <f ca="1"/>
        <v>0xD1B2</v>
      </c>
      <c r="V535" s="7" t="str">
        <f ca="1"/>
        <v>InfoDisplayErrorStatus</v>
      </c>
      <c r="X535" s="8" t="s">
        <v>922</v>
      </c>
      <c r="Y535" s="8" t="s">
        <v>922</v>
      </c>
      <c r="Z535" s="8" t="s">
        <v>936</v>
      </c>
      <c r="AA535" s="8" t="s">
        <v>936</v>
      </c>
      <c r="AC535" s="7" t="s">
        <v>936</v>
      </c>
      <c r="AD535" s="7" t="s">
        <v>936</v>
      </c>
      <c r="AE535" s="7" t="s">
        <v>932</v>
      </c>
      <c r="AF535" s="7" t="s">
        <v>876</v>
      </c>
      <c r="AG535" s="7" t="s">
        <v>928</v>
      </c>
    </row>
    <row r="536" spans="20:33" x14ac:dyDescent="0.25">
      <c r="T536" s="7" t="str">
        <f ca="1"/>
        <v>Z9</v>
      </c>
      <c r="U536" s="7" t="str">
        <f ca="1"/>
        <v>0xD1B3</v>
      </c>
      <c r="V536" s="7" t="str">
        <f ca="1"/>
        <v>ExposureIndicateLightup</v>
      </c>
      <c r="X536" s="8" t="s">
        <v>923</v>
      </c>
      <c r="Y536" s="8" t="s">
        <v>923</v>
      </c>
      <c r="Z536" s="8" t="s">
        <v>937</v>
      </c>
      <c r="AA536" s="8" t="s">
        <v>937</v>
      </c>
      <c r="AC536" s="7" t="s">
        <v>937</v>
      </c>
      <c r="AD536" s="7" t="s">
        <v>937</v>
      </c>
      <c r="AE536" s="7" t="s">
        <v>933</v>
      </c>
      <c r="AF536" s="7" t="s">
        <v>877</v>
      </c>
      <c r="AG536" s="7" t="s">
        <v>929</v>
      </c>
    </row>
    <row r="537" spans="20:33" x14ac:dyDescent="0.25">
      <c r="T537" s="7" t="str">
        <f ca="1"/>
        <v>Z9</v>
      </c>
      <c r="U537" s="7" t="str">
        <f ca="1"/>
        <v>0xD1B4</v>
      </c>
      <c r="V537" s="7" t="str">
        <f ca="1"/>
        <v>ContinuousShootingCount</v>
      </c>
      <c r="X537" s="8" t="s">
        <v>924</v>
      </c>
      <c r="Y537" s="8" t="s">
        <v>924</v>
      </c>
      <c r="Z537" s="8" t="s">
        <v>938</v>
      </c>
      <c r="AA537" s="8" t="s">
        <v>938</v>
      </c>
      <c r="AC537" s="7" t="s">
        <v>938</v>
      </c>
      <c r="AD537" s="7" t="s">
        <v>938</v>
      </c>
      <c r="AE537" s="7" t="s">
        <v>934</v>
      </c>
      <c r="AF537" s="7" t="s">
        <v>878</v>
      </c>
      <c r="AG537" s="7" t="s">
        <v>1539</v>
      </c>
    </row>
    <row r="538" spans="20:33" x14ac:dyDescent="0.25">
      <c r="T538" s="7" t="str">
        <f ca="1"/>
        <v>Z9</v>
      </c>
      <c r="U538" s="7" t="str">
        <f ca="1"/>
        <v>0xD1B8</v>
      </c>
      <c r="V538" s="7" t="str">
        <f ca="1"/>
        <v>CameraLiveViewStatus</v>
      </c>
      <c r="X538" s="8" t="s">
        <v>925</v>
      </c>
      <c r="Y538" s="8" t="s">
        <v>925</v>
      </c>
      <c r="Z538" s="8" t="s">
        <v>939</v>
      </c>
      <c r="AA538" s="8" t="s">
        <v>939</v>
      </c>
      <c r="AC538" s="7" t="s">
        <v>939</v>
      </c>
      <c r="AD538" s="7" t="s">
        <v>939</v>
      </c>
      <c r="AE538" s="7" t="s">
        <v>935</v>
      </c>
      <c r="AF538" s="7" t="s">
        <v>879</v>
      </c>
      <c r="AG538" s="7" t="s">
        <v>1540</v>
      </c>
    </row>
    <row r="539" spans="20:33" x14ac:dyDescent="0.25">
      <c r="T539" s="7" t="str">
        <f ca="1"/>
        <v>Z9</v>
      </c>
      <c r="U539" s="7" t="str">
        <f ca="1"/>
        <v>0xD1BA</v>
      </c>
      <c r="V539" s="7" t="str">
        <f ca="1"/>
        <v>MonitorOffStatus</v>
      </c>
      <c r="X539" s="8" t="s">
        <v>926</v>
      </c>
      <c r="Y539" s="8" t="s">
        <v>926</v>
      </c>
      <c r="Z539" s="8" t="s">
        <v>940</v>
      </c>
      <c r="AA539" s="8" t="s">
        <v>940</v>
      </c>
      <c r="AC539" s="7" t="s">
        <v>940</v>
      </c>
      <c r="AD539" s="7" t="s">
        <v>940</v>
      </c>
      <c r="AE539" s="7" t="s">
        <v>936</v>
      </c>
      <c r="AF539" s="7" t="s">
        <v>880</v>
      </c>
      <c r="AG539" s="7" t="s">
        <v>930</v>
      </c>
    </row>
    <row r="540" spans="20:33" x14ac:dyDescent="0.25">
      <c r="T540" s="7" t="str">
        <f ca="1"/>
        <v>Z9</v>
      </c>
      <c r="U540" s="7" t="str">
        <f ca="1"/>
        <v>0xD1BB</v>
      </c>
      <c r="V540" s="7" t="str">
        <f ca="1"/>
        <v>LiveViewImageStatus</v>
      </c>
      <c r="X540" s="8" t="s">
        <v>927</v>
      </c>
      <c r="Y540" s="8" t="s">
        <v>927</v>
      </c>
      <c r="Z540" s="8" t="s">
        <v>941</v>
      </c>
      <c r="AA540" s="8" t="s">
        <v>941</v>
      </c>
      <c r="AC540" s="7" t="s">
        <v>941</v>
      </c>
      <c r="AD540" s="7" t="s">
        <v>941</v>
      </c>
      <c r="AE540" s="7" t="s">
        <v>937</v>
      </c>
      <c r="AF540" s="7" t="s">
        <v>881</v>
      </c>
      <c r="AG540" s="7" t="s">
        <v>931</v>
      </c>
    </row>
    <row r="541" spans="20:33" x14ac:dyDescent="0.25">
      <c r="T541" s="7" t="str">
        <f ca="1"/>
        <v>Z9</v>
      </c>
      <c r="U541" s="7" t="str">
        <f ca="1"/>
        <v>0xD1BC</v>
      </c>
      <c r="V541" s="7" t="str">
        <f ca="1"/>
        <v>LiveViewImageCompression</v>
      </c>
      <c r="X541" s="8" t="s">
        <v>928</v>
      </c>
      <c r="Y541" s="8" t="s">
        <v>928</v>
      </c>
      <c r="Z541" s="8" t="s">
        <v>942</v>
      </c>
      <c r="AA541" s="8" t="s">
        <v>942</v>
      </c>
      <c r="AC541" s="7" t="s">
        <v>942</v>
      </c>
      <c r="AD541" s="7" t="s">
        <v>942</v>
      </c>
      <c r="AE541" s="7" t="s">
        <v>938</v>
      </c>
      <c r="AF541" s="7" t="s">
        <v>882</v>
      </c>
      <c r="AG541" s="7" t="s">
        <v>932</v>
      </c>
    </row>
    <row r="542" spans="20:33" x14ac:dyDescent="0.25">
      <c r="T542" s="7" t="str">
        <f ca="1"/>
        <v>Z9</v>
      </c>
      <c r="U542" s="7" t="str">
        <f ca="1"/>
        <v>0xD1BD</v>
      </c>
      <c r="V542" s="7" t="str">
        <f ca="1"/>
        <v>LiveViewZoomArea</v>
      </c>
      <c r="X542" s="8" t="s">
        <v>929</v>
      </c>
      <c r="Y542" s="8" t="s">
        <v>929</v>
      </c>
      <c r="Z542" s="8" t="s">
        <v>943</v>
      </c>
      <c r="AA542" s="8" t="s">
        <v>943</v>
      </c>
      <c r="AC542" s="7" t="s">
        <v>943</v>
      </c>
      <c r="AD542" s="7" t="s">
        <v>943</v>
      </c>
      <c r="AE542" s="7" t="s">
        <v>939</v>
      </c>
      <c r="AF542" s="7" t="s">
        <v>883</v>
      </c>
      <c r="AG542" s="7" t="s">
        <v>933</v>
      </c>
    </row>
    <row r="543" spans="20:33" x14ac:dyDescent="0.25">
      <c r="T543" s="7" t="str">
        <f ca="1"/>
        <v>Z9</v>
      </c>
      <c r="U543" s="7" t="str">
        <f ca="1"/>
        <v>0xD1C5</v>
      </c>
      <c r="V543" s="7" t="str">
        <f ca="1"/>
        <v>AutoFlashIsoSensitivityControl</v>
      </c>
      <c r="X543" s="8" t="s">
        <v>930</v>
      </c>
      <c r="Y543" s="8" t="s">
        <v>930</v>
      </c>
      <c r="Z543" s="8" t="s">
        <v>944</v>
      </c>
      <c r="AA543" s="8" t="s">
        <v>944</v>
      </c>
      <c r="AC543" s="7" t="s">
        <v>944</v>
      </c>
      <c r="AD543" s="7" t="s">
        <v>944</v>
      </c>
      <c r="AE543" s="7" t="s">
        <v>940</v>
      </c>
      <c r="AF543" s="7" t="s">
        <v>884</v>
      </c>
      <c r="AG543" s="7" t="s">
        <v>1725</v>
      </c>
    </row>
    <row r="544" spans="20:33" x14ac:dyDescent="0.25">
      <c r="T544" s="7" t="str">
        <f ca="1"/>
        <v>Z9</v>
      </c>
      <c r="U544" s="7" t="str">
        <f ca="1"/>
        <v>0xD1C6</v>
      </c>
      <c r="V544" s="7" t="str">
        <f ca="1"/>
        <v>KeepExposureWhenFNumberChanges</v>
      </c>
      <c r="X544" s="8" t="s">
        <v>931</v>
      </c>
      <c r="Y544" s="8" t="s">
        <v>931</v>
      </c>
      <c r="Z544" s="8" t="s">
        <v>945</v>
      </c>
      <c r="AA544" s="8" t="s">
        <v>945</v>
      </c>
      <c r="AC544" s="7" t="s">
        <v>945</v>
      </c>
      <c r="AD544" s="7" t="s">
        <v>945</v>
      </c>
      <c r="AE544" s="7" t="s">
        <v>941</v>
      </c>
      <c r="AF544" s="7" t="s">
        <v>885</v>
      </c>
      <c r="AG544" s="7" t="s">
        <v>1726</v>
      </c>
    </row>
    <row r="545" spans="20:33" x14ac:dyDescent="0.25">
      <c r="T545" s="7" t="str">
        <f ca="1"/>
        <v>Z9</v>
      </c>
      <c r="U545" s="7" t="str">
        <f ca="1"/>
        <v>0xD1DE</v>
      </c>
      <c r="V545" s="7" t="str">
        <f ca="1"/>
        <v>ExternalRecordingControl</v>
      </c>
      <c r="X545" s="8" t="s">
        <v>932</v>
      </c>
      <c r="Y545" s="8" t="s">
        <v>932</v>
      </c>
      <c r="Z545" s="8" t="s">
        <v>946</v>
      </c>
      <c r="AA545" s="8" t="s">
        <v>946</v>
      </c>
      <c r="AC545" s="7" t="s">
        <v>946</v>
      </c>
      <c r="AD545" s="7" t="s">
        <v>946</v>
      </c>
      <c r="AE545" s="7" t="s">
        <v>942</v>
      </c>
      <c r="AF545" s="7" t="s">
        <v>886</v>
      </c>
      <c r="AG545" s="7" t="s">
        <v>934</v>
      </c>
    </row>
    <row r="546" spans="20:33" x14ac:dyDescent="0.25">
      <c r="T546" s="7" t="str">
        <f ca="1"/>
        <v>Z9</v>
      </c>
      <c r="U546" s="7" t="str">
        <f ca="1"/>
        <v>0xD1DF</v>
      </c>
      <c r="V546" s="7" t="str">
        <f ca="1"/>
        <v>HighlightBrightness</v>
      </c>
      <c r="X546" s="8" t="s">
        <v>933</v>
      </c>
      <c r="Y546" s="8" t="s">
        <v>933</v>
      </c>
      <c r="Z546" s="8" t="s">
        <v>947</v>
      </c>
      <c r="AA546" s="8" t="s">
        <v>947</v>
      </c>
      <c r="AC546" s="7" t="s">
        <v>947</v>
      </c>
      <c r="AD546" s="7" t="s">
        <v>947</v>
      </c>
      <c r="AE546" s="7" t="s">
        <v>943</v>
      </c>
      <c r="AF546" s="7" t="s">
        <v>887</v>
      </c>
      <c r="AG546" s="7" t="s">
        <v>935</v>
      </c>
    </row>
    <row r="547" spans="20:33" x14ac:dyDescent="0.25">
      <c r="T547" s="7" t="str">
        <f ca="1"/>
        <v>Z9</v>
      </c>
      <c r="U547" s="7" t="str">
        <f ca="1"/>
        <v>0xD1E2</v>
      </c>
      <c r="V547" s="7" t="str">
        <f ca="1"/>
        <v>SBWirelessMode</v>
      </c>
      <c r="X547" s="8" t="s">
        <v>934</v>
      </c>
      <c r="Y547" s="8" t="s">
        <v>934</v>
      </c>
      <c r="Z547" s="8" t="s">
        <v>948</v>
      </c>
      <c r="AA547" s="8" t="s">
        <v>948</v>
      </c>
      <c r="AC547" s="7" t="s">
        <v>948</v>
      </c>
      <c r="AD547" s="7" t="s">
        <v>948</v>
      </c>
      <c r="AE547" s="7" t="s">
        <v>944</v>
      </c>
      <c r="AF547" s="7" t="s">
        <v>888</v>
      </c>
      <c r="AG547" s="7" t="s">
        <v>936</v>
      </c>
    </row>
    <row r="548" spans="20:33" x14ac:dyDescent="0.25">
      <c r="T548" s="7" t="str">
        <f ca="1"/>
        <v>Z9</v>
      </c>
      <c r="U548" s="7" t="str">
        <f ca="1"/>
        <v>0xD1E3</v>
      </c>
      <c r="V548" s="7" t="str">
        <f ca="1"/>
        <v>SBWirelessMultipleFlashMode</v>
      </c>
      <c r="X548" s="8" t="s">
        <v>935</v>
      </c>
      <c r="Y548" s="8" t="s">
        <v>935</v>
      </c>
      <c r="Z548" s="8" t="s">
        <v>949</v>
      </c>
      <c r="AA548" s="8" t="s">
        <v>949</v>
      </c>
      <c r="AC548" s="7" t="s">
        <v>949</v>
      </c>
      <c r="AD548" s="7" t="s">
        <v>949</v>
      </c>
      <c r="AE548" s="7" t="s">
        <v>945</v>
      </c>
      <c r="AF548" s="7" t="s">
        <v>889</v>
      </c>
      <c r="AG548" s="7" t="s">
        <v>937</v>
      </c>
    </row>
    <row r="549" spans="20:33" x14ac:dyDescent="0.25">
      <c r="T549" s="7" t="str">
        <f ca="1"/>
        <v>Z9</v>
      </c>
      <c r="U549" s="7" t="str">
        <f ca="1"/>
        <v>0xD1E4</v>
      </c>
      <c r="V549" s="7" t="str">
        <f ca="1"/>
        <v>SBUsableGroup</v>
      </c>
      <c r="X549" s="8" t="s">
        <v>936</v>
      </c>
      <c r="Y549" s="8" t="s">
        <v>936</v>
      </c>
      <c r="Z549" s="8" t="s">
        <v>950</v>
      </c>
      <c r="AA549" s="8" t="s">
        <v>950</v>
      </c>
      <c r="AC549" s="7" t="s">
        <v>950</v>
      </c>
      <c r="AD549" s="7" t="s">
        <v>950</v>
      </c>
      <c r="AE549" s="7" t="s">
        <v>946</v>
      </c>
      <c r="AF549" s="7" t="s">
        <v>890</v>
      </c>
      <c r="AG549" s="7" t="s">
        <v>948</v>
      </c>
    </row>
    <row r="550" spans="20:33" x14ac:dyDescent="0.25">
      <c r="T550" s="7" t="str">
        <f ca="1"/>
        <v>Z9</v>
      </c>
      <c r="U550" s="7" t="str">
        <f ca="1"/>
        <v>0xD1E5</v>
      </c>
      <c r="V550" s="7" t="str">
        <f ca="1"/>
        <v>WirelessCLSEntryMode</v>
      </c>
      <c r="X550" s="8" t="s">
        <v>937</v>
      </c>
      <c r="Y550" s="8" t="s">
        <v>937</v>
      </c>
      <c r="Z550" s="8" t="s">
        <v>951</v>
      </c>
      <c r="AA550" s="8" t="s">
        <v>951</v>
      </c>
      <c r="AC550" s="7" t="s">
        <v>951</v>
      </c>
      <c r="AD550" s="7" t="s">
        <v>951</v>
      </c>
      <c r="AE550" s="7" t="s">
        <v>947</v>
      </c>
      <c r="AF550" s="7" t="s">
        <v>891</v>
      </c>
      <c r="AG550" s="7" t="s">
        <v>949</v>
      </c>
    </row>
    <row r="551" spans="20:33" x14ac:dyDescent="0.25">
      <c r="T551" s="7" t="str">
        <f ca="1"/>
        <v>Z9</v>
      </c>
      <c r="U551" s="7" t="str">
        <f ca="1"/>
        <v>0xD1E6</v>
      </c>
      <c r="V551" s="7" t="str">
        <f ca="1"/>
        <v>SBPINCode</v>
      </c>
      <c r="X551" s="8" t="s">
        <v>938</v>
      </c>
      <c r="Y551" s="8" t="s">
        <v>938</v>
      </c>
      <c r="Z551" s="8" t="s">
        <v>952</v>
      </c>
      <c r="AA551" s="8" t="s">
        <v>952</v>
      </c>
      <c r="AC551" s="7" t="s">
        <v>952</v>
      </c>
      <c r="AD551" s="7" t="s">
        <v>952</v>
      </c>
      <c r="AE551" s="7" t="s">
        <v>948</v>
      </c>
      <c r="AF551" s="7" t="s">
        <v>892</v>
      </c>
      <c r="AG551" s="7" t="s">
        <v>950</v>
      </c>
    </row>
    <row r="552" spans="20:33" x14ac:dyDescent="0.25">
      <c r="T552" s="7" t="str">
        <f ca="1"/>
        <v>Z9</v>
      </c>
      <c r="U552" s="7" t="str">
        <f ca="1"/>
        <v>0xD1E7</v>
      </c>
      <c r="V552" s="7" t="str">
        <f ca="1"/>
        <v>RadioMultipleFlashChannel</v>
      </c>
      <c r="X552" s="8" t="s">
        <v>939</v>
      </c>
      <c r="Y552" s="8" t="s">
        <v>939</v>
      </c>
      <c r="Z552" s="8" t="s">
        <v>953</v>
      </c>
      <c r="AA552" s="8" t="s">
        <v>953</v>
      </c>
      <c r="AC552" s="7" t="s">
        <v>953</v>
      </c>
      <c r="AD552" s="7" t="s">
        <v>953</v>
      </c>
      <c r="AE552" s="7" t="s">
        <v>949</v>
      </c>
      <c r="AF552" s="7" t="s">
        <v>893</v>
      </c>
      <c r="AG552" s="7" t="s">
        <v>951</v>
      </c>
    </row>
    <row r="553" spans="20:33" x14ac:dyDescent="0.25">
      <c r="T553" s="7" t="str">
        <f ca="1"/>
        <v>Z9</v>
      </c>
      <c r="U553" s="7" t="str">
        <f ca="1"/>
        <v>0xD1E8</v>
      </c>
      <c r="V553" s="7" t="str">
        <f ca="1"/>
        <v>OpticalMultipleFlashChannel</v>
      </c>
      <c r="X553" s="8" t="s">
        <v>940</v>
      </c>
      <c r="Y553" s="8" t="s">
        <v>940</v>
      </c>
      <c r="Z553" s="8" t="s">
        <v>954</v>
      </c>
      <c r="AA553" s="8" t="s">
        <v>954</v>
      </c>
      <c r="AC553" s="7" t="s">
        <v>954</v>
      </c>
      <c r="AD553" s="7" t="s">
        <v>954</v>
      </c>
      <c r="AE553" s="7" t="s">
        <v>950</v>
      </c>
      <c r="AF553" s="7" t="s">
        <v>894</v>
      </c>
      <c r="AG553" s="7" t="s">
        <v>952</v>
      </c>
    </row>
    <row r="554" spans="20:33" x14ac:dyDescent="0.25">
      <c r="T554" s="7" t="str">
        <f ca="1"/>
        <v>Z9</v>
      </c>
      <c r="U554" s="7" t="str">
        <f ca="1"/>
        <v>0xD1E9</v>
      </c>
      <c r="V554" s="7" t="str">
        <f ca="1"/>
        <v>FlashRangeDisplay</v>
      </c>
      <c r="X554" s="8" t="s">
        <v>941</v>
      </c>
      <c r="Y554" s="8" t="s">
        <v>941</v>
      </c>
      <c r="Z554" s="8" t="s">
        <v>955</v>
      </c>
      <c r="AA554" s="8" t="s">
        <v>955</v>
      </c>
      <c r="AC554" s="7" t="s">
        <v>955</v>
      </c>
      <c r="AD554" s="7" t="s">
        <v>955</v>
      </c>
      <c r="AE554" s="7" t="s">
        <v>951</v>
      </c>
      <c r="AF554" s="7" t="s">
        <v>895</v>
      </c>
      <c r="AG554" s="7" t="s">
        <v>953</v>
      </c>
    </row>
    <row r="555" spans="20:33" x14ac:dyDescent="0.25">
      <c r="T555" s="7" t="str">
        <f ca="1"/>
        <v>Z9</v>
      </c>
      <c r="U555" s="7" t="str">
        <f ca="1"/>
        <v>0xD1EA</v>
      </c>
      <c r="V555" s="7" t="str">
        <f ca="1"/>
        <v>AllTestFiringDisable</v>
      </c>
      <c r="X555" s="8" t="s">
        <v>942</v>
      </c>
      <c r="Y555" s="8" t="s">
        <v>942</v>
      </c>
      <c r="AE555" s="7" t="s">
        <v>952</v>
      </c>
      <c r="AF555" s="7" t="s">
        <v>896</v>
      </c>
      <c r="AG555" s="7" t="s">
        <v>954</v>
      </c>
    </row>
    <row r="556" spans="20:33" x14ac:dyDescent="0.25">
      <c r="T556" s="7" t="str">
        <f ca="1"/>
        <v>Z9</v>
      </c>
      <c r="U556" s="7" t="str">
        <f ca="1"/>
        <v>0xD1EC</v>
      </c>
      <c r="V556" s="7" t="str">
        <f ca="1"/>
        <v>SBSettingMemberLock</v>
      </c>
      <c r="X556" s="8" t="s">
        <v>943</v>
      </c>
      <c r="Y556" s="8" t="s">
        <v>943</v>
      </c>
      <c r="AE556" s="7" t="s">
        <v>953</v>
      </c>
      <c r="AF556" s="7" t="s">
        <v>897</v>
      </c>
      <c r="AG556" s="7" t="s">
        <v>955</v>
      </c>
    </row>
    <row r="557" spans="20:33" x14ac:dyDescent="0.25">
      <c r="T557" s="7" t="str">
        <f ca="1"/>
        <v>Z9</v>
      </c>
      <c r="U557" s="7" t="str">
        <f ca="1"/>
        <v>0xD1ED</v>
      </c>
      <c r="V557" s="7" t="str">
        <f ca="1"/>
        <v>SBIntegrationFlashReady</v>
      </c>
      <c r="X557" s="8" t="s">
        <v>944</v>
      </c>
      <c r="Y557" s="8" t="s">
        <v>944</v>
      </c>
      <c r="AE557" s="7" t="s">
        <v>954</v>
      </c>
      <c r="AF557" s="7" t="s">
        <v>898</v>
      </c>
    </row>
    <row r="558" spans="20:33" x14ac:dyDescent="0.25">
      <c r="T558" s="7" t="str">
        <f ca="1"/>
        <v>Z9</v>
      </c>
      <c r="U558" s="7" t="str">
        <f ca="1"/>
        <v>0xD1F1</v>
      </c>
      <c r="V558" s="7" t="str">
        <f ca="1"/>
        <v>ExposureRemaining</v>
      </c>
      <c r="X558" s="8" t="s">
        <v>945</v>
      </c>
      <c r="Y558" s="8" t="s">
        <v>945</v>
      </c>
      <c r="AE558" s="7" t="s">
        <v>955</v>
      </c>
      <c r="AF558" s="7" t="s">
        <v>899</v>
      </c>
    </row>
    <row r="559" spans="20:33" x14ac:dyDescent="0.25">
      <c r="T559" s="7" t="str">
        <f ca="1"/>
        <v>Z9</v>
      </c>
      <c r="U559" s="7" t="str">
        <f ca="1"/>
        <v>0xD1F2</v>
      </c>
      <c r="V559" s="7" t="str">
        <f ca="1"/>
        <v>ActiveSlot</v>
      </c>
      <c r="X559" s="8" t="s">
        <v>946</v>
      </c>
      <c r="Y559" s="8" t="s">
        <v>946</v>
      </c>
      <c r="AF559" s="7" t="s">
        <v>900</v>
      </c>
    </row>
    <row r="560" spans="20:33" x14ac:dyDescent="0.25">
      <c r="T560" s="7" t="str">
        <f ca="1"/>
        <v>Z9</v>
      </c>
      <c r="U560" s="7" t="str">
        <f ca="1"/>
        <v>0xD1F4</v>
      </c>
      <c r="V560" s="7" t="str">
        <f ca="1"/>
        <v>ISOAutoShutterTimeCorrectionValue</v>
      </c>
      <c r="X560" s="8" t="s">
        <v>947</v>
      </c>
      <c r="Y560" s="8" t="s">
        <v>947</v>
      </c>
      <c r="AF560" s="7" t="s">
        <v>901</v>
      </c>
    </row>
    <row r="561" spans="20:32" x14ac:dyDescent="0.25">
      <c r="T561" s="7" t="str">
        <f ca="1"/>
        <v>Z9</v>
      </c>
      <c r="U561" s="7" t="str">
        <f ca="1"/>
        <v>0xD1F8</v>
      </c>
      <c r="V561" s="7" t="str">
        <f ca="1"/>
        <v>MovieFocusMeteringMode</v>
      </c>
      <c r="X561" s="8" t="s">
        <v>948</v>
      </c>
      <c r="Y561" s="8" t="s">
        <v>948</v>
      </c>
      <c r="AF561" s="7" t="s">
        <v>902</v>
      </c>
    </row>
    <row r="562" spans="20:32" x14ac:dyDescent="0.25">
      <c r="T562" s="7" t="str">
        <f ca="1"/>
        <v>Z9</v>
      </c>
      <c r="U562" s="7" t="str">
        <f ca="1"/>
        <v>0xD1F9</v>
      </c>
      <c r="V562" s="7" t="str">
        <f ca="1"/>
        <v>MovieVibrationReduction</v>
      </c>
      <c r="X562" s="8" t="s">
        <v>949</v>
      </c>
      <c r="Y562" s="8" t="s">
        <v>949</v>
      </c>
      <c r="AF562" s="7" t="s">
        <v>903</v>
      </c>
    </row>
    <row r="563" spans="20:32" x14ac:dyDescent="0.25">
      <c r="T563" s="7" t="str">
        <f ca="1"/>
        <v>Z9</v>
      </c>
      <c r="U563" s="7" t="str">
        <f ca="1"/>
        <v>0xD1FA</v>
      </c>
      <c r="V563" s="7" t="str">
        <f ca="1"/>
        <v>MovieFocusMode</v>
      </c>
      <c r="X563" s="8" t="s">
        <v>950</v>
      </c>
      <c r="Y563" s="8" t="s">
        <v>950</v>
      </c>
      <c r="AF563" s="7" t="s">
        <v>904</v>
      </c>
    </row>
    <row r="564" spans="20:32" x14ac:dyDescent="0.25">
      <c r="T564" s="7" t="str">
        <f ca="1"/>
        <v>Z9</v>
      </c>
      <c r="U564" s="7" t="str">
        <f ca="1"/>
        <v>0xD1FB</v>
      </c>
      <c r="V564" s="7" t="str">
        <f ca="1"/>
        <v>RecordTimeCodes</v>
      </c>
      <c r="X564" s="8" t="s">
        <v>951</v>
      </c>
      <c r="Y564" s="8" t="s">
        <v>951</v>
      </c>
      <c r="AF564" s="7" t="s">
        <v>905</v>
      </c>
    </row>
    <row r="565" spans="20:32" x14ac:dyDescent="0.25">
      <c r="T565" s="7" t="str">
        <f ca="1"/>
        <v>Z9</v>
      </c>
      <c r="U565" s="7" t="str">
        <f ca="1"/>
        <v>0xD1FC</v>
      </c>
      <c r="V565" s="7" t="str">
        <f ca="1"/>
        <v>CountUpMethod</v>
      </c>
      <c r="X565" s="8" t="s">
        <v>952</v>
      </c>
      <c r="Y565" s="8" t="s">
        <v>952</v>
      </c>
      <c r="AF565" s="7" t="s">
        <v>906</v>
      </c>
    </row>
    <row r="566" spans="20:32" x14ac:dyDescent="0.25">
      <c r="T566" s="7" t="str">
        <f ca="1"/>
        <v>Z9</v>
      </c>
      <c r="U566" s="7" t="str">
        <f ca="1"/>
        <v>0xD1FD</v>
      </c>
      <c r="V566" s="7" t="str">
        <f ca="1"/>
        <v>TimeCodeOrigin</v>
      </c>
      <c r="X566" s="8" t="s">
        <v>953</v>
      </c>
      <c r="Y566" s="8" t="s">
        <v>953</v>
      </c>
      <c r="AF566" s="7" t="s">
        <v>907</v>
      </c>
    </row>
    <row r="567" spans="20:32" x14ac:dyDescent="0.25">
      <c r="T567" s="7" t="str">
        <f ca="1"/>
        <v>Z9</v>
      </c>
      <c r="U567" s="7" t="str">
        <f ca="1"/>
        <v>0xD1FE</v>
      </c>
      <c r="V567" s="7" t="str">
        <f ca="1"/>
        <v>DropFrame</v>
      </c>
      <c r="X567" s="8" t="s">
        <v>954</v>
      </c>
      <c r="Y567" s="8" t="s">
        <v>954</v>
      </c>
      <c r="AF567" s="7" t="s">
        <v>908</v>
      </c>
    </row>
    <row r="568" spans="20:32" x14ac:dyDescent="0.25">
      <c r="T568" s="7" t="str">
        <f ca="1"/>
        <v>Z9</v>
      </c>
      <c r="U568" s="7" t="str">
        <f ca="1"/>
        <v>0xD200</v>
      </c>
      <c r="V568" s="7" t="str">
        <f ca="1"/>
        <v>ActivePicCtrlItem</v>
      </c>
      <c r="X568" s="8" t="s">
        <v>955</v>
      </c>
      <c r="Y568" s="8" t="s">
        <v>955</v>
      </c>
      <c r="AF568" s="7" t="s">
        <v>909</v>
      </c>
    </row>
    <row r="569" spans="20:32" x14ac:dyDescent="0.25">
      <c r="T569" s="7" t="str">
        <f ca="1"/>
        <v>Z9</v>
      </c>
      <c r="U569" s="7" t="str">
        <f ca="1"/>
        <v>0xD20F</v>
      </c>
      <c r="V569" s="7" t="str">
        <f ca="1"/>
        <v>MovieCaptureAreaCrop</v>
      </c>
      <c r="X569" s="8" t="s">
        <v>956</v>
      </c>
      <c r="Y569" s="8" t="s">
        <v>956</v>
      </c>
      <c r="AF569" s="7" t="s">
        <v>910</v>
      </c>
    </row>
    <row r="570" spans="20:32" x14ac:dyDescent="0.25">
      <c r="T570" s="7" t="str">
        <f ca="1"/>
        <v>Z9</v>
      </c>
      <c r="U570" s="7" t="str">
        <f ca="1"/>
        <v>0xD211</v>
      </c>
      <c r="V570" s="7" t="str">
        <f ca="1"/>
        <v>MovieWbAutoType</v>
      </c>
      <c r="X570" s="8" t="s">
        <v>957</v>
      </c>
      <c r="Y570" s="8" t="s">
        <v>957</v>
      </c>
      <c r="AF570" s="7" t="s">
        <v>911</v>
      </c>
    </row>
    <row r="571" spans="20:32" x14ac:dyDescent="0.25">
      <c r="T571" s="7" t="str">
        <f ca="1"/>
        <v>Z9</v>
      </c>
      <c r="U571" s="7" t="str">
        <f ca="1"/>
        <v>0xD212</v>
      </c>
      <c r="V571" s="7" t="str">
        <f ca="1"/>
        <v>MovieWbTuneAuto</v>
      </c>
      <c r="X571" s="8" t="s">
        <v>958</v>
      </c>
      <c r="Y571" s="8" t="s">
        <v>958</v>
      </c>
      <c r="AF571" s="7" t="s">
        <v>912</v>
      </c>
    </row>
    <row r="572" spans="20:32" x14ac:dyDescent="0.25">
      <c r="T572" s="7" t="str">
        <f ca="1"/>
        <v>Z9</v>
      </c>
      <c r="U572" s="7" t="str">
        <f ca="1"/>
        <v>0xD213</v>
      </c>
      <c r="V572" s="7" t="str">
        <f ca="1"/>
        <v>MovieWbTuneIncandescent</v>
      </c>
      <c r="X572" s="8" t="s">
        <v>959</v>
      </c>
      <c r="Y572" s="8" t="s">
        <v>959</v>
      </c>
      <c r="AF572" s="7" t="s">
        <v>913</v>
      </c>
    </row>
    <row r="573" spans="20:32" x14ac:dyDescent="0.25">
      <c r="T573" s="7" t="str">
        <f ca="1"/>
        <v>Z9</v>
      </c>
      <c r="U573" s="7" t="str">
        <f ca="1"/>
        <v>0xD214</v>
      </c>
      <c r="V573" s="7" t="str">
        <f ca="1"/>
        <v>MovieWbFluorescentType</v>
      </c>
      <c r="X573" s="8" t="s">
        <v>960</v>
      </c>
      <c r="Y573" s="8" t="s">
        <v>960</v>
      </c>
      <c r="AF573" s="7" t="s">
        <v>914</v>
      </c>
    </row>
    <row r="574" spans="20:32" x14ac:dyDescent="0.25">
      <c r="T574" s="7" t="str">
        <f ca="1"/>
        <v>Z9</v>
      </c>
      <c r="U574" s="7" t="str">
        <f ca="1"/>
        <v>0xD215</v>
      </c>
      <c r="V574" s="7" t="str">
        <f ca="1"/>
        <v>MovieWbTuneFluorescent</v>
      </c>
      <c r="X574" s="8" t="s">
        <v>961</v>
      </c>
      <c r="Y574" s="8" t="s">
        <v>961</v>
      </c>
      <c r="AF574" s="7" t="s">
        <v>915</v>
      </c>
    </row>
    <row r="575" spans="20:32" x14ac:dyDescent="0.25">
      <c r="T575" s="7" t="str">
        <f ca="1"/>
        <v>Z9</v>
      </c>
      <c r="U575" s="7" t="str">
        <f ca="1"/>
        <v>0xD216</v>
      </c>
      <c r="V575" s="7" t="str">
        <f ca="1"/>
        <v>MovieWbTuneSunny</v>
      </c>
      <c r="X575" s="8" t="s">
        <v>962</v>
      </c>
      <c r="Y575" s="8" t="s">
        <v>962</v>
      </c>
      <c r="AF575" s="7" t="s">
        <v>916</v>
      </c>
    </row>
    <row r="576" spans="20:32" x14ac:dyDescent="0.25">
      <c r="T576" s="7" t="str">
        <f ca="1"/>
        <v>Z9</v>
      </c>
      <c r="U576" s="7" t="str">
        <f ca="1"/>
        <v>0xD218</v>
      </c>
      <c r="V576" s="7" t="str">
        <f ca="1"/>
        <v>MovieWbTuneCloudy</v>
      </c>
      <c r="X576" s="8" t="s">
        <v>963</v>
      </c>
      <c r="Y576" s="8" t="s">
        <v>963</v>
      </c>
      <c r="AF576" s="7" t="s">
        <v>917</v>
      </c>
    </row>
    <row r="577" spans="20:32" x14ac:dyDescent="0.25">
      <c r="T577" s="7" t="str">
        <f ca="1"/>
        <v>Z9</v>
      </c>
      <c r="U577" s="7" t="str">
        <f ca="1"/>
        <v>0xD219</v>
      </c>
      <c r="V577" s="7" t="str">
        <f ca="1"/>
        <v>MovieWbTuneShade</v>
      </c>
      <c r="X577" s="8" t="s">
        <v>964</v>
      </c>
      <c r="Y577" s="8" t="s">
        <v>964</v>
      </c>
      <c r="AF577" s="7" t="s">
        <v>918</v>
      </c>
    </row>
    <row r="578" spans="20:32" x14ac:dyDescent="0.25">
      <c r="T578" s="7" t="str">
        <f ca="1"/>
        <v>Z9</v>
      </c>
      <c r="U578" s="7" t="str">
        <f ca="1"/>
        <v>0xD21A</v>
      </c>
      <c r="V578" s="7" t="str">
        <f ca="1"/>
        <v>MovieWbColorTemp</v>
      </c>
      <c r="X578" s="8" t="s">
        <v>965</v>
      </c>
      <c r="Y578" s="8" t="s">
        <v>965</v>
      </c>
      <c r="AF578" s="7" t="s">
        <v>919</v>
      </c>
    </row>
    <row r="579" spans="20:32" x14ac:dyDescent="0.25">
      <c r="T579" s="7" t="str">
        <f ca="1"/>
        <v>Z9</v>
      </c>
      <c r="U579" s="7" t="str">
        <f ca="1"/>
        <v>0xD21B</v>
      </c>
      <c r="V579" s="7" t="str">
        <f ca="1"/>
        <v>MovieWbTuneColorTemp</v>
      </c>
      <c r="X579" s="8" t="s">
        <v>966</v>
      </c>
      <c r="Y579" s="8" t="s">
        <v>966</v>
      </c>
      <c r="AF579" s="7" t="s">
        <v>920</v>
      </c>
    </row>
    <row r="580" spans="20:32" x14ac:dyDescent="0.25">
      <c r="T580" s="7" t="str">
        <f ca="1"/>
        <v>Z9</v>
      </c>
      <c r="U580" s="7" t="str">
        <f ca="1"/>
        <v>0xD21C</v>
      </c>
      <c r="V580" s="7" t="str">
        <f ca="1"/>
        <v>MovieWbPresetDataNo</v>
      </c>
      <c r="X580" s="8" t="s">
        <v>967</v>
      </c>
      <c r="Y580" s="8" t="s">
        <v>967</v>
      </c>
      <c r="AF580" s="7" t="s">
        <v>921</v>
      </c>
    </row>
    <row r="581" spans="20:32" x14ac:dyDescent="0.25">
      <c r="T581" s="7" t="str">
        <f ca="1"/>
        <v>Z9</v>
      </c>
      <c r="U581" s="7" t="str">
        <f ca="1"/>
        <v>0xD21D</v>
      </c>
      <c r="V581" s="7" t="str">
        <f ca="1"/>
        <v>MovieWbPresetDataComment1</v>
      </c>
      <c r="X581" s="8" t="s">
        <v>968</v>
      </c>
      <c r="Y581" s="8" t="s">
        <v>968</v>
      </c>
      <c r="AF581" s="7" t="s">
        <v>922</v>
      </c>
    </row>
    <row r="582" spans="20:32" x14ac:dyDescent="0.25">
      <c r="T582" s="7" t="str">
        <f ca="1"/>
        <v>Z9</v>
      </c>
      <c r="U582" s="7" t="str">
        <f ca="1"/>
        <v>0xD21E</v>
      </c>
      <c r="V582" s="7" t="str">
        <f ca="1"/>
        <v>MovieWbPresetDataComment2</v>
      </c>
      <c r="X582" s="8" t="s">
        <v>969</v>
      </c>
      <c r="Y582" s="8" t="s">
        <v>969</v>
      </c>
      <c r="AF582" s="7" t="s">
        <v>923</v>
      </c>
    </row>
    <row r="583" spans="20:32" x14ac:dyDescent="0.25">
      <c r="T583" s="7" t="str">
        <f ca="1"/>
        <v>Z9</v>
      </c>
      <c r="U583" s="7" t="str">
        <f ca="1"/>
        <v>0xD21F</v>
      </c>
      <c r="V583" s="7" t="str">
        <f ca="1"/>
        <v>MovieWbPresetDataComment3</v>
      </c>
      <c r="X583" s="8" t="s">
        <v>970</v>
      </c>
      <c r="Y583" s="8" t="s">
        <v>970</v>
      </c>
      <c r="AF583" s="7" t="s">
        <v>924</v>
      </c>
    </row>
    <row r="584" spans="20:32" x14ac:dyDescent="0.25">
      <c r="T584" s="7" t="str">
        <f ca="1"/>
        <v>Z9</v>
      </c>
      <c r="U584" s="7" t="str">
        <f ca="1"/>
        <v>0xD220</v>
      </c>
      <c r="V584" s="7" t="str">
        <f ca="1"/>
        <v>MovieWbPresetDataComment4</v>
      </c>
      <c r="X584" s="8" t="s">
        <v>971</v>
      </c>
      <c r="Y584" s="8" t="s">
        <v>971</v>
      </c>
      <c r="AF584" s="7" t="s">
        <v>925</v>
      </c>
    </row>
    <row r="585" spans="20:32" x14ac:dyDescent="0.25">
      <c r="T585" s="7" t="str">
        <f ca="1"/>
        <v>Z9</v>
      </c>
      <c r="U585" s="7" t="str">
        <f ca="1"/>
        <v>0xD221</v>
      </c>
      <c r="V585" s="7" t="str">
        <f ca="1"/>
        <v>MovieWbPresetDataComment5</v>
      </c>
      <c r="X585" s="8" t="s">
        <v>972</v>
      </c>
      <c r="Y585" s="8" t="s">
        <v>972</v>
      </c>
      <c r="AF585" s="7" t="s">
        <v>926</v>
      </c>
    </row>
    <row r="586" spans="20:32" x14ac:dyDescent="0.25">
      <c r="T586" s="7" t="str">
        <f ca="1"/>
        <v>Z9</v>
      </c>
      <c r="U586" s="7" t="str">
        <f ca="1"/>
        <v>0xD222</v>
      </c>
      <c r="V586" s="7" t="str">
        <f ca="1"/>
        <v>MovieWbPresetDataComment6</v>
      </c>
      <c r="X586" s="8" t="s">
        <v>973</v>
      </c>
      <c r="Y586" s="8" t="s">
        <v>973</v>
      </c>
      <c r="AF586" s="7" t="s">
        <v>927</v>
      </c>
    </row>
    <row r="587" spans="20:32" x14ac:dyDescent="0.25">
      <c r="T587" s="7" t="str">
        <f ca="1"/>
        <v>Z9</v>
      </c>
      <c r="U587" s="7" t="str">
        <f ca="1"/>
        <v>0xD223</v>
      </c>
      <c r="V587" s="7" t="str">
        <f ca="1"/>
        <v>MovieWbPresetDataValue1</v>
      </c>
      <c r="X587" s="8" t="s">
        <v>974</v>
      </c>
      <c r="Y587" s="8" t="s">
        <v>974</v>
      </c>
      <c r="AF587" s="7" t="s">
        <v>928</v>
      </c>
    </row>
    <row r="588" spans="20:32" x14ac:dyDescent="0.25">
      <c r="T588" s="7" t="str">
        <f ca="1"/>
        <v>Z9</v>
      </c>
      <c r="U588" s="7" t="str">
        <f ca="1"/>
        <v>0xD224</v>
      </c>
      <c r="V588" s="7" t="str">
        <f ca="1"/>
        <v>MovieWbPresetDataValue2</v>
      </c>
      <c r="X588" s="8" t="s">
        <v>975</v>
      </c>
      <c r="Y588" s="8" t="s">
        <v>975</v>
      </c>
      <c r="AF588" s="7" t="s">
        <v>929</v>
      </c>
    </row>
    <row r="589" spans="20:32" x14ac:dyDescent="0.25">
      <c r="T589" s="7" t="str">
        <f ca="1"/>
        <v>Z9</v>
      </c>
      <c r="U589" s="7" t="str">
        <f ca="1"/>
        <v>0xD225</v>
      </c>
      <c r="V589" s="7" t="str">
        <f ca="1"/>
        <v>MovieWbPresetDataValue3</v>
      </c>
      <c r="X589" s="8" t="s">
        <v>976</v>
      </c>
      <c r="Y589" s="8" t="s">
        <v>976</v>
      </c>
      <c r="AF589" s="7" t="s">
        <v>930</v>
      </c>
    </row>
    <row r="590" spans="20:32" x14ac:dyDescent="0.25">
      <c r="T590" s="7" t="str">
        <f ca="1"/>
        <v>Z9</v>
      </c>
      <c r="U590" s="7" t="str">
        <f ca="1"/>
        <v>0xD226</v>
      </c>
      <c r="V590" s="7" t="str">
        <f ca="1"/>
        <v>MovieWbPresetDataValue4</v>
      </c>
      <c r="X590" s="8" t="s">
        <v>977</v>
      </c>
      <c r="Y590" s="8" t="s">
        <v>977</v>
      </c>
      <c r="AF590" s="7" t="s">
        <v>931</v>
      </c>
    </row>
    <row r="591" spans="20:32" x14ac:dyDescent="0.25">
      <c r="T591" s="7" t="str">
        <f ca="1"/>
        <v>Z9</v>
      </c>
      <c r="U591" s="7" t="str">
        <f ca="1"/>
        <v>0xD227</v>
      </c>
      <c r="V591" s="7" t="str">
        <f ca="1"/>
        <v>MovieWbPresetDataValue5</v>
      </c>
      <c r="X591" s="8" t="s">
        <v>978</v>
      </c>
      <c r="Y591" s="8" t="s">
        <v>978</v>
      </c>
      <c r="AF591" s="7" t="s">
        <v>932</v>
      </c>
    </row>
    <row r="592" spans="20:32" x14ac:dyDescent="0.25">
      <c r="T592" s="7" t="str">
        <f ca="1"/>
        <v>Z9</v>
      </c>
      <c r="U592" s="7" t="str">
        <f ca="1"/>
        <v>0xD228</v>
      </c>
      <c r="V592" s="7" t="str">
        <f ca="1"/>
        <v>MovieWbPresetDataValue6</v>
      </c>
      <c r="X592" s="8" t="s">
        <v>979</v>
      </c>
      <c r="Y592" s="8" t="s">
        <v>979</v>
      </c>
      <c r="AF592" s="7" t="s">
        <v>933</v>
      </c>
    </row>
    <row r="593" spans="20:32" x14ac:dyDescent="0.25">
      <c r="T593" s="7" t="str">
        <f ca="1"/>
        <v>Z9</v>
      </c>
      <c r="U593" s="7" t="str">
        <f ca="1"/>
        <v>0xD229</v>
      </c>
      <c r="V593" s="7" t="str">
        <f ca="1"/>
        <v>MovieWbTunePreset1</v>
      </c>
      <c r="X593" s="8" t="s">
        <v>980</v>
      </c>
      <c r="Y593" s="8" t="s">
        <v>980</v>
      </c>
      <c r="AF593" s="7" t="s">
        <v>934</v>
      </c>
    </row>
    <row r="594" spans="20:32" x14ac:dyDescent="0.25">
      <c r="T594" s="7" t="str">
        <f ca="1"/>
        <v>Z9</v>
      </c>
      <c r="U594" s="7" t="str">
        <f ca="1"/>
        <v>0xD22A</v>
      </c>
      <c r="V594" s="7" t="str">
        <f ca="1"/>
        <v>MovieWbTunePreset2</v>
      </c>
      <c r="X594" s="8" t="s">
        <v>981</v>
      </c>
      <c r="Y594" s="8" t="s">
        <v>981</v>
      </c>
      <c r="AF594" s="7" t="s">
        <v>935</v>
      </c>
    </row>
    <row r="595" spans="20:32" x14ac:dyDescent="0.25">
      <c r="T595" s="7" t="str">
        <f ca="1"/>
        <v>Z9</v>
      </c>
      <c r="U595" s="7" t="str">
        <f ca="1"/>
        <v>0xD22B</v>
      </c>
      <c r="V595" s="7" t="str">
        <f ca="1"/>
        <v>MovieWbTunePreset3</v>
      </c>
      <c r="X595" s="8" t="s">
        <v>982</v>
      </c>
      <c r="Y595" s="8" t="s">
        <v>982</v>
      </c>
      <c r="AF595" s="7" t="s">
        <v>936</v>
      </c>
    </row>
    <row r="596" spans="20:32" x14ac:dyDescent="0.25">
      <c r="T596" s="7" t="str">
        <f ca="1"/>
        <v>Z9</v>
      </c>
      <c r="U596" s="7" t="str">
        <f ca="1"/>
        <v>0xD22C</v>
      </c>
      <c r="V596" s="7" t="str">
        <f ca="1"/>
        <v>MovieWbTunePreset4</v>
      </c>
      <c r="X596" s="8" t="s">
        <v>983</v>
      </c>
      <c r="Y596" s="8" t="s">
        <v>983</v>
      </c>
      <c r="AF596" s="7" t="s">
        <v>937</v>
      </c>
    </row>
    <row r="597" spans="20:32" x14ac:dyDescent="0.25">
      <c r="T597" s="7" t="str">
        <f ca="1"/>
        <v>Z9</v>
      </c>
      <c r="U597" s="7" t="str">
        <f ca="1"/>
        <v>0xD22D</v>
      </c>
      <c r="V597" s="7" t="str">
        <f ca="1"/>
        <v>MovieWbTunePreset5</v>
      </c>
      <c r="X597" s="8" t="s">
        <v>984</v>
      </c>
      <c r="Y597" s="8" t="s">
        <v>984</v>
      </c>
      <c r="AF597" s="7" t="s">
        <v>938</v>
      </c>
    </row>
    <row r="598" spans="20:32" x14ac:dyDescent="0.25">
      <c r="T598" s="7" t="str">
        <f ca="1"/>
        <v>Z9</v>
      </c>
      <c r="U598" s="7" t="str">
        <f ca="1"/>
        <v>0xD22E</v>
      </c>
      <c r="V598" s="7" t="str">
        <f ca="1"/>
        <v>MovieWbTunePreset6</v>
      </c>
      <c r="X598" s="8" t="s">
        <v>985</v>
      </c>
      <c r="Y598" s="8" t="s">
        <v>985</v>
      </c>
      <c r="AF598" s="7" t="s">
        <v>939</v>
      </c>
    </row>
    <row r="599" spans="20:32" x14ac:dyDescent="0.25">
      <c r="T599" s="7" t="str">
        <f ca="1"/>
        <v>Z9</v>
      </c>
      <c r="U599" s="7" t="str">
        <f ca="1"/>
        <v>0xD22F</v>
      </c>
      <c r="V599" s="7" t="str">
        <f ca="1"/>
        <v>MovieWbPresetProtect1</v>
      </c>
      <c r="X599" s="8" t="s">
        <v>986</v>
      </c>
      <c r="Y599" s="8" t="s">
        <v>986</v>
      </c>
      <c r="AF599" s="7" t="s">
        <v>940</v>
      </c>
    </row>
    <row r="600" spans="20:32" x14ac:dyDescent="0.25">
      <c r="T600" s="7" t="str">
        <f ca="1"/>
        <v>Z9</v>
      </c>
      <c r="U600" s="7" t="str">
        <f ca="1"/>
        <v>0xD230</v>
      </c>
      <c r="V600" s="7" t="str">
        <f ca="1"/>
        <v>MovieWbPresetProtect2</v>
      </c>
      <c r="X600" s="8" t="s">
        <v>987</v>
      </c>
      <c r="Y600" s="8" t="s">
        <v>987</v>
      </c>
      <c r="AF600" s="7" t="s">
        <v>941</v>
      </c>
    </row>
    <row r="601" spans="20:32" x14ac:dyDescent="0.25">
      <c r="T601" s="7" t="str">
        <f ca="1"/>
        <v>Z9</v>
      </c>
      <c r="U601" s="7" t="str">
        <f ca="1"/>
        <v>0xD231</v>
      </c>
      <c r="V601" s="7" t="str">
        <f ca="1"/>
        <v>MovieWbPresetProtect3</v>
      </c>
      <c r="X601" s="8" t="s">
        <v>988</v>
      </c>
      <c r="Y601" s="8" t="s">
        <v>988</v>
      </c>
      <c r="AF601" s="7" t="s">
        <v>942</v>
      </c>
    </row>
    <row r="602" spans="20:32" x14ac:dyDescent="0.25">
      <c r="T602" s="7" t="str">
        <f ca="1"/>
        <v>Z9</v>
      </c>
      <c r="U602" s="7" t="str">
        <f ca="1"/>
        <v>0xD232</v>
      </c>
      <c r="V602" s="7" t="str">
        <f ca="1"/>
        <v>MovieWbPresetProtect4</v>
      </c>
      <c r="X602" s="8" t="s">
        <v>989</v>
      </c>
      <c r="Y602" s="8" t="s">
        <v>989</v>
      </c>
      <c r="AF602" s="7" t="s">
        <v>943</v>
      </c>
    </row>
    <row r="603" spans="20:32" x14ac:dyDescent="0.25">
      <c r="T603" s="7" t="str">
        <f ca="1"/>
        <v>Z9</v>
      </c>
      <c r="U603" s="7" t="str">
        <f ca="1"/>
        <v>0xD233</v>
      </c>
      <c r="V603" s="7" t="str">
        <f ca="1"/>
        <v>MovieWbPresetProtect5</v>
      </c>
      <c r="X603" s="8" t="s">
        <v>990</v>
      </c>
      <c r="Y603" s="8" t="s">
        <v>990</v>
      </c>
      <c r="AF603" s="7" t="s">
        <v>946</v>
      </c>
    </row>
    <row r="604" spans="20:32" x14ac:dyDescent="0.25">
      <c r="T604" s="7" t="str">
        <f ca="1"/>
        <v>Z9</v>
      </c>
      <c r="U604" s="7" t="str">
        <f ca="1"/>
        <v>0xD234</v>
      </c>
      <c r="V604" s="7" t="str">
        <f ca="1"/>
        <v>MovieWbPresetProtect6</v>
      </c>
      <c r="X604" s="8" t="s">
        <v>991</v>
      </c>
      <c r="Y604" s="8" t="s">
        <v>991</v>
      </c>
      <c r="AF604" s="7" t="s">
        <v>947</v>
      </c>
    </row>
    <row r="605" spans="20:32" x14ac:dyDescent="0.25">
      <c r="T605" s="7" t="str">
        <f ca="1"/>
        <v>Z9</v>
      </c>
      <c r="U605" s="7" t="str">
        <f ca="1"/>
        <v>0xD236</v>
      </c>
      <c r="V605" s="7" t="str">
        <f ca="1"/>
        <v>MovieNoiseReductionHiIso</v>
      </c>
      <c r="X605" s="8" t="s">
        <v>992</v>
      </c>
      <c r="Y605" s="8" t="s">
        <v>992</v>
      </c>
      <c r="AF605" s="7" t="s">
        <v>948</v>
      </c>
    </row>
    <row r="606" spans="20:32" x14ac:dyDescent="0.25">
      <c r="T606" s="7" t="str">
        <f ca="1"/>
        <v>Z9</v>
      </c>
      <c r="U606" s="7" t="str">
        <f ca="1"/>
        <v>0xD237</v>
      </c>
      <c r="V606" s="7" t="str">
        <f ca="1"/>
        <v>MovieActivePicCtrlItem</v>
      </c>
      <c r="X606" s="8" t="s">
        <v>993</v>
      </c>
      <c r="Y606" s="8" t="s">
        <v>993</v>
      </c>
      <c r="AF606" s="7" t="s">
        <v>949</v>
      </c>
    </row>
    <row r="607" spans="20:32" x14ac:dyDescent="0.25">
      <c r="T607" s="7" t="str">
        <f ca="1"/>
        <v>Z9</v>
      </c>
      <c r="U607" s="7" t="str">
        <f ca="1"/>
        <v>0xD239</v>
      </c>
      <c r="V607" s="7" t="str">
        <f ca="1"/>
        <v>ExposureBaseCompHighlight</v>
      </c>
      <c r="X607" s="8" t="s">
        <v>994</v>
      </c>
      <c r="Y607" s="8" t="s">
        <v>994</v>
      </c>
      <c r="AF607" s="7" t="s">
        <v>950</v>
      </c>
    </row>
    <row r="608" spans="20:32" x14ac:dyDescent="0.25">
      <c r="T608" s="7" t="str">
        <f ca="1"/>
        <v>Z9</v>
      </c>
      <c r="U608" s="7" t="str">
        <f ca="1"/>
        <v>0xD23A</v>
      </c>
      <c r="V608" s="7" t="str">
        <f ca="1"/>
        <v>MovieWhiteBalance</v>
      </c>
      <c r="X608" s="8" t="s">
        <v>995</v>
      </c>
      <c r="Y608" s="8" t="s">
        <v>995</v>
      </c>
      <c r="AF608" s="7" t="s">
        <v>951</v>
      </c>
    </row>
    <row r="609" spans="20:32" x14ac:dyDescent="0.25">
      <c r="T609" s="7" t="str">
        <f ca="1"/>
        <v>Z9</v>
      </c>
      <c r="U609" s="7" t="str">
        <f ca="1"/>
        <v>0xD23B</v>
      </c>
      <c r="V609" s="7" t="str">
        <f ca="1"/>
        <v>MovieActive</v>
      </c>
      <c r="X609" s="8" t="s">
        <v>996</v>
      </c>
      <c r="Y609" s="8" t="s">
        <v>996</v>
      </c>
      <c r="AF609" s="7" t="s">
        <v>952</v>
      </c>
    </row>
    <row r="610" spans="20:32" x14ac:dyDescent="0.25">
      <c r="T610" s="7" t="str">
        <f ca="1"/>
        <v>Z9</v>
      </c>
      <c r="U610" s="7" t="str">
        <f ca="1"/>
        <v>0xD23C</v>
      </c>
      <c r="V610" s="7" t="str">
        <f ca="1"/>
        <v>MovieWbTuneNatural</v>
      </c>
      <c r="X610" s="8" t="s">
        <v>997</v>
      </c>
      <c r="Y610" s="8" t="s">
        <v>997</v>
      </c>
      <c r="AF610" s="7" t="s">
        <v>953</v>
      </c>
    </row>
    <row r="611" spans="20:32" x14ac:dyDescent="0.25">
      <c r="T611" s="7" t="str">
        <f ca="1"/>
        <v>Z9</v>
      </c>
      <c r="U611" s="7" t="str">
        <f ca="1"/>
        <v>0xD23D</v>
      </c>
      <c r="V611" s="7" t="str">
        <f ca="1"/>
        <v>MovieAttenuator</v>
      </c>
      <c r="X611" s="8" t="s">
        <v>998</v>
      </c>
      <c r="Y611" s="8" t="s">
        <v>998</v>
      </c>
      <c r="AF611" s="7" t="s">
        <v>954</v>
      </c>
    </row>
    <row r="612" spans="20:32" x14ac:dyDescent="0.25">
      <c r="T612" s="7" t="str">
        <f ca="1"/>
        <v>Z9</v>
      </c>
      <c r="U612" s="7" t="str">
        <f ca="1"/>
        <v>0xD23E</v>
      </c>
      <c r="V612" s="7" t="str">
        <f ca="1"/>
        <v>MovieVignetteControl</v>
      </c>
      <c r="X612" s="8" t="s">
        <v>999</v>
      </c>
      <c r="Y612" s="8" t="s">
        <v>999</v>
      </c>
      <c r="AF612" s="7" t="s">
        <v>955</v>
      </c>
    </row>
    <row r="613" spans="20:32" x14ac:dyDescent="0.25">
      <c r="T613" s="7" t="str">
        <f ca="1"/>
        <v>Z9</v>
      </c>
      <c r="U613" s="7" t="str">
        <f ca="1"/>
        <v>0xD23F</v>
      </c>
      <c r="V613" s="7" t="str">
        <f ca="1"/>
        <v>MovieDiffractionCompensation</v>
      </c>
      <c r="X613" s="8" t="s">
        <v>1000</v>
      </c>
      <c r="Y613" s="8" t="s">
        <v>1000</v>
      </c>
    </row>
    <row r="614" spans="20:32" x14ac:dyDescent="0.25">
      <c r="T614" s="7" t="str">
        <f ca="1"/>
        <v>Z9</v>
      </c>
      <c r="U614" s="7" t="str">
        <f ca="1"/>
        <v>0xD303</v>
      </c>
      <c r="V614" s="7" t="str">
        <f ca="1"/>
        <v>UseDeviceStageFlag</v>
      </c>
      <c r="X614" s="8" t="s">
        <v>1001</v>
      </c>
      <c r="Y614" s="8" t="s">
        <v>1001</v>
      </c>
    </row>
    <row r="615" spans="20:32" x14ac:dyDescent="0.25">
      <c r="T615" s="7" t="str">
        <f ca="1"/>
        <v>Z9</v>
      </c>
      <c r="U615" s="7" t="str">
        <f ca="1"/>
        <v>0xD314</v>
      </c>
      <c r="V615" s="7" t="str">
        <f ca="1"/>
        <v>ElectronicVR</v>
      </c>
      <c r="X615" s="8" t="s">
        <v>1002</v>
      </c>
      <c r="Y615" s="8" t="s">
        <v>1002</v>
      </c>
    </row>
    <row r="616" spans="20:32" x14ac:dyDescent="0.25">
      <c r="T616" s="7" t="str">
        <f ca="1"/>
        <v>Z9</v>
      </c>
      <c r="U616" s="7" t="str">
        <f ca="1"/>
        <v>0xD406</v>
      </c>
      <c r="V616" s="7" t="str">
        <f ca="1"/>
        <v>SessionInitiatorVersionInfo</v>
      </c>
      <c r="X616" s="8" t="s">
        <v>1003</v>
      </c>
      <c r="Y616" s="8" t="s">
        <v>1003</v>
      </c>
    </row>
    <row r="617" spans="20:32" x14ac:dyDescent="0.25">
      <c r="T617" s="7" t="str">
        <f ca="1"/>
        <v>Z9</v>
      </c>
      <c r="U617" s="7" t="str">
        <f ca="1"/>
        <v>0xD407</v>
      </c>
      <c r="V617" s="7" t="str">
        <f ca="1"/>
        <v>PerceivedDeviceType</v>
      </c>
      <c r="X617" s="8" t="s">
        <v>1004</v>
      </c>
      <c r="Y617" s="8" t="s">
        <v>1008</v>
      </c>
    </row>
    <row r="618" spans="20:32" x14ac:dyDescent="0.25">
      <c r="T618" s="7" t="str">
        <f ca="1"/>
        <v>Z9</v>
      </c>
      <c r="U618" s="7" t="str">
        <f ca="1"/>
        <v>0x0001D000</v>
      </c>
      <c r="V618" s="7" t="str">
        <f ca="1"/>
        <v>MovieProResToneMode</v>
      </c>
      <c r="X618" s="8" t="s">
        <v>1005</v>
      </c>
      <c r="Y618" s="8" t="s">
        <v>1009</v>
      </c>
    </row>
    <row r="619" spans="20:32" x14ac:dyDescent="0.25">
      <c r="T619" s="7" t="str">
        <f ca="1"/>
        <v>Z9</v>
      </c>
      <c r="U619" s="7" t="str">
        <f ca="1"/>
        <v>0x0001D001</v>
      </c>
      <c r="V619" s="7" t="str">
        <f ca="1"/>
        <v>MovieH265ToneMode</v>
      </c>
      <c r="X619" s="8" t="s">
        <v>1006</v>
      </c>
      <c r="Y619" s="8" t="s">
        <v>1010</v>
      </c>
    </row>
    <row r="620" spans="20:32" x14ac:dyDescent="0.25">
      <c r="T620" s="7" t="str">
        <f ca="1"/>
        <v>Z9</v>
      </c>
      <c r="U620" s="7" t="str">
        <f ca="1"/>
        <v>0x0001D002</v>
      </c>
      <c r="V620" s="7" t="str">
        <f ca="1"/>
        <v>SpecialShootingMode</v>
      </c>
      <c r="X620" s="8" t="s">
        <v>1007</v>
      </c>
      <c r="Y620" s="8" t="s">
        <v>1011</v>
      </c>
    </row>
    <row r="621" spans="20:32" x14ac:dyDescent="0.25">
      <c r="T621" s="7" t="str">
        <f ca="1"/>
        <v>Z9</v>
      </c>
      <c r="U621" s="7" t="str">
        <f ca="1"/>
        <v>0x0001D005</v>
      </c>
      <c r="V621" s="7" t="str">
        <f ca="1"/>
        <v>AFSubjectDetection</v>
      </c>
      <c r="X621" s="8" t="s">
        <v>1008</v>
      </c>
      <c r="Y621" s="8" t="s">
        <v>1012</v>
      </c>
    </row>
    <row r="622" spans="20:32" x14ac:dyDescent="0.25">
      <c r="T622" s="7" t="str">
        <f ca="1"/>
        <v>Z9</v>
      </c>
      <c r="U622" s="7" t="str">
        <f ca="1"/>
        <v>0x0001D006</v>
      </c>
      <c r="V622" s="7" t="str">
        <f ca="1"/>
        <v>MovieAFSubjectDetection</v>
      </c>
      <c r="X622" s="8" t="s">
        <v>1009</v>
      </c>
      <c r="Y622" s="8" t="s">
        <v>1013</v>
      </c>
    </row>
    <row r="623" spans="20:32" x14ac:dyDescent="0.25">
      <c r="T623" s="7" t="str">
        <f ca="1"/>
        <v>Z9</v>
      </c>
      <c r="U623" s="7" t="str">
        <f ca="1"/>
        <v>0x0001D007</v>
      </c>
      <c r="V623" s="7" t="str">
        <f ca="1"/>
        <v>ViewModeEaseOfViewing</v>
      </c>
      <c r="X623" s="8" t="s">
        <v>1010</v>
      </c>
      <c r="Y623" s="8" t="s">
        <v>1014</v>
      </c>
    </row>
    <row r="624" spans="20:32" x14ac:dyDescent="0.25">
      <c r="T624" s="7" t="str">
        <f ca="1"/>
        <v>Z9</v>
      </c>
      <c r="U624" s="7" t="str">
        <f ca="1"/>
        <v>0x0001D008</v>
      </c>
      <c r="V624" s="7" t="str">
        <f ca="1"/>
        <v>ViewModeWhiteBalance</v>
      </c>
      <c r="X624" s="8" t="s">
        <v>1011</v>
      </c>
      <c r="Y624" s="8" t="s">
        <v>1015</v>
      </c>
    </row>
    <row r="625" spans="20:25" x14ac:dyDescent="0.25">
      <c r="T625" s="7" t="str">
        <f ca="1"/>
        <v>Z9</v>
      </c>
      <c r="U625" s="7" t="str">
        <f ca="1"/>
        <v>0x0001D009</v>
      </c>
      <c r="V625" s="7" t="str">
        <f ca="1"/>
        <v>ViewModeWbColorTemp</v>
      </c>
      <c r="X625" s="8" t="s">
        <v>1012</v>
      </c>
      <c r="Y625" s="8" t="s">
        <v>1016</v>
      </c>
    </row>
    <row r="626" spans="20:25" x14ac:dyDescent="0.25">
      <c r="T626" s="7" t="str">
        <f ca="1"/>
        <v>Z9</v>
      </c>
      <c r="U626" s="7" t="str">
        <f ca="1"/>
        <v>0x0001D00A</v>
      </c>
      <c r="V626" s="7" t="str">
        <f ca="1"/>
        <v>ViewModeWbTuneColorTemp</v>
      </c>
      <c r="X626" s="8" t="s">
        <v>1013</v>
      </c>
      <c r="Y626" s="8" t="s">
        <v>1017</v>
      </c>
    </row>
    <row r="627" spans="20:25" x14ac:dyDescent="0.25">
      <c r="T627" s="7" t="str">
        <f ca="1"/>
        <v>Z9</v>
      </c>
      <c r="U627" s="7" t="str">
        <f ca="1"/>
        <v>0x0001D00B</v>
      </c>
      <c r="V627" s="7" t="str">
        <f ca="1"/>
        <v>ViewModePictureControl</v>
      </c>
      <c r="X627" s="8" t="s">
        <v>1014</v>
      </c>
      <c r="Y627" s="8" t="s">
        <v>1018</v>
      </c>
    </row>
    <row r="628" spans="20:25" x14ac:dyDescent="0.25">
      <c r="T628" s="7" t="str">
        <f ca="1"/>
        <v>Z9</v>
      </c>
      <c r="U628" s="7" t="str">
        <f ca="1"/>
        <v>0x0001D00C</v>
      </c>
      <c r="V628" s="7" t="str">
        <f ca="1"/>
        <v>ViewModeBrightenShadow</v>
      </c>
      <c r="X628" s="8" t="s">
        <v>1015</v>
      </c>
      <c r="Y628" s="8" t="s">
        <v>1019</v>
      </c>
    </row>
    <row r="629" spans="20:25" x14ac:dyDescent="0.25">
      <c r="T629" s="7" t="str">
        <f ca="1"/>
        <v>Z9</v>
      </c>
      <c r="U629" s="7" t="str">
        <f ca="1"/>
        <v>0x0001D00E</v>
      </c>
      <c r="V629" s="7" t="str">
        <f ca="1"/>
        <v>StarlightView</v>
      </c>
      <c r="X629" s="8" t="s">
        <v>1016</v>
      </c>
      <c r="Y629" s="8" t="s">
        <v>1020</v>
      </c>
    </row>
    <row r="630" spans="20:25" x14ac:dyDescent="0.25">
      <c r="T630" s="7" t="str">
        <f ca="1"/>
        <v>Z9</v>
      </c>
      <c r="U630" s="7" t="str">
        <f ca="1"/>
        <v>0x0001D00F</v>
      </c>
      <c r="V630" s="7" t="str">
        <f ca="1"/>
        <v>MovieTVLockSetting</v>
      </c>
      <c r="X630" s="8" t="s">
        <v>1017</v>
      </c>
      <c r="Y630" s="8" t="s">
        <v>1021</v>
      </c>
    </row>
    <row r="631" spans="20:25" x14ac:dyDescent="0.25">
      <c r="T631" s="7" t="str">
        <f ca="1"/>
        <v>Z9</v>
      </c>
      <c r="U631" s="7" t="str">
        <f ca="1"/>
        <v>0x0001D010</v>
      </c>
      <c r="V631" s="7" t="str">
        <f ca="1"/>
        <v>MovieAVLockSetting</v>
      </c>
      <c r="X631" s="8" t="s">
        <v>1018</v>
      </c>
      <c r="Y631" s="8" t="s">
        <v>1149</v>
      </c>
    </row>
    <row r="632" spans="20:25" x14ac:dyDescent="0.25">
      <c r="T632" s="7" t="str">
        <f ca="1"/>
        <v>Z9</v>
      </c>
      <c r="U632" s="7" t="str">
        <f ca="1"/>
        <v>0x0001D011</v>
      </c>
      <c r="V632" s="7" t="str">
        <f ca="1"/>
        <v>SilentMode</v>
      </c>
      <c r="X632" s="8" t="s">
        <v>1019</v>
      </c>
      <c r="Y632" s="8" t="s">
        <v>1150</v>
      </c>
    </row>
    <row r="633" spans="20:25" x14ac:dyDescent="0.25">
      <c r="T633" s="7" t="str">
        <f ca="1"/>
        <v>Z9</v>
      </c>
      <c r="U633" s="7" t="str">
        <f ca="1"/>
        <v>0x0001D012</v>
      </c>
      <c r="V633" s="7" t="str">
        <f ca="1"/>
        <v>ShutterSoundEffect</v>
      </c>
      <c r="X633" s="8" t="s">
        <v>1020</v>
      </c>
      <c r="Y633" s="8" t="s">
        <v>1151</v>
      </c>
    </row>
    <row r="634" spans="20:25" x14ac:dyDescent="0.25">
      <c r="T634" s="7" t="str">
        <f ca="1"/>
        <v>Z9</v>
      </c>
      <c r="U634" s="7" t="str">
        <f ca="1"/>
        <v>0x0001D014</v>
      </c>
      <c r="V634" s="7" t="str">
        <f ca="1"/>
        <v>AFWhenSubjectNotDetected</v>
      </c>
      <c r="X634" s="8" t="s">
        <v>1021</v>
      </c>
      <c r="Y634" s="8" t="s">
        <v>1152</v>
      </c>
    </row>
    <row r="635" spans="20:25" x14ac:dyDescent="0.25">
      <c r="T635" s="7" t="str">
        <f ca="1"/>
        <v>Z9</v>
      </c>
      <c r="U635" s="7" t="str">
        <f ca="1"/>
        <v>0x0001D015</v>
      </c>
      <c r="V635" s="7" t="str">
        <f ca="1"/>
        <v>FocusPointLock</v>
      </c>
      <c r="X635" s="8" t="s">
        <v>1022</v>
      </c>
      <c r="Y635" s="8" t="s">
        <v>1153</v>
      </c>
    </row>
    <row r="636" spans="20:25" x14ac:dyDescent="0.25">
      <c r="T636" s="7" t="str">
        <f ca="1"/>
        <v>Z9</v>
      </c>
      <c r="U636" s="7" t="str">
        <f ca="1"/>
        <v>0x0001D016</v>
      </c>
      <c r="V636" s="7" t="str">
        <f ca="1"/>
        <v>MovieFocusPointLock</v>
      </c>
      <c r="X636" s="8" t="s">
        <v>1023</v>
      </c>
      <c r="Y636" s="8" t="s">
        <v>1154</v>
      </c>
    </row>
    <row r="637" spans="20:25" x14ac:dyDescent="0.25">
      <c r="T637" s="7" t="str">
        <f ca="1"/>
        <v>Z9</v>
      </c>
      <c r="U637" s="7" t="str">
        <f ca="1"/>
        <v>0x0001D017</v>
      </c>
      <c r="V637" s="7" t="str">
        <f ca="1"/>
        <v>SkinSoftening</v>
      </c>
      <c r="X637" s="8" t="s">
        <v>1024</v>
      </c>
      <c r="Y637" s="8" t="s">
        <v>1155</v>
      </c>
    </row>
    <row r="638" spans="20:25" x14ac:dyDescent="0.25">
      <c r="T638" s="7" t="str">
        <f ca="1"/>
        <v>Z9</v>
      </c>
      <c r="U638" s="7" t="str">
        <f ca="1"/>
        <v>0x0001D018</v>
      </c>
      <c r="V638" s="7" t="str">
        <f ca="1"/>
        <v>MovieSkinSoftening</v>
      </c>
      <c r="X638" s="8" t="s">
        <v>1025</v>
      </c>
      <c r="Y638" s="8" t="s">
        <v>1156</v>
      </c>
    </row>
    <row r="639" spans="20:25" x14ac:dyDescent="0.25">
      <c r="T639" s="7" t="str">
        <f ca="1"/>
        <v>Z9</v>
      </c>
      <c r="U639" s="7" t="str">
        <f ca="1"/>
        <v>0x0001D019</v>
      </c>
      <c r="V639" s="7" t="str">
        <f ca="1"/>
        <v>PortraitImpressionBalance</v>
      </c>
      <c r="X639" s="8" t="s">
        <v>1026</v>
      </c>
      <c r="Y639" s="8" t="s">
        <v>1022</v>
      </c>
    </row>
    <row r="640" spans="20:25" x14ac:dyDescent="0.25">
      <c r="T640" s="7" t="str">
        <f ca="1"/>
        <v>Z9</v>
      </c>
      <c r="U640" s="7" t="str">
        <f ca="1"/>
        <v>0x0001D01A</v>
      </c>
      <c r="V640" s="7" t="str">
        <f ca="1"/>
        <v>MoviePortraitImpressionBalance</v>
      </c>
      <c r="X640" s="8" t="s">
        <v>1027</v>
      </c>
      <c r="Y640" s="8" t="s">
        <v>1023</v>
      </c>
    </row>
    <row r="641" spans="20:25" x14ac:dyDescent="0.25">
      <c r="T641" s="7" t="str">
        <f ca="1"/>
        <v>Z9</v>
      </c>
      <c r="U641" s="7" t="str">
        <f ca="1"/>
        <v>0x0001D01B</v>
      </c>
      <c r="V641" s="7" t="str">
        <f ca="1"/>
        <v>MovieExtendedShutterSpeedsManual</v>
      </c>
      <c r="X641" s="8" t="s">
        <v>1028</v>
      </c>
      <c r="Y641" s="8" t="s">
        <v>1024</v>
      </c>
    </row>
    <row r="642" spans="20:25" x14ac:dyDescent="0.25">
      <c r="T642" s="7" t="str">
        <f ca="1"/>
        <v>Z9</v>
      </c>
      <c r="U642" s="7" t="str">
        <f ca="1"/>
        <v>0x0001D01E</v>
      </c>
      <c r="V642" s="7" t="str">
        <f ca="1"/>
        <v>ExtendedOverSampling</v>
      </c>
      <c r="X642" s="8" t="s">
        <v>1029</v>
      </c>
      <c r="Y642" s="8" t="s">
        <v>1025</v>
      </c>
    </row>
    <row r="643" spans="20:25" x14ac:dyDescent="0.25">
      <c r="T643" s="7" t="str">
        <f ca="1"/>
        <v>Z9</v>
      </c>
      <c r="U643" s="7" t="str">
        <f ca="1"/>
        <v>0x0001D01F</v>
      </c>
      <c r="V643" s="7" t="str">
        <f ca="1"/>
        <v>MovieExtendedIsoStepManual</v>
      </c>
      <c r="X643" s="8" t="s">
        <v>1030</v>
      </c>
      <c r="Y643" s="8" t="s">
        <v>1026</v>
      </c>
    </row>
    <row r="644" spans="20:25" x14ac:dyDescent="0.25">
      <c r="T644" s="7" t="str">
        <f ca="1"/>
        <v>Z9</v>
      </c>
      <c r="U644" s="7" t="str">
        <f ca="1"/>
        <v>0x0001D025</v>
      </c>
      <c r="V644" s="7" t="str">
        <f ca="1"/>
        <v>PreCapturePreReleaseBurst</v>
      </c>
      <c r="X644" s="8" t="s">
        <v>1031</v>
      </c>
      <c r="Y644" s="8" t="s">
        <v>1027</v>
      </c>
    </row>
    <row r="645" spans="20:25" x14ac:dyDescent="0.25">
      <c r="T645" s="7" t="str">
        <f ca="1"/>
        <v>Z9</v>
      </c>
      <c r="U645" s="7" t="str">
        <f ca="1"/>
        <v>0x0001D026</v>
      </c>
      <c r="V645" s="7" t="str">
        <f ca="1"/>
        <v>PreCapturePostReleaseBurst</v>
      </c>
      <c r="X645" s="8" t="s">
        <v>1032</v>
      </c>
      <c r="Y645" s="8" t="s">
        <v>1028</v>
      </c>
    </row>
    <row r="646" spans="20:25" x14ac:dyDescent="0.25">
      <c r="T646" s="7" t="str">
        <f ca="1"/>
        <v>Z9</v>
      </c>
      <c r="U646" s="7" t="str">
        <f ca="1"/>
        <v>0x0001D028</v>
      </c>
      <c r="V646" s="7" t="str">
        <f ca="1"/>
        <v>MovieNRaw12bitToneMode</v>
      </c>
      <c r="X646" s="8" t="s">
        <v>1033</v>
      </c>
      <c r="Y646" s="8" t="s">
        <v>1029</v>
      </c>
    </row>
    <row r="647" spans="20:25" x14ac:dyDescent="0.25">
      <c r="T647" s="7" t="str">
        <f ca="1"/>
        <v>Z9</v>
      </c>
      <c r="U647" s="7" t="str">
        <f ca="1"/>
        <v>0x0001D029</v>
      </c>
      <c r="V647" s="7" t="str">
        <f ca="1"/>
        <v>MovieProResRawHq12bitToneMode</v>
      </c>
      <c r="X647" s="8" t="s">
        <v>1034</v>
      </c>
      <c r="Y647" s="8" t="s">
        <v>1030</v>
      </c>
    </row>
    <row r="648" spans="20:25" x14ac:dyDescent="0.25">
      <c r="T648" s="7" t="str">
        <f ca="1"/>
        <v>Z9</v>
      </c>
      <c r="U648" s="7" t="str">
        <f ca="1"/>
        <v>0x0001D02A</v>
      </c>
      <c r="V648" s="7" t="str">
        <f ca="1"/>
        <v>MovieQualityNRaw</v>
      </c>
      <c r="X648" s="8" t="s">
        <v>1035</v>
      </c>
      <c r="Y648" s="8" t="s">
        <v>1031</v>
      </c>
    </row>
    <row r="649" spans="20:25" x14ac:dyDescent="0.25">
      <c r="T649" s="7" t="str">
        <f ca="1"/>
        <v>Z9</v>
      </c>
      <c r="U649" s="7" t="str">
        <f ca="1"/>
        <v>0x0001D02B</v>
      </c>
      <c r="V649" s="7" t="str">
        <f ca="1"/>
        <v>AutoCaptureMode</v>
      </c>
      <c r="X649" s="8" t="s">
        <v>1036</v>
      </c>
      <c r="Y649" s="8" t="s">
        <v>1032</v>
      </c>
    </row>
    <row r="650" spans="20:25" x14ac:dyDescent="0.25">
      <c r="T650" s="7" t="str">
        <f ca="1"/>
        <v>Z9</v>
      </c>
      <c r="U650" s="7" t="str">
        <f ca="1"/>
        <v>0x0001D02E</v>
      </c>
      <c r="V650" s="7" t="str">
        <f ca="1"/>
        <v>AutoCaptureFocusNear</v>
      </c>
      <c r="X650" s="8" t="s">
        <v>1037</v>
      </c>
      <c r="Y650" s="8" t="s">
        <v>1033</v>
      </c>
    </row>
    <row r="651" spans="20:25" x14ac:dyDescent="0.25">
      <c r="T651" s="7" t="str">
        <f ca="1"/>
        <v>Z9</v>
      </c>
      <c r="U651" s="7" t="str">
        <f ca="1"/>
        <v>0x0001D02F</v>
      </c>
      <c r="V651" s="7" t="str">
        <f ca="1"/>
        <v>AutoCaptureFocusFar</v>
      </c>
      <c r="X651" s="8" t="s">
        <v>1038</v>
      </c>
      <c r="Y651" s="8" t="s">
        <v>1034</v>
      </c>
    </row>
    <row r="652" spans="20:25" x14ac:dyDescent="0.25">
      <c r="T652" s="7" t="str">
        <f ca="1"/>
        <v>Z9</v>
      </c>
      <c r="U652" s="7" t="str">
        <f ca="1"/>
        <v>0x0001D030</v>
      </c>
      <c r="V652" s="7" t="str">
        <f ca="1"/>
        <v>AutoCaptureProhibitCondition</v>
      </c>
      <c r="X652" s="8" t="s">
        <v>1039</v>
      </c>
      <c r="Y652" s="8" t="s">
        <v>1035</v>
      </c>
    </row>
    <row r="653" spans="20:25" x14ac:dyDescent="0.25">
      <c r="T653" s="7" t="str">
        <f ca="1"/>
        <v>Z9</v>
      </c>
      <c r="U653" s="7" t="str">
        <f ca="1"/>
        <v>0x0001D031</v>
      </c>
      <c r="V653" s="7" t="str">
        <f ca="1"/>
        <v>HighFrequencyFlickerReduction</v>
      </c>
      <c r="X653" s="8" t="s">
        <v>1040</v>
      </c>
      <c r="Y653" s="8" t="s">
        <v>1036</v>
      </c>
    </row>
    <row r="654" spans="20:25" x14ac:dyDescent="0.25">
      <c r="T654" s="7" t="str">
        <f ca="1"/>
        <v>Z9</v>
      </c>
      <c r="U654" s="7" t="str">
        <f ca="1"/>
        <v>0x0001D032</v>
      </c>
      <c r="V654" s="7" t="str">
        <f ca="1"/>
        <v>MovieHighFrequencyFlickerReduction</v>
      </c>
      <c r="X654" s="8" t="s">
        <v>1041</v>
      </c>
      <c r="Y654" s="8" t="s">
        <v>1037</v>
      </c>
    </row>
    <row r="655" spans="20:25" x14ac:dyDescent="0.25">
      <c r="T655" s="7" t="str">
        <f ca="1"/>
        <v>Z9</v>
      </c>
      <c r="U655" s="7" t="str">
        <f ca="1"/>
        <v>0x0001D033</v>
      </c>
      <c r="V655" s="7" t="str">
        <f ca="1"/>
        <v>HiResZoom</v>
      </c>
      <c r="X655" s="8" t="s">
        <v>1042</v>
      </c>
      <c r="Y655" s="8" t="s">
        <v>1040</v>
      </c>
    </row>
    <row r="656" spans="20:25" x14ac:dyDescent="0.25">
      <c r="T656" s="7" t="str">
        <f ca="1"/>
        <v>Z9</v>
      </c>
      <c r="U656" s="7" t="str">
        <f ca="1"/>
        <v>0x0001D036</v>
      </c>
      <c r="V656" s="7" t="str">
        <f ca="1"/>
        <v>ViewModeShowEffectsOfSettings</v>
      </c>
      <c r="X656" s="8" t="s">
        <v>1043</v>
      </c>
      <c r="Y656" s="8" t="s">
        <v>1041</v>
      </c>
    </row>
    <row r="657" spans="20:25" x14ac:dyDescent="0.25">
      <c r="T657" s="7" t="str">
        <f ca="1"/>
        <v>Z9</v>
      </c>
      <c r="U657" s="7" t="str">
        <f ca="1"/>
        <v>0x0001D03D</v>
      </c>
      <c r="V657" s="7" t="str">
        <f ca="1"/>
        <v>FlickerReductionShutterSpeed</v>
      </c>
      <c r="X657" s="8" t="s">
        <v>1044</v>
      </c>
      <c r="Y657" s="8" t="s">
        <v>1042</v>
      </c>
    </row>
    <row r="658" spans="20:25" x14ac:dyDescent="0.25">
      <c r="T658" s="7" t="str">
        <f ca="1"/>
        <v>Z9</v>
      </c>
      <c r="U658" s="7" t="str">
        <f ca="1"/>
        <v>0x0001D041</v>
      </c>
      <c r="V658" s="7" t="str">
        <f ca="1"/>
        <v>EnableDXImageSize</v>
      </c>
      <c r="X658" s="8" t="s">
        <v>1045</v>
      </c>
      <c r="Y658" s="8" t="s">
        <v>1043</v>
      </c>
    </row>
    <row r="659" spans="20:25" x14ac:dyDescent="0.25">
      <c r="T659" s="7" t="str">
        <f ca="1"/>
        <v>Z9</v>
      </c>
      <c r="U659" s="7" t="str">
        <f ca="1"/>
        <v>0x0001D042</v>
      </c>
      <c r="V659" s="7" t="str">
        <f ca="1"/>
        <v>ImageSizeDX</v>
      </c>
      <c r="X659" s="8" t="s">
        <v>1046</v>
      </c>
      <c r="Y659" s="8" t="s">
        <v>1044</v>
      </c>
    </row>
    <row r="660" spans="20:25" x14ac:dyDescent="0.25">
      <c r="T660" s="7" t="str">
        <f ca="1"/>
        <v>Z9</v>
      </c>
      <c r="U660" s="7" t="str">
        <f ca="1"/>
        <v>0x0001D046</v>
      </c>
      <c r="V660" s="7" t="str">
        <f ca="1"/>
        <v>WideAreaAFC1</v>
      </c>
      <c r="X660" s="8" t="s">
        <v>1047</v>
      </c>
      <c r="Y660" s="8" t="s">
        <v>1045</v>
      </c>
    </row>
    <row r="661" spans="20:25" x14ac:dyDescent="0.25">
      <c r="T661" s="7" t="str">
        <f ca="1"/>
        <v>Z9</v>
      </c>
      <c r="U661" s="7" t="str">
        <f ca="1"/>
        <v>0x0001D047</v>
      </c>
      <c r="V661" s="7" t="str">
        <f ca="1"/>
        <v>WideAreaAFC2</v>
      </c>
      <c r="X661" s="8" t="s">
        <v>1048</v>
      </c>
      <c r="Y661" s="8" t="s">
        <v>1046</v>
      </c>
    </row>
    <row r="662" spans="20:25" x14ac:dyDescent="0.25">
      <c r="T662" s="7" t="str">
        <f ca="1"/>
        <v>Z9</v>
      </c>
      <c r="U662" s="7" t="str">
        <f ca="1"/>
        <v>0x0001D048</v>
      </c>
      <c r="V662" s="7" t="str">
        <f ca="1"/>
        <v>MovieWideAreaAFC1</v>
      </c>
      <c r="X662" s="8" t="s">
        <v>1049</v>
      </c>
      <c r="Y662" s="8" t="s">
        <v>1047</v>
      </c>
    </row>
    <row r="663" spans="20:25" x14ac:dyDescent="0.25">
      <c r="T663" s="7" t="str">
        <f ca="1"/>
        <v>Z9</v>
      </c>
      <c r="U663" s="7" t="str">
        <f ca="1"/>
        <v>0x0001D049</v>
      </c>
      <c r="V663" s="7" t="str">
        <f ca="1"/>
        <v>MovieWideAreaAFC2</v>
      </c>
      <c r="X663" s="8" t="s">
        <v>1050</v>
      </c>
      <c r="Y663" s="8" t="s">
        <v>1048</v>
      </c>
    </row>
    <row r="664" spans="20:25" x14ac:dyDescent="0.25">
      <c r="T664" s="7" t="str">
        <f ca="1"/>
        <v>Z9</v>
      </c>
      <c r="U664" s="7" t="str">
        <f ca="1"/>
        <v>0x0001D04A</v>
      </c>
      <c r="V664" s="7" t="str">
        <f ca="1"/>
        <v>FmmManualSetting2</v>
      </c>
      <c r="X664" s="8" t="s">
        <v>1051</v>
      </c>
      <c r="Y664" s="8" t="s">
        <v>1049</v>
      </c>
    </row>
    <row r="665" spans="20:25" x14ac:dyDescent="0.25">
      <c r="T665" s="7" t="str">
        <f ca="1"/>
        <v>Z9</v>
      </c>
      <c r="U665" s="7" t="str">
        <f ca="1"/>
        <v>0x0001D04B</v>
      </c>
      <c r="V665" s="7" t="str">
        <f ca="1"/>
        <v>F0ManualSetting2</v>
      </c>
      <c r="X665" s="8" t="s">
        <v>1052</v>
      </c>
      <c r="Y665" s="8" t="s">
        <v>1050</v>
      </c>
    </row>
    <row r="666" spans="20:25" x14ac:dyDescent="0.25">
      <c r="T666" s="7" t="str">
        <f ca="1"/>
        <v>Z9</v>
      </c>
      <c r="U666" s="7" t="str">
        <f ca="1"/>
        <v>0x0001D04C</v>
      </c>
      <c r="V666" s="7" t="str">
        <f ca="1"/>
        <v>ManualSettingLensName</v>
      </c>
      <c r="X666" s="8" t="s">
        <v>1053</v>
      </c>
      <c r="Y666" s="8" t="s">
        <v>1051</v>
      </c>
    </row>
    <row r="667" spans="20:25" x14ac:dyDescent="0.25">
      <c r="T667" s="7" t="str">
        <f ca="1"/>
        <v>Z9</v>
      </c>
      <c r="U667" s="7" t="str">
        <f ca="1"/>
        <v>0x0001D052</v>
      </c>
      <c r="V667" s="7" t="str">
        <f ca="1"/>
        <v>AutoCaptureCaptureCriteria</v>
      </c>
      <c r="Y667" s="8" t="s">
        <v>1157</v>
      </c>
    </row>
    <row r="668" spans="20:25" x14ac:dyDescent="0.25">
      <c r="T668" s="7" t="str">
        <f ca="1"/>
        <v>Z9</v>
      </c>
      <c r="U668" s="7" t="str">
        <f ca="1"/>
        <v>0x0001D053</v>
      </c>
      <c r="V668" s="7" t="str">
        <f ca="1"/>
        <v>AutoCaptureMotionSpeed</v>
      </c>
      <c r="Y668" s="8" t="s">
        <v>1158</v>
      </c>
    </row>
    <row r="669" spans="20:25" x14ac:dyDescent="0.25">
      <c r="T669" s="7" t="str">
        <f ca="1"/>
        <v>Z9</v>
      </c>
      <c r="U669" s="7" t="str">
        <f ca="1"/>
        <v>0x0001D054</v>
      </c>
      <c r="V669" s="7" t="str">
        <f ca="1"/>
        <v>AutoCaptureMotionSubjectSize</v>
      </c>
      <c r="Y669" s="8" t="s">
        <v>1159</v>
      </c>
    </row>
    <row r="670" spans="20:25" x14ac:dyDescent="0.25">
      <c r="T670" s="7" t="str">
        <f ca="1"/>
        <v>Z9</v>
      </c>
      <c r="U670" s="7" t="str">
        <f ca="1"/>
        <v>0x0001D055</v>
      </c>
      <c r="V670" s="7" t="str">
        <f ca="1"/>
        <v>AutoCaptureMotionDirection</v>
      </c>
      <c r="Y670" s="8" t="s">
        <v>1160</v>
      </c>
    </row>
    <row r="671" spans="20:25" x14ac:dyDescent="0.25">
      <c r="T671" s="7" t="str">
        <f ca="1"/>
        <v>Z9</v>
      </c>
      <c r="U671" s="7" t="str">
        <f ca="1"/>
        <v>0x0001D056</v>
      </c>
      <c r="V671" s="7" t="str">
        <f ca="1"/>
        <v>AutoCaptureSubjectDetectionSize</v>
      </c>
      <c r="Y671" s="8" t="s">
        <v>1161</v>
      </c>
    </row>
    <row r="672" spans="20:25" x14ac:dyDescent="0.25">
      <c r="T672" s="7" t="str">
        <f ca="1"/>
        <v>Z9</v>
      </c>
      <c r="U672" s="7" t="str">
        <f ca="1"/>
        <v>0x0001D057</v>
      </c>
      <c r="V672" s="7" t="str">
        <f ca="1"/>
        <v>AutoCaptureSubjectDetectionType</v>
      </c>
      <c r="Y672" s="8" t="s">
        <v>1162</v>
      </c>
    </row>
    <row r="673" spans="20:25" x14ac:dyDescent="0.25">
      <c r="T673" s="7" t="str">
        <f ca="1"/>
        <v>Z9</v>
      </c>
      <c r="U673" s="7" t="str">
        <f ca="1"/>
        <v>0x0001D058</v>
      </c>
      <c r="V673" s="7" t="str">
        <f ca="1"/>
        <v>AutoCaptureRecordingTime</v>
      </c>
      <c r="Y673" s="8" t="s">
        <v>1163</v>
      </c>
    </row>
    <row r="674" spans="20:25" x14ac:dyDescent="0.25">
      <c r="T674" s="7" t="str">
        <f ca="1"/>
        <v>Z9</v>
      </c>
      <c r="U674" s="7" t="str">
        <f ca="1"/>
        <v>0x0001D059</v>
      </c>
      <c r="V674" s="7" t="str">
        <f ca="1"/>
        <v>AutoCaptureWaitAfterShootingTime</v>
      </c>
      <c r="Y674" s="8" t="s">
        <v>1164</v>
      </c>
    </row>
    <row r="675" spans="20:25" x14ac:dyDescent="0.25">
      <c r="T675" s="7" t="str">
        <f ca="1"/>
        <v>Z9</v>
      </c>
      <c r="U675" s="7" t="str">
        <f ca="1"/>
        <v>0x0001D05A</v>
      </c>
      <c r="V675" s="7" t="str">
        <f ca="1"/>
        <v>AutoCaptureSelectUserPreset</v>
      </c>
      <c r="Y675" s="8" t="s">
        <v>1165</v>
      </c>
    </row>
    <row r="676" spans="20:25" x14ac:dyDescent="0.25">
      <c r="T676" s="7" t="str">
        <f ca="1"/>
        <v>Z9</v>
      </c>
      <c r="U676" s="7" t="str">
        <f ca="1"/>
        <v>0x0001D05B</v>
      </c>
      <c r="V676" s="7" t="str">
        <f ca="1"/>
        <v>AutoCaptureMovieSelectUserPreset</v>
      </c>
      <c r="Y676" s="8" t="s">
        <v>1166</v>
      </c>
    </row>
    <row r="677" spans="20:25" x14ac:dyDescent="0.25">
      <c r="T677" s="7" t="str">
        <f ca="1"/>
        <v>Z9</v>
      </c>
      <c r="U677" s="7" t="str">
        <f ca="1"/>
        <v>0x0001D05C</v>
      </c>
      <c r="V677" s="7" t="str">
        <f ca="1"/>
        <v>ImageQualityHSFC</v>
      </c>
      <c r="Y677" s="8" t="s">
        <v>1167</v>
      </c>
    </row>
    <row r="678" spans="20:25" x14ac:dyDescent="0.25">
      <c r="T678" s="7" t="str">
        <f ca="1"/>
        <v>Z9</v>
      </c>
      <c r="U678" s="7" t="str">
        <f ca="1"/>
        <v>0x0001D05D</v>
      </c>
      <c r="V678" s="7" t="str">
        <f ca="1"/>
        <v>PreCaptureState</v>
      </c>
      <c r="Y678" s="8" t="s">
        <v>1168</v>
      </c>
    </row>
    <row r="679" spans="20:25" x14ac:dyDescent="0.25">
      <c r="T679" s="7" t="str">
        <f ca="1"/>
        <v>Z9</v>
      </c>
      <c r="U679" s="7" t="str">
        <f ca="1"/>
        <v>0x0001D05E</v>
      </c>
      <c r="V679" s="7" t="str">
        <f ca="1"/>
        <v>HighISONRMode</v>
      </c>
      <c r="Y679" s="8" t="s">
        <v>1169</v>
      </c>
    </row>
    <row r="680" spans="20:25" x14ac:dyDescent="0.25">
      <c r="T680" s="7" t="str">
        <f ca="1"/>
        <v>Z9</v>
      </c>
      <c r="U680" s="7" t="str">
        <f ca="1"/>
        <v>0x0001D061</v>
      </c>
      <c r="V680" s="7" t="str">
        <f ca="1"/>
        <v>AutoCaptureFocusRange</v>
      </c>
      <c r="Y680" s="8" t="s">
        <v>1170</v>
      </c>
    </row>
    <row r="681" spans="20:25" x14ac:dyDescent="0.25">
      <c r="T681" s="7" t="str">
        <f ca="1"/>
        <v>Z6 II</v>
      </c>
      <c r="U681" s="7" t="str">
        <f ca="1"/>
        <v>0x5001</v>
      </c>
      <c r="V681" s="7" t="str">
        <f ca="1"/>
        <v>BatteryLevel</v>
      </c>
      <c r="Y681" s="8" t="s">
        <v>1171</v>
      </c>
    </row>
    <row r="682" spans="20:25" x14ac:dyDescent="0.25">
      <c r="T682" s="7" t="str">
        <f ca="1"/>
        <v>Z6 II</v>
      </c>
      <c r="U682" s="7" t="str">
        <f ca="1"/>
        <v>0x5003</v>
      </c>
      <c r="V682" s="7" t="str">
        <f ca="1"/>
        <v>ImageSize</v>
      </c>
      <c r="Y682" s="8" t="s">
        <v>1172</v>
      </c>
    </row>
    <row r="683" spans="20:25" x14ac:dyDescent="0.25">
      <c r="T683" s="7" t="str">
        <f ca="1"/>
        <v>Z6 II</v>
      </c>
      <c r="U683" s="7" t="str">
        <f ca="1"/>
        <v>0x5004</v>
      </c>
      <c r="V683" s="7" t="str">
        <f ca="1"/>
        <v>CompressionSetting</v>
      </c>
      <c r="Y683" s="8" t="s">
        <v>1173</v>
      </c>
    </row>
    <row r="684" spans="20:25" x14ac:dyDescent="0.25">
      <c r="T684" s="7" t="str">
        <f ca="1"/>
        <v>Z6 II</v>
      </c>
      <c r="U684" s="7" t="str">
        <f ca="1"/>
        <v>0x5005</v>
      </c>
      <c r="V684" s="7" t="str">
        <f ca="1"/>
        <v>WhiteBalance</v>
      </c>
      <c r="Y684" s="8" t="s">
        <v>1174</v>
      </c>
    </row>
    <row r="685" spans="20:25" x14ac:dyDescent="0.25">
      <c r="T685" s="7" t="str">
        <f ca="1"/>
        <v>Z6 II</v>
      </c>
      <c r="U685" s="7" t="str">
        <f ca="1"/>
        <v>0x5007</v>
      </c>
      <c r="V685" s="7" t="str">
        <f ca="1"/>
        <v>Fnumber</v>
      </c>
      <c r="Y685" s="8" t="s">
        <v>1175</v>
      </c>
    </row>
    <row r="686" spans="20:25" x14ac:dyDescent="0.25">
      <c r="T686" s="7" t="str">
        <f ca="1"/>
        <v>Z6 II</v>
      </c>
      <c r="U686" s="7" t="str">
        <f ca="1"/>
        <v>0x5008</v>
      </c>
      <c r="V686" s="7" t="str">
        <f ca="1"/>
        <v>FocalLength</v>
      </c>
      <c r="Y686" s="8" t="s">
        <v>1176</v>
      </c>
    </row>
    <row r="687" spans="20:25" x14ac:dyDescent="0.25">
      <c r="T687" s="7" t="str">
        <f ca="1"/>
        <v>Z6 II</v>
      </c>
      <c r="U687" s="7" t="str">
        <f ca="1"/>
        <v>0x500A</v>
      </c>
      <c r="V687" s="7" t="str">
        <f ca="1"/>
        <v>FocusMode</v>
      </c>
      <c r="Y687" s="8" t="s">
        <v>1177</v>
      </c>
    </row>
    <row r="688" spans="20:25" x14ac:dyDescent="0.25">
      <c r="T688" s="7" t="str">
        <f ca="1"/>
        <v>Z6 II</v>
      </c>
      <c r="U688" s="7" t="str">
        <f ca="1"/>
        <v>0x500B</v>
      </c>
      <c r="V688" s="7" t="str">
        <f ca="1"/>
        <v>ExposureMeteringMode</v>
      </c>
      <c r="Y688" s="8" t="s">
        <v>1178</v>
      </c>
    </row>
    <row r="689" spans="20:25" x14ac:dyDescent="0.25">
      <c r="T689" s="7" t="str">
        <f ca="1"/>
        <v>Z6 II</v>
      </c>
      <c r="U689" s="7" t="str">
        <f ca="1"/>
        <v>0x500C</v>
      </c>
      <c r="V689" s="7" t="str">
        <f ca="1"/>
        <v>FlashMode</v>
      </c>
      <c r="Y689" s="8" t="s">
        <v>1179</v>
      </c>
    </row>
    <row r="690" spans="20:25" x14ac:dyDescent="0.25">
      <c r="T690" s="7" t="str">
        <f ca="1"/>
        <v>Z6 II</v>
      </c>
      <c r="U690" s="7" t="str">
        <f ca="1"/>
        <v>0x500D</v>
      </c>
      <c r="V690" s="7" t="str">
        <f ca="1"/>
        <v>ExposureTime</v>
      </c>
      <c r="Y690" s="8" t="s">
        <v>1180</v>
      </c>
    </row>
    <row r="691" spans="20:25" x14ac:dyDescent="0.25">
      <c r="T691" s="7" t="str">
        <f ca="1"/>
        <v>Z6 II</v>
      </c>
      <c r="U691" s="7" t="str">
        <f ca="1"/>
        <v>0x500E</v>
      </c>
      <c r="V691" s="7" t="str">
        <f ca="1"/>
        <v>ExposureProgramMode</v>
      </c>
      <c r="Y691" s="8" t="s">
        <v>1181</v>
      </c>
    </row>
    <row r="692" spans="20:25" x14ac:dyDescent="0.25">
      <c r="T692" s="7" t="str">
        <f ca="1"/>
        <v>Z6 II</v>
      </c>
      <c r="U692" s="7" t="str">
        <f ca="1"/>
        <v>0x500F</v>
      </c>
      <c r="V692" s="7" t="str">
        <f ca="1"/>
        <v>ExposureIndex</v>
      </c>
      <c r="Y692" s="8" t="s">
        <v>1182</v>
      </c>
    </row>
    <row r="693" spans="20:25" x14ac:dyDescent="0.25">
      <c r="T693" s="7" t="str">
        <f ca="1"/>
        <v>Z6 II</v>
      </c>
      <c r="U693" s="7" t="str">
        <f ca="1"/>
        <v>0x5010</v>
      </c>
      <c r="V693" s="7" t="str">
        <f ca="1"/>
        <v>ExposureBiasCompensation</v>
      </c>
      <c r="Y693" s="8" t="s">
        <v>1183</v>
      </c>
    </row>
    <row r="694" spans="20:25" x14ac:dyDescent="0.25">
      <c r="T694" s="7" t="str">
        <f ca="1"/>
        <v>Z6 II</v>
      </c>
      <c r="U694" s="7" t="str">
        <f ca="1"/>
        <v>0x5011</v>
      </c>
      <c r="V694" s="7" t="str">
        <f ca="1"/>
        <v>DateTime</v>
      </c>
      <c r="Y694" s="8" t="s">
        <v>1184</v>
      </c>
    </row>
    <row r="695" spans="20:25" x14ac:dyDescent="0.25">
      <c r="T695" s="7" t="str">
        <f ca="1"/>
        <v>Z6 II</v>
      </c>
      <c r="U695" s="7" t="str">
        <f ca="1"/>
        <v>0x5013</v>
      </c>
      <c r="V695" s="7" t="str">
        <f ca="1"/>
        <v>StillCaptureMode</v>
      </c>
    </row>
    <row r="696" spans="20:25" x14ac:dyDescent="0.25">
      <c r="T696" s="7" t="str">
        <f ca="1"/>
        <v>Z6 II</v>
      </c>
      <c r="U696" s="7" t="str">
        <f ca="1"/>
        <v>0x5018</v>
      </c>
      <c r="V696" s="7" t="str">
        <f ca="1"/>
        <v>BurstNumber</v>
      </c>
    </row>
    <row r="697" spans="20:25" x14ac:dyDescent="0.25">
      <c r="T697" s="7" t="str">
        <f ca="1"/>
        <v>Z6 II</v>
      </c>
      <c r="U697" s="7" t="str">
        <f ca="1"/>
        <v>0x501E</v>
      </c>
      <c r="V697" s="7" t="str">
        <f ca="1"/>
        <v>Artist</v>
      </c>
    </row>
    <row r="698" spans="20:25" x14ac:dyDescent="0.25">
      <c r="T698" s="7" t="str">
        <f ca="1"/>
        <v>Z6 II</v>
      </c>
      <c r="U698" s="7" t="str">
        <f ca="1"/>
        <v>0x501F</v>
      </c>
      <c r="V698" s="7" t="str">
        <f ca="1"/>
        <v>Copyright</v>
      </c>
    </row>
    <row r="699" spans="20:25" x14ac:dyDescent="0.25">
      <c r="T699" s="7" t="str">
        <f ca="1"/>
        <v>Z6 II</v>
      </c>
      <c r="U699" s="7" t="str">
        <f ca="1"/>
        <v>0xD016</v>
      </c>
      <c r="V699" s="7" t="str">
        <f ca="1"/>
        <v>RawCompressionType</v>
      </c>
    </row>
    <row r="700" spans="20:25" x14ac:dyDescent="0.25">
      <c r="T700" s="7" t="str">
        <f ca="1"/>
        <v>Z6 II</v>
      </c>
      <c r="U700" s="7" t="str">
        <f ca="1"/>
        <v>0xD017</v>
      </c>
      <c r="V700" s="7" t="str">
        <f ca="1"/>
        <v>WbTuneAuto</v>
      </c>
    </row>
    <row r="701" spans="20:25" x14ac:dyDescent="0.25">
      <c r="T701" s="7" t="str">
        <f ca="1"/>
        <v>Z6 II</v>
      </c>
      <c r="U701" s="7" t="str">
        <f ca="1"/>
        <v>0xD018</v>
      </c>
      <c r="V701" s="7" t="str">
        <f ca="1"/>
        <v>WbTuneIncandescent</v>
      </c>
    </row>
    <row r="702" spans="20:25" x14ac:dyDescent="0.25">
      <c r="T702" s="7" t="str">
        <f ca="1"/>
        <v>Z6 II</v>
      </c>
      <c r="U702" s="7" t="str">
        <f ca="1"/>
        <v>0xD019</v>
      </c>
      <c r="V702" s="7" t="str">
        <f ca="1"/>
        <v>WbTuneFluorescent</v>
      </c>
    </row>
    <row r="703" spans="20:25" x14ac:dyDescent="0.25">
      <c r="T703" s="7" t="str">
        <f ca="1"/>
        <v>Z6 II</v>
      </c>
      <c r="U703" s="7" t="str">
        <f ca="1"/>
        <v>0xD01A</v>
      </c>
      <c r="V703" s="7" t="str">
        <f ca="1"/>
        <v>WbTuneSunny</v>
      </c>
    </row>
    <row r="704" spans="20:25" x14ac:dyDescent="0.25">
      <c r="T704" s="7" t="str">
        <f ca="1"/>
        <v>Z6 II</v>
      </c>
      <c r="U704" s="7" t="str">
        <f ca="1"/>
        <v>0xD01B</v>
      </c>
      <c r="V704" s="7" t="str">
        <f ca="1"/>
        <v>WbTuneFlash</v>
      </c>
    </row>
    <row r="705" spans="20:22" x14ac:dyDescent="0.25">
      <c r="T705" s="7" t="str">
        <f ca="1"/>
        <v>Z6 II</v>
      </c>
      <c r="U705" s="7" t="str">
        <f ca="1"/>
        <v>0xD01C</v>
      </c>
      <c r="V705" s="7" t="str">
        <f ca="1"/>
        <v>WbTuneCloudy</v>
      </c>
    </row>
    <row r="706" spans="20:22" x14ac:dyDescent="0.25">
      <c r="T706" s="7" t="str">
        <f ca="1"/>
        <v>Z6 II</v>
      </c>
      <c r="U706" s="7" t="str">
        <f ca="1"/>
        <v>0xD01D</v>
      </c>
      <c r="V706" s="7" t="str">
        <f ca="1"/>
        <v>WbTuneShade</v>
      </c>
    </row>
    <row r="707" spans="20:22" x14ac:dyDescent="0.25">
      <c r="T707" s="7" t="str">
        <f ca="1"/>
        <v>Z6 II</v>
      </c>
      <c r="U707" s="7" t="str">
        <f ca="1"/>
        <v>0xD01E</v>
      </c>
      <c r="V707" s="7" t="str">
        <f ca="1"/>
        <v>WbColorTemp</v>
      </c>
    </row>
    <row r="708" spans="20:22" x14ac:dyDescent="0.25">
      <c r="T708" s="7" t="str">
        <f ca="1"/>
        <v>Z6 II</v>
      </c>
      <c r="U708" s="7" t="str">
        <f ca="1"/>
        <v>0xD01F</v>
      </c>
      <c r="V708" s="7" t="str">
        <f ca="1"/>
        <v>WbPresetDataNo</v>
      </c>
    </row>
    <row r="709" spans="20:22" x14ac:dyDescent="0.25">
      <c r="T709" s="7" t="str">
        <f ca="1"/>
        <v>Z6 II</v>
      </c>
      <c r="U709" s="7" t="str">
        <f ca="1"/>
        <v>0xD021</v>
      </c>
      <c r="V709" s="7" t="str">
        <f ca="1"/>
        <v>WbPresetDataComment1</v>
      </c>
    </row>
    <row r="710" spans="20:22" x14ac:dyDescent="0.25">
      <c r="T710" s="7" t="str">
        <f ca="1"/>
        <v>Z6 II</v>
      </c>
      <c r="U710" s="7" t="str">
        <f ca="1"/>
        <v>0xD022</v>
      </c>
      <c r="V710" s="7" t="str">
        <f ca="1"/>
        <v>WbPresetDataComment2</v>
      </c>
    </row>
    <row r="711" spans="20:22" x14ac:dyDescent="0.25">
      <c r="T711" s="7" t="str">
        <f ca="1"/>
        <v>Z6 II</v>
      </c>
      <c r="U711" s="7" t="str">
        <f ca="1"/>
        <v>0xD023</v>
      </c>
      <c r="V711" s="7" t="str">
        <f ca="1"/>
        <v>WbPresetDataComment3</v>
      </c>
    </row>
    <row r="712" spans="20:22" x14ac:dyDescent="0.25">
      <c r="T712" s="7" t="str">
        <f ca="1"/>
        <v>Z6 II</v>
      </c>
      <c r="U712" s="7" t="str">
        <f ca="1"/>
        <v>0xD024</v>
      </c>
      <c r="V712" s="7" t="str">
        <f ca="1"/>
        <v>WbPresetDataComment4</v>
      </c>
    </row>
    <row r="713" spans="20:22" x14ac:dyDescent="0.25">
      <c r="T713" s="7" t="str">
        <f ca="1"/>
        <v>Z6 II</v>
      </c>
      <c r="U713" s="7" t="str">
        <f ca="1"/>
        <v>0xD026</v>
      </c>
      <c r="V713" s="7" t="str">
        <f ca="1"/>
        <v>WbPresetDataValue1</v>
      </c>
    </row>
    <row r="714" spans="20:22" x14ac:dyDescent="0.25">
      <c r="T714" s="7" t="str">
        <f ca="1"/>
        <v>Z6 II</v>
      </c>
      <c r="U714" s="7" t="str">
        <f ca="1"/>
        <v>0xD027</v>
      </c>
      <c r="V714" s="7" t="str">
        <f ca="1"/>
        <v>WbPresetDataValue2</v>
      </c>
    </row>
    <row r="715" spans="20:22" x14ac:dyDescent="0.25">
      <c r="T715" s="7" t="str">
        <f ca="1"/>
        <v>Z6 II</v>
      </c>
      <c r="U715" s="7" t="str">
        <f ca="1"/>
        <v>0xD028</v>
      </c>
      <c r="V715" s="7" t="str">
        <f ca="1"/>
        <v>WbPresetDataValue3</v>
      </c>
    </row>
    <row r="716" spans="20:22" x14ac:dyDescent="0.25">
      <c r="T716" s="7" t="str">
        <f ca="1"/>
        <v>Z6 II</v>
      </c>
      <c r="U716" s="7" t="str">
        <f ca="1"/>
        <v>0xD029</v>
      </c>
      <c r="V716" s="7" t="str">
        <f ca="1"/>
        <v>WbPresetDataValue4</v>
      </c>
    </row>
    <row r="717" spans="20:22" x14ac:dyDescent="0.25">
      <c r="T717" s="7" t="str">
        <f ca="1"/>
        <v>Z6 II</v>
      </c>
      <c r="U717" s="7" t="str">
        <f ca="1"/>
        <v>0xD02E</v>
      </c>
      <c r="V717" s="7" t="str">
        <f ca="1"/>
        <v>FmmManualSetting</v>
      </c>
    </row>
    <row r="718" spans="20:22" x14ac:dyDescent="0.25">
      <c r="T718" s="7" t="str">
        <f ca="1"/>
        <v>Z6 II</v>
      </c>
      <c r="U718" s="7" t="str">
        <f ca="1"/>
        <v>0xD02F</v>
      </c>
      <c r="V718" s="7" t="str">
        <f ca="1"/>
        <v>F0ManualSetting</v>
      </c>
    </row>
    <row r="719" spans="20:22" x14ac:dyDescent="0.25">
      <c r="T719" s="7" t="str">
        <f ca="1"/>
        <v>Z6 II</v>
      </c>
      <c r="U719" s="7" t="str">
        <f ca="1"/>
        <v>0xD030</v>
      </c>
      <c r="V719" s="7" t="str">
        <f ca="1"/>
        <v>CaptureAreaCrop</v>
      </c>
    </row>
    <row r="720" spans="20:22" x14ac:dyDescent="0.25">
      <c r="T720" s="7" t="str">
        <f ca="1"/>
        <v>Z6 II</v>
      </c>
      <c r="U720" s="7" t="str">
        <f ca="1"/>
        <v>0xD032</v>
      </c>
      <c r="V720" s="7" t="str">
        <f ca="1"/>
        <v>ColorSpace</v>
      </c>
    </row>
    <row r="721" spans="20:22" x14ac:dyDescent="0.25">
      <c r="T721" s="7" t="str">
        <f ca="1"/>
        <v>Z6 II</v>
      </c>
      <c r="U721" s="7" t="str">
        <f ca="1"/>
        <v>0xD034</v>
      </c>
      <c r="V721" s="7" t="str">
        <f ca="1"/>
        <v>DecreaseFlicker</v>
      </c>
    </row>
    <row r="722" spans="20:22" x14ac:dyDescent="0.25">
      <c r="T722" s="7" t="str">
        <f ca="1"/>
        <v>Z6 II</v>
      </c>
      <c r="U722" s="7" t="str">
        <f ca="1"/>
        <v>0xD038</v>
      </c>
      <c r="V722" s="7" t="str">
        <f ca="1"/>
        <v>WbPresetDataComment5</v>
      </c>
    </row>
    <row r="723" spans="20:22" x14ac:dyDescent="0.25">
      <c r="T723" s="7" t="str">
        <f ca="1"/>
        <v>Z6 II</v>
      </c>
      <c r="U723" s="7" t="str">
        <f ca="1"/>
        <v>0xD039</v>
      </c>
      <c r="V723" s="7" t="str">
        <f ca="1"/>
        <v>WbPresetDataComment6</v>
      </c>
    </row>
    <row r="724" spans="20:22" x14ac:dyDescent="0.25">
      <c r="T724" s="7" t="str">
        <f ca="1"/>
        <v>Z6 II</v>
      </c>
      <c r="U724" s="7" t="str">
        <f ca="1"/>
        <v>0xD03A</v>
      </c>
      <c r="V724" s="7" t="str">
        <f ca="1"/>
        <v>WbTunePreset5</v>
      </c>
    </row>
    <row r="725" spans="20:22" x14ac:dyDescent="0.25">
      <c r="T725" s="7" t="str">
        <f ca="1"/>
        <v>Z6 II</v>
      </c>
      <c r="U725" s="7" t="str">
        <f ca="1"/>
        <v>0xD03B</v>
      </c>
      <c r="V725" s="7" t="str">
        <f ca="1"/>
        <v>WbTunePreset6</v>
      </c>
    </row>
    <row r="726" spans="20:22" x14ac:dyDescent="0.25">
      <c r="T726" s="7" t="str">
        <f ca="1"/>
        <v>Z6 II</v>
      </c>
      <c r="U726" s="7" t="str">
        <f ca="1"/>
        <v>0xD03C</v>
      </c>
      <c r="V726" s="7" t="str">
        <f ca="1"/>
        <v>WbPresetProtect5</v>
      </c>
    </row>
    <row r="727" spans="20:22" x14ac:dyDescent="0.25">
      <c r="T727" s="7" t="str">
        <f ca="1"/>
        <v>Z6 II</v>
      </c>
      <c r="U727" s="7" t="str">
        <f ca="1"/>
        <v>0xD03D</v>
      </c>
      <c r="V727" s="7" t="str">
        <f ca="1"/>
        <v>WbPresetProtect6</v>
      </c>
    </row>
    <row r="728" spans="20:22" x14ac:dyDescent="0.25">
      <c r="T728" s="7" t="str">
        <f ca="1"/>
        <v>Z6 II</v>
      </c>
      <c r="U728" s="7" t="str">
        <f ca="1"/>
        <v>0xD03E</v>
      </c>
      <c r="V728" s="7" t="str">
        <f ca="1"/>
        <v>WbPresetDataValue5</v>
      </c>
    </row>
    <row r="729" spans="20:22" x14ac:dyDescent="0.25">
      <c r="T729" s="7" t="str">
        <f ca="1"/>
        <v>Z6 II</v>
      </c>
      <c r="U729" s="7" t="str">
        <f ca="1"/>
        <v>0xD03F</v>
      </c>
      <c r="V729" s="7" t="str">
        <f ca="1"/>
        <v>WbPresetDataValue6</v>
      </c>
    </row>
    <row r="730" spans="20:22" x14ac:dyDescent="0.25">
      <c r="T730" s="7" t="str">
        <f ca="1"/>
        <v>Z6 II</v>
      </c>
      <c r="U730" s="7" t="str">
        <f ca="1"/>
        <v>0xD046</v>
      </c>
      <c r="V730" s="7" t="str">
        <f ca="1"/>
        <v>AFStillLockOnAcross</v>
      </c>
    </row>
    <row r="731" spans="20:22" x14ac:dyDescent="0.25">
      <c r="T731" s="7" t="str">
        <f ca="1"/>
        <v>Z6 II</v>
      </c>
      <c r="U731" s="7" t="str">
        <f ca="1"/>
        <v>0xD048</v>
      </c>
      <c r="V731" s="7" t="str">
        <f ca="1"/>
        <v>DynamicAFonAFC</v>
      </c>
    </row>
    <row r="732" spans="20:22" x14ac:dyDescent="0.25">
      <c r="T732" s="7" t="str">
        <f ca="1"/>
        <v>Z6 II</v>
      </c>
      <c r="U732" s="7" t="str">
        <f ca="1"/>
        <v>0xD049</v>
      </c>
      <c r="V732" s="7" t="str">
        <f ca="1"/>
        <v>DynamicAFonAFS</v>
      </c>
    </row>
    <row r="733" spans="20:22" x14ac:dyDescent="0.25">
      <c r="T733" s="7" t="str">
        <f ca="1"/>
        <v>Z6 II</v>
      </c>
      <c r="U733" s="7" t="str">
        <f ca="1"/>
        <v>0xD053</v>
      </c>
      <c r="V733" s="7" t="str">
        <f ca="1"/>
        <v>EnableCopyright</v>
      </c>
    </row>
    <row r="734" spans="20:22" x14ac:dyDescent="0.25">
      <c r="T734" s="7" t="str">
        <f ca="1"/>
        <v>Z6 II</v>
      </c>
      <c r="U734" s="7" t="str">
        <f ca="1"/>
        <v>0xD054</v>
      </c>
      <c r="V734" s="7" t="str">
        <f ca="1"/>
        <v>ISOAutoControl</v>
      </c>
    </row>
    <row r="735" spans="20:22" x14ac:dyDescent="0.25">
      <c r="T735" s="7" t="str">
        <f ca="1"/>
        <v>Z6 II</v>
      </c>
      <c r="U735" s="7" t="str">
        <f ca="1"/>
        <v>0xD056</v>
      </c>
      <c r="V735" s="7" t="str">
        <f ca="1"/>
        <v>ExposureEVStep</v>
      </c>
    </row>
    <row r="736" spans="20:22" x14ac:dyDescent="0.25">
      <c r="T736" s="7" t="str">
        <f ca="1"/>
        <v>Z6 II</v>
      </c>
      <c r="U736" s="7" t="str">
        <f ca="1"/>
        <v>0xD059</v>
      </c>
      <c r="V736" s="7" t="str">
        <f ca="1"/>
        <v>CenterWeightedExRange</v>
      </c>
    </row>
    <row r="737" spans="20:22" x14ac:dyDescent="0.25">
      <c r="T737" s="7" t="str">
        <f ca="1"/>
        <v>Z6 II</v>
      </c>
      <c r="U737" s="7" t="str">
        <f ca="1"/>
        <v>0xD05A</v>
      </c>
      <c r="V737" s="7" t="str">
        <f ca="1"/>
        <v>ExposureBaseCompMatrix</v>
      </c>
    </row>
    <row r="738" spans="20:22" x14ac:dyDescent="0.25">
      <c r="T738" s="7" t="str">
        <f ca="1"/>
        <v>Z6 II</v>
      </c>
      <c r="U738" s="7" t="str">
        <f ca="1"/>
        <v>0xD05B</v>
      </c>
      <c r="V738" s="7" t="str">
        <f ca="1"/>
        <v>ExposureBaseCompCenter</v>
      </c>
    </row>
    <row r="739" spans="20:22" x14ac:dyDescent="0.25">
      <c r="T739" s="7" t="str">
        <f ca="1"/>
        <v>Z6 II</v>
      </c>
      <c r="U739" s="7" t="str">
        <f ca="1"/>
        <v>0xD05C</v>
      </c>
      <c r="V739" s="7" t="str">
        <f ca="1"/>
        <v>ExposureBaseCompSpot</v>
      </c>
    </row>
    <row r="740" spans="20:22" x14ac:dyDescent="0.25">
      <c r="T740" s="7" t="str">
        <f ca="1"/>
        <v>Z6 II</v>
      </c>
      <c r="U740" s="7" t="str">
        <f ca="1"/>
        <v>0xD05D</v>
      </c>
      <c r="V740" s="7" t="str">
        <f ca="1"/>
        <v>StillFocusMeteringMode</v>
      </c>
    </row>
    <row r="741" spans="20:22" x14ac:dyDescent="0.25">
      <c r="T741" s="7" t="str">
        <f ca="1"/>
        <v>Z6 II</v>
      </c>
      <c r="U741" s="7" t="str">
        <f ca="1"/>
        <v>0xD061</v>
      </c>
      <c r="V741" s="7" t="str">
        <f ca="1"/>
        <v>StillFocusMode</v>
      </c>
    </row>
    <row r="742" spans="20:22" x14ac:dyDescent="0.25">
      <c r="T742" s="7" t="str">
        <f ca="1"/>
        <v>Z6 II</v>
      </c>
      <c r="U742" s="7" t="str">
        <f ca="1"/>
        <v>0xD067</v>
      </c>
      <c r="V742" s="7" t="str">
        <f ca="1"/>
        <v>AngleLevel</v>
      </c>
    </row>
    <row r="743" spans="20:22" x14ac:dyDescent="0.25">
      <c r="T743" s="7" t="str">
        <f ca="1"/>
        <v>Z6 II</v>
      </c>
      <c r="U743" s="7" t="str">
        <f ca="1"/>
        <v>0xD068</v>
      </c>
      <c r="V743" s="7" t="str">
        <f ca="1"/>
        <v>CSpeedLow</v>
      </c>
    </row>
    <row r="744" spans="20:22" x14ac:dyDescent="0.25">
      <c r="T744" s="7" t="str">
        <f ca="1"/>
        <v>Z6 II</v>
      </c>
      <c r="U744" s="7" t="str">
        <f ca="1"/>
        <v>0xD069</v>
      </c>
      <c r="V744" s="7" t="str">
        <f ca="1"/>
        <v>BurstMaxNumber</v>
      </c>
    </row>
    <row r="745" spans="20:22" x14ac:dyDescent="0.25">
      <c r="T745" s="7" t="str">
        <f ca="1"/>
        <v>Z6 II</v>
      </c>
      <c r="U745" s="7" t="str">
        <f ca="1"/>
        <v>0xD06A</v>
      </c>
      <c r="V745" s="7" t="str">
        <f ca="1"/>
        <v>ExposureDelay</v>
      </c>
    </row>
    <row r="746" spans="20:22" x14ac:dyDescent="0.25">
      <c r="T746" s="7" t="str">
        <f ca="1"/>
        <v>Z6 II</v>
      </c>
      <c r="U746" s="7" t="str">
        <f ca="1"/>
        <v>0xD06B</v>
      </c>
      <c r="V746" s="7" t="str">
        <f ca="1"/>
        <v>NoiseReduction</v>
      </c>
    </row>
    <row r="747" spans="20:22" x14ac:dyDescent="0.25">
      <c r="T747" s="7" t="str">
        <f ca="1"/>
        <v>Z6 II</v>
      </c>
      <c r="U747" s="7" t="str">
        <f ca="1"/>
        <v>0xD06C</v>
      </c>
      <c r="V747" s="7" t="str">
        <f ca="1"/>
        <v>NumberingMode</v>
      </c>
    </row>
    <row r="748" spans="20:22" x14ac:dyDescent="0.25">
      <c r="T748" s="7" t="str">
        <f ca="1"/>
        <v>Z6 II</v>
      </c>
      <c r="U748" s="7" t="str">
        <f ca="1"/>
        <v>0xD070</v>
      </c>
      <c r="V748" s="7" t="str">
        <f ca="1"/>
        <v>NoiseReductionHiIso</v>
      </c>
    </row>
    <row r="749" spans="20:22" x14ac:dyDescent="0.25">
      <c r="T749" s="7" t="str">
        <f ca="1"/>
        <v>Z6 II</v>
      </c>
      <c r="U749" s="7" t="str">
        <f ca="1"/>
        <v>0xD072</v>
      </c>
      <c r="V749" s="7" t="str">
        <f ca="1"/>
        <v>ArtistV</v>
      </c>
    </row>
    <row r="750" spans="20:22" x14ac:dyDescent="0.25">
      <c r="T750" s="7" t="str">
        <f ca="1"/>
        <v>Z6 II</v>
      </c>
      <c r="U750" s="7" t="str">
        <f ca="1"/>
        <v>0xD073</v>
      </c>
      <c r="V750" s="7" t="str">
        <f ca="1"/>
        <v>CopyrightV</v>
      </c>
    </row>
    <row r="751" spans="20:22" x14ac:dyDescent="0.25">
      <c r="T751" s="7" t="str">
        <f ca="1"/>
        <v>Z6 II</v>
      </c>
      <c r="U751" s="7" t="str">
        <f ca="1"/>
        <v>0xD074</v>
      </c>
      <c r="V751" s="7" t="str">
        <f ca="1"/>
        <v>FlashSyncSpeed</v>
      </c>
    </row>
    <row r="752" spans="20:22" x14ac:dyDescent="0.25">
      <c r="T752" s="7" t="str">
        <f ca="1"/>
        <v>Z6 II</v>
      </c>
      <c r="U752" s="7" t="str">
        <f ca="1"/>
        <v>0xD075</v>
      </c>
      <c r="V752" s="7" t="str">
        <f ca="1"/>
        <v>FlashSlowSpeedLimit</v>
      </c>
    </row>
    <row r="753" spans="20:22" x14ac:dyDescent="0.25">
      <c r="T753" s="7" t="str">
        <f ca="1"/>
        <v>Z6 II</v>
      </c>
      <c r="U753" s="7" t="str">
        <f ca="1"/>
        <v>0xD078</v>
      </c>
      <c r="V753" s="7" t="str">
        <f ca="1"/>
        <v>BracketingType</v>
      </c>
    </row>
    <row r="754" spans="20:22" x14ac:dyDescent="0.25">
      <c r="T754" s="7" t="str">
        <f ca="1"/>
        <v>Z6 II</v>
      </c>
      <c r="U754" s="7" t="str">
        <f ca="1"/>
        <v>0xD079</v>
      </c>
      <c r="V754" s="7" t="str">
        <f ca="1"/>
        <v>SelectBracketChangeFactor</v>
      </c>
    </row>
    <row r="755" spans="20:22" x14ac:dyDescent="0.25">
      <c r="T755" s="7" t="str">
        <f ca="1"/>
        <v>Z6 II</v>
      </c>
      <c r="U755" s="7" t="str">
        <f ca="1"/>
        <v>0xD07A</v>
      </c>
      <c r="V755" s="7" t="str">
        <f ca="1"/>
        <v>BracketingOrder</v>
      </c>
    </row>
    <row r="756" spans="20:22" x14ac:dyDescent="0.25">
      <c r="T756" s="7" t="str">
        <f ca="1"/>
        <v>Z6 II</v>
      </c>
      <c r="U756" s="7" t="str">
        <f ca="1"/>
        <v>0xD07D</v>
      </c>
      <c r="V756" s="7" t="str">
        <f ca="1"/>
        <v>AngleLevelPitching</v>
      </c>
    </row>
    <row r="757" spans="20:22" x14ac:dyDescent="0.25">
      <c r="T757" s="7" t="str">
        <f ca="1"/>
        <v>Z6 II</v>
      </c>
      <c r="U757" s="7" t="str">
        <f ca="1"/>
        <v>0xD07E</v>
      </c>
      <c r="V757" s="7" t="str">
        <f ca="1"/>
        <v>AngleLevelYawing</v>
      </c>
    </row>
    <row r="758" spans="20:22" x14ac:dyDescent="0.25">
      <c r="T758" s="7" t="str">
        <f ca="1"/>
        <v>Z6 II</v>
      </c>
      <c r="U758" s="7" t="str">
        <f ca="1"/>
        <v>0xD08A</v>
      </c>
      <c r="V758" s="7" t="str">
        <f ca="1"/>
        <v>EnableShutter</v>
      </c>
    </row>
    <row r="759" spans="20:22" x14ac:dyDescent="0.25">
      <c r="T759" s="7" t="str">
        <f ca="1"/>
        <v>Z6 II</v>
      </c>
      <c r="U759" s="7" t="str">
        <f ca="1"/>
        <v>0xD08D</v>
      </c>
      <c r="V759" s="7" t="str">
        <f ca="1"/>
        <v>EnableAFAreaPoint</v>
      </c>
    </row>
    <row r="760" spans="20:22" x14ac:dyDescent="0.25">
      <c r="T760" s="7" t="str">
        <f ca="1"/>
        <v>Z6 II</v>
      </c>
      <c r="U760" s="7" t="str">
        <f ca="1"/>
        <v>0xD08F</v>
      </c>
      <c r="V760" s="7" t="str">
        <f ca="1"/>
        <v>ImageSensorCleaning</v>
      </c>
    </row>
    <row r="761" spans="20:22" x14ac:dyDescent="0.25">
      <c r="T761" s="7" t="str">
        <f ca="1"/>
        <v>Z6 II</v>
      </c>
      <c r="U761" s="7" t="str">
        <f ca="1"/>
        <v>0xD090</v>
      </c>
      <c r="V761" s="7" t="str">
        <f ca="1"/>
        <v>CommentString</v>
      </c>
    </row>
    <row r="762" spans="20:22" x14ac:dyDescent="0.25">
      <c r="T762" s="7" t="str">
        <f ca="1"/>
        <v>Z6 II</v>
      </c>
      <c r="U762" s="7" t="str">
        <f ca="1"/>
        <v>0xD091</v>
      </c>
      <c r="V762" s="7" t="str">
        <f ca="1"/>
        <v>EnableComment</v>
      </c>
    </row>
    <row r="763" spans="20:22" x14ac:dyDescent="0.25">
      <c r="T763" s="7" t="str">
        <f ca="1"/>
        <v>Z6 II</v>
      </c>
      <c r="U763" s="7" t="str">
        <f ca="1"/>
        <v>0xD093</v>
      </c>
      <c r="V763" s="7" t="str">
        <f ca="1"/>
        <v>ManualSettingLensNo</v>
      </c>
    </row>
    <row r="764" spans="20:22" x14ac:dyDescent="0.25">
      <c r="T764" s="7" t="str">
        <f ca="1"/>
        <v>Z6 II</v>
      </c>
      <c r="U764" s="7" t="str">
        <f ca="1"/>
        <v>0xD09C</v>
      </c>
      <c r="V764" s="7" t="str">
        <f ca="1"/>
        <v>RetractableLensWarning</v>
      </c>
    </row>
    <row r="765" spans="20:22" x14ac:dyDescent="0.25">
      <c r="T765" s="7" t="str">
        <f ca="1"/>
        <v>Z6 II</v>
      </c>
      <c r="U765" s="7" t="str">
        <f ca="1"/>
        <v>0xD0A0</v>
      </c>
      <c r="V765" s="7" t="str">
        <f ca="1"/>
        <v>MovieRecordScreenSize</v>
      </c>
    </row>
    <row r="766" spans="20:22" x14ac:dyDescent="0.25">
      <c r="T766" s="7" t="str">
        <f ca="1"/>
        <v>Z6 II</v>
      </c>
      <c r="U766" s="7" t="str">
        <f ca="1"/>
        <v>0xD0A2</v>
      </c>
      <c r="V766" s="7" t="str">
        <f ca="1"/>
        <v>MovieRecordMicrophoneLevel</v>
      </c>
    </row>
    <row r="767" spans="20:22" x14ac:dyDescent="0.25">
      <c r="T767" s="7" t="str">
        <f ca="1"/>
        <v>Z6 II</v>
      </c>
      <c r="U767" s="7" t="str">
        <f ca="1"/>
        <v>0xD0A3</v>
      </c>
      <c r="V767" s="7" t="str">
        <f ca="1"/>
        <v>MovieRecordDestination</v>
      </c>
    </row>
    <row r="768" spans="20:22" x14ac:dyDescent="0.25">
      <c r="T768" s="7" t="str">
        <f ca="1"/>
        <v>Z6 II</v>
      </c>
      <c r="U768" s="7" t="str">
        <f ca="1"/>
        <v>0xD0A4</v>
      </c>
      <c r="V768" s="7" t="str">
        <f ca="1"/>
        <v>MovieRecProhibitionCondition</v>
      </c>
    </row>
    <row r="769" spans="20:22" x14ac:dyDescent="0.25">
      <c r="T769" s="7" t="str">
        <f ca="1"/>
        <v>Z6 II</v>
      </c>
      <c r="U769" s="7" t="str">
        <f ca="1"/>
        <v>0xD0A7</v>
      </c>
      <c r="V769" s="7" t="str">
        <f ca="1"/>
        <v>MovieRecordQuality</v>
      </c>
    </row>
    <row r="770" spans="20:22" x14ac:dyDescent="0.25">
      <c r="T770" s="7" t="str">
        <f ca="1"/>
        <v>Z6 II</v>
      </c>
      <c r="U770" s="7" t="str">
        <f ca="1"/>
        <v>0xD0A8</v>
      </c>
      <c r="V770" s="7" t="str">
        <f ca="1"/>
        <v>MovieRecordMicrophoneLevelValue</v>
      </c>
    </row>
    <row r="771" spans="20:22" x14ac:dyDescent="0.25">
      <c r="T771" s="7" t="str">
        <f ca="1"/>
        <v>Z6 II</v>
      </c>
      <c r="U771" s="7" t="str">
        <f ca="1"/>
        <v>0xD0AA</v>
      </c>
      <c r="V771" s="7" t="str">
        <f ca="1"/>
        <v>MovieWindNoiseReduction</v>
      </c>
    </row>
    <row r="772" spans="20:22" x14ac:dyDescent="0.25">
      <c r="T772" s="7" t="str">
        <f ca="1"/>
        <v>Z6 II</v>
      </c>
      <c r="U772" s="7" t="str">
        <f ca="1"/>
        <v>0xD0AC</v>
      </c>
      <c r="V772" s="7" t="str">
        <f ca="1"/>
        <v>MovieRecordingZone</v>
      </c>
    </row>
    <row r="773" spans="20:22" x14ac:dyDescent="0.25">
      <c r="T773" s="7" t="str">
        <f ca="1"/>
        <v>Z6 II</v>
      </c>
      <c r="U773" s="7" t="str">
        <f ca="1"/>
        <v>0xD0AD</v>
      </c>
      <c r="V773" s="7" t="str">
        <f ca="1"/>
        <v>MovieISOAutoControl</v>
      </c>
    </row>
    <row r="774" spans="20:22" x14ac:dyDescent="0.25">
      <c r="T774" s="7" t="str">
        <f ca="1"/>
        <v>Z6 II</v>
      </c>
      <c r="U774" s="7" t="str">
        <f ca="1"/>
        <v>0xD0AE</v>
      </c>
      <c r="V774" s="7" t="str">
        <f ca="1"/>
        <v>MovieISOAutoHighLimit</v>
      </c>
    </row>
    <row r="775" spans="20:22" x14ac:dyDescent="0.25">
      <c r="T775" s="7" t="str">
        <f ca="1"/>
        <v>Z6 II</v>
      </c>
      <c r="U775" s="7" t="str">
        <f ca="1"/>
        <v>0xD0AF</v>
      </c>
      <c r="V775" s="7" t="str">
        <f ca="1"/>
        <v>MovieFileType</v>
      </c>
    </row>
    <row r="776" spans="20:22" x14ac:dyDescent="0.25">
      <c r="T776" s="7" t="str">
        <f ca="1"/>
        <v>Z6 II</v>
      </c>
      <c r="U776" s="7" t="str">
        <f ca="1"/>
        <v>0xD0B4</v>
      </c>
      <c r="V776" s="7" t="str">
        <f ca="1"/>
        <v>ExposureIndexEx</v>
      </c>
    </row>
    <row r="777" spans="20:22" x14ac:dyDescent="0.25">
      <c r="T777" s="7" t="str">
        <f ca="1"/>
        <v>Z6 II</v>
      </c>
      <c r="U777" s="7" t="str">
        <f ca="1"/>
        <v>0xD0B5</v>
      </c>
      <c r="V777" s="7" t="str">
        <f ca="1"/>
        <v>ISOControlSensitivity</v>
      </c>
    </row>
    <row r="778" spans="20:22" x14ac:dyDescent="0.25">
      <c r="T778" s="7" t="str">
        <f ca="1"/>
        <v>Z6 II</v>
      </c>
      <c r="U778" s="7" t="str">
        <f ca="1"/>
        <v>0xD0B6</v>
      </c>
      <c r="V778" s="7" t="str">
        <f ca="1"/>
        <v>RawImageSize</v>
      </c>
    </row>
    <row r="779" spans="20:22" x14ac:dyDescent="0.25">
      <c r="T779" s="7" t="str">
        <f ca="1"/>
        <v>Z6 II</v>
      </c>
      <c r="U779" s="7" t="str">
        <f ca="1"/>
        <v>0xD0B7</v>
      </c>
      <c r="V779" s="7" t="str">
        <f ca="1"/>
        <v>FlickerReductionSetting</v>
      </c>
    </row>
    <row r="780" spans="20:22" x14ac:dyDescent="0.25">
      <c r="T780" s="7" t="str">
        <f ca="1"/>
        <v>Z6 II</v>
      </c>
      <c r="U780" s="7" t="str">
        <f ca="1"/>
        <v>0xD0BA</v>
      </c>
      <c r="V780" s="7" t="str">
        <f ca="1"/>
        <v>DiffractionCompensation</v>
      </c>
    </row>
    <row r="781" spans="20:22" x14ac:dyDescent="0.25">
      <c r="T781" s="7" t="str">
        <f ca="1"/>
        <v>Z6 II</v>
      </c>
      <c r="U781" s="7" t="str">
        <f ca="1"/>
        <v>0xD0BB</v>
      </c>
      <c r="V781" s="7" t="str">
        <f ca="1"/>
        <v>MovieLogOutput</v>
      </c>
    </row>
    <row r="782" spans="20:22" x14ac:dyDescent="0.25">
      <c r="T782" s="7" t="str">
        <f ca="1"/>
        <v>Z6 II</v>
      </c>
      <c r="U782" s="7" t="str">
        <f ca="1"/>
        <v>0xD0BC</v>
      </c>
      <c r="V782" s="7" t="str">
        <f ca="1"/>
        <v>MovieAutoDistortion</v>
      </c>
    </row>
    <row r="783" spans="20:22" x14ac:dyDescent="0.25">
      <c r="T783" s="7" t="str">
        <f ca="1"/>
        <v>Z6 II</v>
      </c>
      <c r="U783" s="7" t="str">
        <f ca="1"/>
        <v>0xD0BE</v>
      </c>
      <c r="V783" s="7" t="str">
        <f ca="1"/>
        <v>RemainingExposureTime</v>
      </c>
    </row>
    <row r="784" spans="20:22" x14ac:dyDescent="0.25">
      <c r="T784" s="7" t="str">
        <f ca="1"/>
        <v>Z6 II</v>
      </c>
      <c r="U784" s="7" t="str">
        <f ca="1"/>
        <v>0xD0BF</v>
      </c>
      <c r="V784" s="7" t="str">
        <f ca="1"/>
        <v>MovieLogSetting</v>
      </c>
    </row>
    <row r="785" spans="20:22" x14ac:dyDescent="0.25">
      <c r="T785" s="7" t="str">
        <f ca="1"/>
        <v>Z6 II</v>
      </c>
      <c r="U785" s="7" t="str">
        <f ca="1"/>
        <v>0xD0C0</v>
      </c>
      <c r="V785" s="7" t="str">
        <f ca="1"/>
        <v>EnableBracketing</v>
      </c>
    </row>
    <row r="786" spans="20:22" x14ac:dyDescent="0.25">
      <c r="T786" s="7" t="str">
        <f ca="1"/>
        <v>Z6 II</v>
      </c>
      <c r="U786" s="7" t="str">
        <f ca="1"/>
        <v>0xD0C1</v>
      </c>
      <c r="V786" s="7" t="str">
        <f ca="1"/>
        <v>AEBracketingStep</v>
      </c>
    </row>
    <row r="787" spans="20:22" x14ac:dyDescent="0.25">
      <c r="T787" s="7" t="str">
        <f ca="1"/>
        <v>Z6 II</v>
      </c>
      <c r="U787" s="7" t="str">
        <f ca="1"/>
        <v>0xD0C2</v>
      </c>
      <c r="V787" s="7" t="str">
        <f ca="1"/>
        <v>AEBracketingPattern</v>
      </c>
    </row>
    <row r="788" spans="20:22" x14ac:dyDescent="0.25">
      <c r="T788" s="7" t="str">
        <f ca="1"/>
        <v>Z6 II</v>
      </c>
      <c r="U788" s="7" t="str">
        <f ca="1"/>
        <v>0xD0C3</v>
      </c>
      <c r="V788" s="7" t="str">
        <f ca="1"/>
        <v>AEBracketingCount</v>
      </c>
    </row>
    <row r="789" spans="20:22" x14ac:dyDescent="0.25">
      <c r="T789" s="7" t="str">
        <f ca="1"/>
        <v>Z6 II</v>
      </c>
      <c r="U789" s="7" t="str">
        <f ca="1"/>
        <v>0xD0C4</v>
      </c>
      <c r="V789" s="7" t="str">
        <f ca="1"/>
        <v>WBBracketingStep</v>
      </c>
    </row>
    <row r="790" spans="20:22" x14ac:dyDescent="0.25">
      <c r="T790" s="7" t="str">
        <f ca="1"/>
        <v>Z6 II</v>
      </c>
      <c r="U790" s="7" t="str">
        <f ca="1"/>
        <v>0xD0C5</v>
      </c>
      <c r="V790" s="7" t="str">
        <f ca="1"/>
        <v>WBBracketingPattern</v>
      </c>
    </row>
    <row r="791" spans="20:22" x14ac:dyDescent="0.25">
      <c r="T791" s="7" t="str">
        <f ca="1"/>
        <v>Z6 II</v>
      </c>
      <c r="U791" s="7" t="str">
        <f ca="1"/>
        <v>0xD0C6</v>
      </c>
      <c r="V791" s="7" t="str">
        <f ca="1"/>
        <v>ADLBracketingPattern</v>
      </c>
    </row>
    <row r="792" spans="20:22" x14ac:dyDescent="0.25">
      <c r="T792" s="7" t="str">
        <f ca="1"/>
        <v>Z6 II</v>
      </c>
      <c r="U792" s="7" t="str">
        <f ca="1"/>
        <v>0xD0C7</v>
      </c>
      <c r="V792" s="7" t="str">
        <f ca="1"/>
        <v>ADLBracketingStep</v>
      </c>
    </row>
    <row r="793" spans="20:22" x14ac:dyDescent="0.25">
      <c r="T793" s="7" t="str">
        <f ca="1"/>
        <v>Z6 II</v>
      </c>
      <c r="U793" s="7" t="str">
        <f ca="1"/>
        <v>0xD0CC</v>
      </c>
      <c r="V793" s="7" t="str">
        <f ca="1"/>
        <v>HDMIOutputDataDepth</v>
      </c>
    </row>
    <row r="794" spans="20:22" x14ac:dyDescent="0.25">
      <c r="T794" s="7" t="str">
        <f ca="1"/>
        <v>Z6 II</v>
      </c>
      <c r="U794" s="7" t="str">
        <f ca="1"/>
        <v>0xD0CD</v>
      </c>
      <c r="V794" s="7" t="str">
        <f ca="1"/>
        <v>SaveFocusPosition</v>
      </c>
    </row>
    <row r="795" spans="20:22" x14ac:dyDescent="0.25">
      <c r="T795" s="7" t="str">
        <f ca="1"/>
        <v>Z6 II</v>
      </c>
      <c r="U795" s="7" t="str">
        <f ca="1"/>
        <v>0xD0E0</v>
      </c>
      <c r="V795" s="7" t="str">
        <f ca="1"/>
        <v>LensID</v>
      </c>
    </row>
    <row r="796" spans="20:22" x14ac:dyDescent="0.25">
      <c r="T796" s="7" t="str">
        <f ca="1"/>
        <v>Z6 II</v>
      </c>
      <c r="U796" s="7" t="str">
        <f ca="1"/>
        <v>0xD0E1</v>
      </c>
      <c r="V796" s="7" t="str">
        <f ca="1"/>
        <v>LensSort</v>
      </c>
    </row>
    <row r="797" spans="20:22" x14ac:dyDescent="0.25">
      <c r="T797" s="7" t="str">
        <f ca="1"/>
        <v>Z6 II</v>
      </c>
      <c r="U797" s="7" t="str">
        <f ca="1"/>
        <v>0xD0E2</v>
      </c>
      <c r="V797" s="7" t="str">
        <f ca="1"/>
        <v>LensTypeF</v>
      </c>
    </row>
    <row r="798" spans="20:22" x14ac:dyDescent="0.25">
      <c r="T798" s="7" t="str">
        <f ca="1"/>
        <v>Z6 II</v>
      </c>
      <c r="U798" s="7" t="str">
        <f ca="1"/>
        <v>0xD0E3</v>
      </c>
      <c r="V798" s="7" t="str">
        <f ca="1"/>
        <v>LensFocalMin</v>
      </c>
    </row>
    <row r="799" spans="20:22" x14ac:dyDescent="0.25">
      <c r="T799" s="7" t="str">
        <f ca="1"/>
        <v>Z6 II</v>
      </c>
      <c r="U799" s="7" t="str">
        <f ca="1"/>
        <v>0xD0E4</v>
      </c>
      <c r="V799" s="7" t="str">
        <f ca="1"/>
        <v>LensFocalMax</v>
      </c>
    </row>
    <row r="800" spans="20:22" x14ac:dyDescent="0.25">
      <c r="T800" s="7" t="str">
        <f ca="1"/>
        <v>Z6 II</v>
      </c>
      <c r="U800" s="7" t="str">
        <f ca="1"/>
        <v>0xD0E5</v>
      </c>
      <c r="V800" s="7" t="str">
        <f ca="1"/>
        <v>LensApatureMin</v>
      </c>
    </row>
    <row r="801" spans="20:22" x14ac:dyDescent="0.25">
      <c r="T801" s="7" t="str">
        <f ca="1"/>
        <v>Z6 II</v>
      </c>
      <c r="U801" s="7" t="str">
        <f ca="1"/>
        <v>0xD0E6</v>
      </c>
      <c r="V801" s="7" t="str">
        <f ca="1"/>
        <v>LensApatureMax</v>
      </c>
    </row>
    <row r="802" spans="20:22" x14ac:dyDescent="0.25">
      <c r="T802" s="7" t="str">
        <f ca="1"/>
        <v>Z6 II</v>
      </c>
      <c r="U802" s="7" t="str">
        <f ca="1"/>
        <v>0xD0E7</v>
      </c>
      <c r="V802" s="7" t="str">
        <f ca="1"/>
        <v>LensTypeML</v>
      </c>
    </row>
    <row r="803" spans="20:22" x14ac:dyDescent="0.25">
      <c r="T803" s="7" t="str">
        <f ca="1"/>
        <v>Z6 II</v>
      </c>
      <c r="U803" s="7" t="str">
        <f ca="1"/>
        <v>0xD0F7</v>
      </c>
      <c r="V803" s="7" t="str">
        <f ca="1"/>
        <v>VignetteControl</v>
      </c>
    </row>
    <row r="804" spans="20:22" x14ac:dyDescent="0.25">
      <c r="T804" s="7" t="str">
        <f ca="1"/>
        <v>Z6 II</v>
      </c>
      <c r="U804" s="7" t="str">
        <f ca="1"/>
        <v>0xD0F8</v>
      </c>
      <c r="V804" s="7" t="str">
        <f ca="1"/>
        <v>AutoDistortion</v>
      </c>
    </row>
    <row r="805" spans="20:22" x14ac:dyDescent="0.25">
      <c r="T805" s="7" t="str">
        <f ca="1"/>
        <v>Z6 II</v>
      </c>
      <c r="U805" s="7" t="str">
        <f ca="1"/>
        <v>0xD0FC</v>
      </c>
      <c r="V805" s="7" t="str">
        <f ca="1"/>
        <v>UserMode</v>
      </c>
    </row>
    <row r="806" spans="20:22" x14ac:dyDescent="0.25">
      <c r="T806" s="7" t="str">
        <f ca="1"/>
        <v>Z6 II</v>
      </c>
      <c r="U806" s="7" t="str">
        <f ca="1"/>
        <v>0xD100</v>
      </c>
      <c r="V806" s="7" t="str">
        <f ca="1"/>
        <v>ShutterSpeed</v>
      </c>
    </row>
    <row r="807" spans="20:22" x14ac:dyDescent="0.25">
      <c r="T807" s="7" t="str">
        <f ca="1"/>
        <v>Z6 II</v>
      </c>
      <c r="U807" s="7" t="str">
        <f ca="1"/>
        <v>0xD101</v>
      </c>
      <c r="V807" s="7" t="str">
        <f ca="1"/>
        <v>ExternalDC</v>
      </c>
    </row>
    <row r="808" spans="20:22" x14ac:dyDescent="0.25">
      <c r="T808" s="7" t="str">
        <f ca="1"/>
        <v>Z6 II</v>
      </c>
      <c r="U808" s="7" t="str">
        <f ca="1"/>
        <v>0xD102</v>
      </c>
      <c r="V808" s="7" t="str">
        <f ca="1"/>
        <v>WarningStatus</v>
      </c>
    </row>
    <row r="809" spans="20:22" x14ac:dyDescent="0.25">
      <c r="T809" s="7" t="str">
        <f ca="1"/>
        <v>Z6 II</v>
      </c>
      <c r="U809" s="7" t="str">
        <f ca="1"/>
        <v>0xD104</v>
      </c>
      <c r="V809" s="7" t="str">
        <f ca="1"/>
        <v>AFLockStatus</v>
      </c>
    </row>
    <row r="810" spans="20:22" x14ac:dyDescent="0.25">
      <c r="T810" s="7" t="str">
        <f ca="1"/>
        <v>Z6 II</v>
      </c>
      <c r="U810" s="7" t="str">
        <f ca="1"/>
        <v>0xD105</v>
      </c>
      <c r="V810" s="7" t="str">
        <f ca="1"/>
        <v>AELockStatus</v>
      </c>
    </row>
    <row r="811" spans="20:22" x14ac:dyDescent="0.25">
      <c r="T811" s="7" t="str">
        <f ca="1"/>
        <v>Z6 II</v>
      </c>
      <c r="U811" s="7" t="str">
        <f ca="1"/>
        <v>0xD106</v>
      </c>
      <c r="V811" s="7" t="str">
        <f ca="1"/>
        <v>FVLockStatus</v>
      </c>
    </row>
    <row r="812" spans="20:22" x14ac:dyDescent="0.25">
      <c r="T812" s="7" t="str">
        <f ca="1"/>
        <v>Z6 II</v>
      </c>
      <c r="U812" s="7" t="str">
        <f ca="1"/>
        <v>0xD109</v>
      </c>
      <c r="V812" s="7" t="str">
        <f ca="1"/>
        <v>FlexibleProgram</v>
      </c>
    </row>
    <row r="813" spans="20:22" x14ac:dyDescent="0.25">
      <c r="T813" s="7" t="str">
        <f ca="1"/>
        <v>Z6 II</v>
      </c>
      <c r="U813" s="7" t="str">
        <f ca="1"/>
        <v>0xD10B</v>
      </c>
      <c r="V813" s="7" t="str">
        <f ca="1"/>
        <v>RecordingMedia</v>
      </c>
    </row>
    <row r="814" spans="20:22" x14ac:dyDescent="0.25">
      <c r="T814" s="7" t="str">
        <f ca="1"/>
        <v>Z6 II</v>
      </c>
      <c r="U814" s="7" t="str">
        <f ca="1"/>
        <v>0xD10C</v>
      </c>
      <c r="V814" s="7" t="str">
        <f ca="1"/>
        <v>USBSpeed</v>
      </c>
    </row>
    <row r="815" spans="20:22" x14ac:dyDescent="0.25">
      <c r="T815" s="7" t="str">
        <f ca="1"/>
        <v>Z6 II</v>
      </c>
      <c r="U815" s="7" t="str">
        <f ca="1"/>
        <v>0xD10E</v>
      </c>
      <c r="V815" s="7" t="str">
        <f ca="1"/>
        <v>Orientation</v>
      </c>
    </row>
    <row r="816" spans="20:22" x14ac:dyDescent="0.25">
      <c r="T816" s="7" t="str">
        <f ca="1"/>
        <v>Z6 II</v>
      </c>
      <c r="U816" s="7" t="str">
        <f ca="1"/>
        <v>0xD112</v>
      </c>
      <c r="V816" s="7" t="str">
        <f ca="1"/>
        <v>TVLockSetting</v>
      </c>
    </row>
    <row r="817" spans="20:22" x14ac:dyDescent="0.25">
      <c r="T817" s="7" t="str">
        <f ca="1"/>
        <v>Z6 II</v>
      </c>
      <c r="U817" s="7" t="str">
        <f ca="1"/>
        <v>0xD113</v>
      </c>
      <c r="V817" s="7" t="str">
        <f ca="1"/>
        <v>AVLockSetting</v>
      </c>
    </row>
    <row r="818" spans="20:22" x14ac:dyDescent="0.25">
      <c r="T818" s="7" t="str">
        <f ca="1"/>
        <v>Z6 II</v>
      </c>
      <c r="U818" s="7" t="str">
        <f ca="1"/>
        <v>0xD118</v>
      </c>
      <c r="V818" s="7" t="str">
        <f ca="1"/>
        <v>ExposureCompFlashUsed</v>
      </c>
    </row>
    <row r="819" spans="20:22" x14ac:dyDescent="0.25">
      <c r="T819" s="7" t="str">
        <f ca="1"/>
        <v>Z6 II</v>
      </c>
      <c r="U819" s="7" t="str">
        <f ca="1"/>
        <v>0xD120</v>
      </c>
      <c r="V819" s="7" t="str">
        <f ca="1"/>
        <v>ExternalSpeedLightExist</v>
      </c>
    </row>
    <row r="820" spans="20:22" x14ac:dyDescent="0.25">
      <c r="T820" s="7" t="str">
        <f ca="1"/>
        <v>Z6 II</v>
      </c>
      <c r="U820" s="7" t="str">
        <f ca="1"/>
        <v>0xD121</v>
      </c>
      <c r="V820" s="7" t="str">
        <f ca="1"/>
        <v>ExternalSpeedLightStatus</v>
      </c>
    </row>
    <row r="821" spans="20:22" x14ac:dyDescent="0.25">
      <c r="T821" s="7" t="str">
        <f ca="1"/>
        <v>Z6 II</v>
      </c>
      <c r="U821" s="7" t="str">
        <f ca="1"/>
        <v>0xD122</v>
      </c>
      <c r="V821" s="7" t="str">
        <f ca="1"/>
        <v>ExternalSpeedLightSort</v>
      </c>
    </row>
    <row r="822" spans="20:22" x14ac:dyDescent="0.25">
      <c r="T822" s="7" t="str">
        <f ca="1"/>
        <v>Z6 II</v>
      </c>
      <c r="U822" s="7" t="str">
        <f ca="1"/>
        <v>0xD124</v>
      </c>
      <c r="V822" s="7" t="str">
        <f ca="1"/>
        <v>FlashCompensation</v>
      </c>
    </row>
    <row r="823" spans="20:22" x14ac:dyDescent="0.25">
      <c r="T823" s="7" t="str">
        <f ca="1"/>
        <v>Z6 II</v>
      </c>
      <c r="U823" s="7" t="str">
        <f ca="1"/>
        <v>0xD125</v>
      </c>
      <c r="V823" s="7" t="str">
        <f ca="1"/>
        <v>NewExternalSpeedLightMode</v>
      </c>
    </row>
    <row r="824" spans="20:22" x14ac:dyDescent="0.25">
      <c r="T824" s="7" t="str">
        <f ca="1"/>
        <v>Z6 II</v>
      </c>
      <c r="U824" s="7" t="str">
        <f ca="1"/>
        <v>0xD126</v>
      </c>
      <c r="V824" s="7" t="str">
        <f ca="1"/>
        <v>InternalFlashCompensation</v>
      </c>
    </row>
    <row r="825" spans="20:22" x14ac:dyDescent="0.25">
      <c r="T825" s="7" t="str">
        <f ca="1"/>
        <v>Z6 II</v>
      </c>
      <c r="U825" s="7" t="str">
        <f ca="1"/>
        <v>0xD12D</v>
      </c>
      <c r="V825" s="7" t="str">
        <f ca="1"/>
        <v>ExternalSpeedLightMultiFlashMode</v>
      </c>
    </row>
    <row r="826" spans="20:22" x14ac:dyDescent="0.25">
      <c r="T826" s="7" t="str">
        <f ca="1"/>
        <v>Z6 II</v>
      </c>
      <c r="U826" s="7" t="str">
        <f ca="1"/>
        <v>0xD12E</v>
      </c>
      <c r="V826" s="7" t="str">
        <f ca="1"/>
        <v>ConnectionPath</v>
      </c>
    </row>
    <row r="827" spans="20:22" x14ac:dyDescent="0.25">
      <c r="T827" s="7" t="str">
        <f ca="1"/>
        <v>Z6 II</v>
      </c>
      <c r="U827" s="7" t="str">
        <f ca="1"/>
        <v>0xD130</v>
      </c>
      <c r="V827" s="7" t="str">
        <f ca="1"/>
        <v>HDRMode</v>
      </c>
    </row>
    <row r="828" spans="20:22" x14ac:dyDescent="0.25">
      <c r="T828" s="7" t="str">
        <f ca="1"/>
        <v>Z6 II</v>
      </c>
      <c r="U828" s="7" t="str">
        <f ca="1"/>
        <v>0xD131</v>
      </c>
      <c r="V828" s="7" t="str">
        <f ca="1"/>
        <v>HDREv</v>
      </c>
    </row>
    <row r="829" spans="20:22" x14ac:dyDescent="0.25">
      <c r="T829" s="7" t="str">
        <f ca="1"/>
        <v>Z6 II</v>
      </c>
      <c r="U829" s="7" t="str">
        <f ca="1"/>
        <v>0xD132</v>
      </c>
      <c r="V829" s="7" t="str">
        <f ca="1"/>
        <v>HDRSmoothing</v>
      </c>
    </row>
    <row r="830" spans="20:22" x14ac:dyDescent="0.25">
      <c r="T830" s="7" t="str">
        <f ca="1"/>
        <v>Z6 II</v>
      </c>
      <c r="U830" s="7" t="str">
        <f ca="1"/>
        <v>0xD133</v>
      </c>
      <c r="V830" s="7" t="str">
        <f ca="1"/>
        <v>HDRSaveIndividualImages</v>
      </c>
    </row>
    <row r="831" spans="20:22" x14ac:dyDescent="0.25">
      <c r="T831" s="7" t="str">
        <f ca="1"/>
        <v>Z6 II</v>
      </c>
      <c r="U831" s="7" t="str">
        <f ca="1"/>
        <v>0xD138</v>
      </c>
      <c r="V831" s="7" t="str">
        <f ca="1"/>
        <v>VibrationReduction</v>
      </c>
    </row>
    <row r="832" spans="20:22" x14ac:dyDescent="0.25">
      <c r="T832" s="7" t="str">
        <f ca="1"/>
        <v>Z6 II</v>
      </c>
      <c r="U832" s="7" t="str">
        <f ca="1"/>
        <v>0xD141</v>
      </c>
      <c r="V832" s="7" t="str">
        <f ca="1"/>
        <v>WbAutoType</v>
      </c>
    </row>
    <row r="833" spans="20:22" x14ac:dyDescent="0.25">
      <c r="T833" s="7" t="str">
        <f ca="1"/>
        <v>Z6 II</v>
      </c>
      <c r="U833" s="7" t="str">
        <f ca="1"/>
        <v>0xD148</v>
      </c>
      <c r="V833" s="7" t="str">
        <f ca="1"/>
        <v>Slot2ImageSaveMode</v>
      </c>
    </row>
    <row r="834" spans="20:22" x14ac:dyDescent="0.25">
      <c r="T834" s="7" t="str">
        <f ca="1"/>
        <v>Z6 II</v>
      </c>
      <c r="U834" s="7" t="str">
        <f ca="1"/>
        <v>0xD149</v>
      </c>
      <c r="V834" s="7" t="str">
        <f ca="1"/>
        <v>RawCompressionBitMode</v>
      </c>
    </row>
    <row r="835" spans="20:22" x14ac:dyDescent="0.25">
      <c r="T835" s="7" t="str">
        <f ca="1"/>
        <v>Z6 II</v>
      </c>
      <c r="U835" s="7" t="str">
        <f ca="1"/>
        <v>0xD14E</v>
      </c>
      <c r="V835" s="7" t="str">
        <f ca="1"/>
        <v>Active</v>
      </c>
    </row>
    <row r="836" spans="20:22" x14ac:dyDescent="0.25">
      <c r="T836" s="7" t="str">
        <f ca="1"/>
        <v>Z6 II</v>
      </c>
      <c r="U836" s="7" t="str">
        <f ca="1"/>
        <v>0xD14F</v>
      </c>
      <c r="V836" s="7" t="str">
        <f ca="1"/>
        <v>WbFluorescentType</v>
      </c>
    </row>
    <row r="837" spans="20:22" x14ac:dyDescent="0.25">
      <c r="T837" s="7" t="str">
        <f ca="1"/>
        <v>Z6 II</v>
      </c>
      <c r="U837" s="7" t="str">
        <f ca="1"/>
        <v>0xD150</v>
      </c>
      <c r="V837" s="7" t="str">
        <f ca="1"/>
        <v>WbTuneColorTemp</v>
      </c>
    </row>
    <row r="838" spans="20:22" x14ac:dyDescent="0.25">
      <c r="T838" s="7" t="str">
        <f ca="1"/>
        <v>Z6 II</v>
      </c>
      <c r="U838" s="7" t="str">
        <f ca="1"/>
        <v>0xD152</v>
      </c>
      <c r="V838" s="7" t="str">
        <f ca="1"/>
        <v>WbTunePreset1</v>
      </c>
    </row>
    <row r="839" spans="20:22" x14ac:dyDescent="0.25">
      <c r="T839" s="7" t="str">
        <f ca="1"/>
        <v>Z6 II</v>
      </c>
      <c r="U839" s="7" t="str">
        <f ca="1"/>
        <v>0xD153</v>
      </c>
      <c r="V839" s="7" t="str">
        <f ca="1"/>
        <v>WbTunePreset2</v>
      </c>
    </row>
    <row r="840" spans="20:22" x14ac:dyDescent="0.25">
      <c r="T840" s="7" t="str">
        <f ca="1"/>
        <v>Z6 II</v>
      </c>
      <c r="U840" s="7" t="str">
        <f ca="1"/>
        <v>0xD154</v>
      </c>
      <c r="V840" s="7" t="str">
        <f ca="1"/>
        <v>WbTunePreset3</v>
      </c>
    </row>
    <row r="841" spans="20:22" x14ac:dyDescent="0.25">
      <c r="T841" s="7" t="str">
        <f ca="1"/>
        <v>Z6 II</v>
      </c>
      <c r="U841" s="7" t="str">
        <f ca="1"/>
        <v>0xD155</v>
      </c>
      <c r="V841" s="7" t="str">
        <f ca="1"/>
        <v>WbTunePreset4</v>
      </c>
    </row>
    <row r="842" spans="20:22" x14ac:dyDescent="0.25">
      <c r="T842" s="7" t="str">
        <f ca="1"/>
        <v>Z6 II</v>
      </c>
      <c r="U842" s="7" t="str">
        <f ca="1"/>
        <v>0xD158</v>
      </c>
      <c r="V842" s="7" t="str">
        <f ca="1"/>
        <v>WbPresetProtect1</v>
      </c>
    </row>
    <row r="843" spans="20:22" x14ac:dyDescent="0.25">
      <c r="T843" s="7" t="str">
        <f ca="1"/>
        <v>Z6 II</v>
      </c>
      <c r="U843" s="7" t="str">
        <f ca="1"/>
        <v>0xD159</v>
      </c>
      <c r="V843" s="7" t="str">
        <f ca="1"/>
        <v>WbPresetProtect2</v>
      </c>
    </row>
    <row r="844" spans="20:22" x14ac:dyDescent="0.25">
      <c r="T844" s="7" t="str">
        <f ca="1"/>
        <v>Z6 II</v>
      </c>
      <c r="U844" s="7" t="str">
        <f ca="1"/>
        <v>0xD15A</v>
      </c>
      <c r="V844" s="7" t="str">
        <f ca="1"/>
        <v>WbPresetProtect3</v>
      </c>
    </row>
    <row r="845" spans="20:22" x14ac:dyDescent="0.25">
      <c r="T845" s="7" t="str">
        <f ca="1"/>
        <v>Z6 II</v>
      </c>
      <c r="U845" s="7" t="str">
        <f ca="1"/>
        <v>0xD15B</v>
      </c>
      <c r="V845" s="7" t="str">
        <f ca="1"/>
        <v>ActiveFolder</v>
      </c>
    </row>
    <row r="846" spans="20:22" x14ac:dyDescent="0.25">
      <c r="T846" s="7" t="str">
        <f ca="1"/>
        <v>Z6 II</v>
      </c>
      <c r="U846" s="7" t="str">
        <f ca="1"/>
        <v>0xD15C</v>
      </c>
      <c r="V846" s="7" t="str">
        <f ca="1"/>
        <v>WbPresetProtect4</v>
      </c>
    </row>
    <row r="847" spans="20:22" x14ac:dyDescent="0.25">
      <c r="T847" s="7" t="str">
        <f ca="1"/>
        <v>Z6 II</v>
      </c>
      <c r="U847" s="7" t="str">
        <f ca="1"/>
        <v>0xD15E</v>
      </c>
      <c r="V847" s="7" t="str">
        <f ca="1"/>
        <v>WbTuneNatural</v>
      </c>
    </row>
    <row r="848" spans="20:22" x14ac:dyDescent="0.25">
      <c r="T848" s="7" t="str">
        <f ca="1"/>
        <v>Z6 II</v>
      </c>
      <c r="U848" s="7" t="str">
        <f ca="1"/>
        <v>0xD164</v>
      </c>
      <c r="V848" s="7" t="str">
        <f ca="1"/>
        <v>ISOAutoShutterTime</v>
      </c>
    </row>
    <row r="849" spans="20:22" x14ac:dyDescent="0.25">
      <c r="T849" s="7" t="str">
        <f ca="1"/>
        <v>Z6 II</v>
      </c>
      <c r="U849" s="7" t="str">
        <f ca="1"/>
        <v>0xD16A</v>
      </c>
      <c r="V849" s="7" t="str">
        <f ca="1"/>
        <v>ISOAutoSetting</v>
      </c>
    </row>
    <row r="850" spans="20:22" x14ac:dyDescent="0.25">
      <c r="T850" s="7" t="str">
        <f ca="1"/>
        <v>Z6 II</v>
      </c>
      <c r="U850" s="7" t="str">
        <f ca="1"/>
        <v>0xD16E</v>
      </c>
      <c r="V850" s="7" t="str">
        <f ca="1"/>
        <v>ExtendedShutterSpeedsManual</v>
      </c>
    </row>
    <row r="851" spans="20:22" x14ac:dyDescent="0.25">
      <c r="T851" s="7" t="str">
        <f ca="1"/>
        <v>Z6 II</v>
      </c>
      <c r="U851" s="7" t="str">
        <f ca="1"/>
        <v>0xD17A</v>
      </c>
      <c r="V851" s="7" t="str">
        <f ca="1"/>
        <v>LowLightAF</v>
      </c>
    </row>
    <row r="852" spans="20:22" x14ac:dyDescent="0.25">
      <c r="T852" s="7" t="str">
        <f ca="1"/>
        <v>Z6 II</v>
      </c>
      <c r="U852" s="7" t="str">
        <f ca="1"/>
        <v>0xD17B</v>
      </c>
      <c r="V852" s="7" t="str">
        <f ca="1"/>
        <v>ApplyLiveViewSetting</v>
      </c>
    </row>
    <row r="853" spans="20:22" x14ac:dyDescent="0.25">
      <c r="T853" s="7" t="str">
        <f ca="1"/>
        <v>Z6 II</v>
      </c>
      <c r="U853" s="7" t="str">
        <f ca="1"/>
        <v>0xD17C</v>
      </c>
      <c r="V853" s="7" t="str">
        <f ca="1"/>
        <v>MovieAfSpeed</v>
      </c>
    </row>
    <row r="854" spans="20:22" x14ac:dyDescent="0.25">
      <c r="T854" s="7" t="str">
        <f ca="1"/>
        <v>Z6 II</v>
      </c>
      <c r="U854" s="7" t="str">
        <f ca="1"/>
        <v>0xD17D</v>
      </c>
      <c r="V854" s="7" t="str">
        <f ca="1"/>
        <v>MovieAfSpeedWhenToApply</v>
      </c>
    </row>
    <row r="855" spans="20:22" x14ac:dyDescent="0.25">
      <c r="T855" s="7" t="str">
        <f ca="1"/>
        <v>Z6 II</v>
      </c>
      <c r="U855" s="7" t="str">
        <f ca="1"/>
        <v>0xD17E</v>
      </c>
      <c r="V855" s="7" t="str">
        <f ca="1"/>
        <v>MovieAfTrackingSensitivity</v>
      </c>
    </row>
    <row r="856" spans="20:22" x14ac:dyDescent="0.25">
      <c r="T856" s="7" t="str">
        <f ca="1"/>
        <v>Z6 II</v>
      </c>
      <c r="U856" s="7" t="str">
        <f ca="1"/>
        <v>0xD183</v>
      </c>
      <c r="V856" s="7" t="str">
        <f ca="1"/>
        <v>ISOAutoHighLimit</v>
      </c>
    </row>
    <row r="857" spans="20:22" x14ac:dyDescent="0.25">
      <c r="T857" s="7" t="str">
        <f ca="1"/>
        <v>Z6 II</v>
      </c>
      <c r="U857" s="7" t="str">
        <f ca="1"/>
        <v>0xD197</v>
      </c>
      <c r="V857" s="7" t="str">
        <f ca="1"/>
        <v>MovieReleaseButton</v>
      </c>
    </row>
    <row r="858" spans="20:22" x14ac:dyDescent="0.25">
      <c r="T858" s="7" t="str">
        <f ca="1"/>
        <v>Z6 II</v>
      </c>
      <c r="U858" s="7" t="str">
        <f ca="1"/>
        <v>0xD199</v>
      </c>
      <c r="V858" s="7" t="str">
        <f ca="1"/>
        <v>FlashISOAutoHighLimit</v>
      </c>
    </row>
    <row r="859" spans="20:22" x14ac:dyDescent="0.25">
      <c r="T859" s="7" t="str">
        <f ca="1"/>
        <v>Z6 II</v>
      </c>
      <c r="U859" s="7" t="str">
        <f ca="1"/>
        <v>0xD1A2</v>
      </c>
      <c r="V859" s="7" t="str">
        <f ca="1"/>
        <v>RemoteLiveViewStatus</v>
      </c>
    </row>
    <row r="860" spans="20:22" x14ac:dyDescent="0.25">
      <c r="T860" s="7" t="str">
        <f ca="1"/>
        <v>Z6 II</v>
      </c>
      <c r="U860" s="7" t="str">
        <f ca="1"/>
        <v>0xD1A4</v>
      </c>
      <c r="V860" s="7" t="str">
        <f ca="1"/>
        <v>LiveViewProhibitionCondition</v>
      </c>
    </row>
    <row r="861" spans="20:22" x14ac:dyDescent="0.25">
      <c r="T861" s="7" t="str">
        <f ca="1"/>
        <v>Z6 II</v>
      </c>
      <c r="U861" s="7" t="str">
        <f ca="1"/>
        <v>0xD1A6</v>
      </c>
      <c r="V861" s="7" t="str">
        <f ca="1"/>
        <v>LiveViewSelector</v>
      </c>
    </row>
    <row r="862" spans="20:22" x14ac:dyDescent="0.25">
      <c r="T862" s="7" t="str">
        <f ca="1"/>
        <v>Z6 II</v>
      </c>
      <c r="U862" s="7" t="str">
        <f ca="1"/>
        <v>0xD1A8</v>
      </c>
      <c r="V862" s="7" t="str">
        <f ca="1"/>
        <v>MovieShutterSpeed</v>
      </c>
    </row>
    <row r="863" spans="20:22" x14ac:dyDescent="0.25">
      <c r="T863" s="7" t="str">
        <f ca="1"/>
        <v>Z6 II</v>
      </c>
      <c r="U863" s="7" t="str">
        <f ca="1"/>
        <v>0xD1A9</v>
      </c>
      <c r="V863" s="7" t="str">
        <f ca="1"/>
        <v>MovieFnumber</v>
      </c>
    </row>
    <row r="864" spans="20:22" x14ac:dyDescent="0.25">
      <c r="T864" s="7" t="str">
        <f ca="1"/>
        <v>Z6 II</v>
      </c>
      <c r="U864" s="7" t="str">
        <f ca="1"/>
        <v>0xD1AA</v>
      </c>
      <c r="V864" s="7" t="str">
        <f ca="1"/>
        <v>MovieExposureIndex</v>
      </c>
    </row>
    <row r="865" spans="20:22" x14ac:dyDescent="0.25">
      <c r="T865" s="7" t="str">
        <f ca="1"/>
        <v>Z6 II</v>
      </c>
      <c r="U865" s="7" t="str">
        <f ca="1"/>
        <v>0xD1AB</v>
      </c>
      <c r="V865" s="7" t="str">
        <f ca="1"/>
        <v>MovieExposureBiasCompensation</v>
      </c>
    </row>
    <row r="866" spans="20:22" x14ac:dyDescent="0.25">
      <c r="T866" s="7" t="str">
        <f ca="1"/>
        <v>Z6 II</v>
      </c>
      <c r="U866" s="7" t="str">
        <f ca="1"/>
        <v>0xD1AC</v>
      </c>
      <c r="V866" s="7" t="str">
        <f ca="1"/>
        <v>LiveViewImageSize</v>
      </c>
    </row>
    <row r="867" spans="20:22" x14ac:dyDescent="0.25">
      <c r="T867" s="7" t="str">
        <f ca="1"/>
        <v>Z6 II</v>
      </c>
      <c r="U867" s="7" t="str">
        <f ca="1"/>
        <v>0xD1AD</v>
      </c>
      <c r="V867" s="7" t="str">
        <f ca="1"/>
        <v>SilentPhotography</v>
      </c>
    </row>
    <row r="868" spans="20:22" x14ac:dyDescent="0.25">
      <c r="T868" s="7" t="str">
        <f ca="1"/>
        <v>Z6 II</v>
      </c>
      <c r="U868" s="7" t="str">
        <f ca="1"/>
        <v>0xD1AF</v>
      </c>
      <c r="V868" s="7" t="str">
        <f ca="1"/>
        <v>MovieExposureMeteringMode</v>
      </c>
    </row>
    <row r="869" spans="20:22" x14ac:dyDescent="0.25">
      <c r="T869" s="7" t="str">
        <f ca="1"/>
        <v>Z6 II</v>
      </c>
      <c r="U869" s="7" t="str">
        <f ca="1"/>
        <v>0xD1B0</v>
      </c>
      <c r="V869" s="7" t="str">
        <f ca="1"/>
        <v>ExposureDisplayStatus</v>
      </c>
    </row>
    <row r="870" spans="20:22" x14ac:dyDescent="0.25">
      <c r="T870" s="7" t="str">
        <f ca="1"/>
        <v>Z6 II</v>
      </c>
      <c r="U870" s="7" t="str">
        <f ca="1"/>
        <v>0xD1B1</v>
      </c>
      <c r="V870" s="7" t="str">
        <f ca="1"/>
        <v>ExposureIndicateStatus</v>
      </c>
    </row>
    <row r="871" spans="20:22" x14ac:dyDescent="0.25">
      <c r="T871" s="7" t="str">
        <f ca="1"/>
        <v>Z6 II</v>
      </c>
      <c r="U871" s="7" t="str">
        <f ca="1"/>
        <v>0xD1B2</v>
      </c>
      <c r="V871" s="7" t="str">
        <f ca="1"/>
        <v>InfoDisplayErrorStatus</v>
      </c>
    </row>
    <row r="872" spans="20:22" x14ac:dyDescent="0.25">
      <c r="T872" s="7" t="str">
        <f ca="1"/>
        <v>Z6 II</v>
      </c>
      <c r="U872" s="7" t="str">
        <f ca="1"/>
        <v>0xD1B3</v>
      </c>
      <c r="V872" s="7" t="str">
        <f ca="1"/>
        <v>ExposureIndicateLightup</v>
      </c>
    </row>
    <row r="873" spans="20:22" x14ac:dyDescent="0.25">
      <c r="T873" s="7" t="str">
        <f ca="1"/>
        <v>Z6 II</v>
      </c>
      <c r="U873" s="7" t="str">
        <f ca="1"/>
        <v>0xD1B4</v>
      </c>
      <c r="V873" s="7" t="str">
        <f ca="1"/>
        <v>ContinuousShootingCount</v>
      </c>
    </row>
    <row r="874" spans="20:22" x14ac:dyDescent="0.25">
      <c r="T874" s="7" t="str">
        <f ca="1"/>
        <v>Z6 II</v>
      </c>
      <c r="U874" s="7" t="str">
        <f ca="1"/>
        <v>0xD1B7</v>
      </c>
      <c r="V874" s="7" t="str">
        <f ca="1"/>
        <v>MovieRecFrameCount</v>
      </c>
    </row>
    <row r="875" spans="20:22" x14ac:dyDescent="0.25">
      <c r="T875" s="7" t="str">
        <f ca="1"/>
        <v>Z6 II</v>
      </c>
      <c r="U875" s="7" t="str">
        <f ca="1"/>
        <v>0xD1B8</v>
      </c>
      <c r="V875" s="7" t="str">
        <f ca="1"/>
        <v>CameraLiveViewStatus</v>
      </c>
    </row>
    <row r="876" spans="20:22" x14ac:dyDescent="0.25">
      <c r="T876" s="7" t="str">
        <f ca="1"/>
        <v>Z6 II</v>
      </c>
      <c r="U876" s="7" t="str">
        <f ca="1"/>
        <v>0xD1B9</v>
      </c>
      <c r="V876" s="7" t="str">
        <f ca="1"/>
        <v>DetectionPeaking</v>
      </c>
    </row>
    <row r="877" spans="20:22" x14ac:dyDescent="0.25">
      <c r="T877" s="7" t="str">
        <f ca="1"/>
        <v>Z6 II</v>
      </c>
      <c r="U877" s="7" t="str">
        <f ca="1"/>
        <v>0xD1BA</v>
      </c>
      <c r="V877" s="7" t="str">
        <f ca="1"/>
        <v>MonitorOffStatus</v>
      </c>
    </row>
    <row r="878" spans="20:22" x14ac:dyDescent="0.25">
      <c r="T878" s="7" t="str">
        <f ca="1"/>
        <v>Z6 II</v>
      </c>
      <c r="U878" s="7" t="str">
        <f ca="1"/>
        <v>0xD1BB</v>
      </c>
      <c r="V878" s="7" t="str">
        <f ca="1"/>
        <v>LiveViewImageStatus</v>
      </c>
    </row>
    <row r="879" spans="20:22" x14ac:dyDescent="0.25">
      <c r="T879" s="7" t="str">
        <f ca="1"/>
        <v>Z6 II</v>
      </c>
      <c r="U879" s="7" t="str">
        <f ca="1"/>
        <v>0xD1BC</v>
      </c>
      <c r="V879" s="7" t="str">
        <f ca="1"/>
        <v>LiveViewImageCompression</v>
      </c>
    </row>
    <row r="880" spans="20:22" x14ac:dyDescent="0.25">
      <c r="T880" s="7" t="str">
        <f ca="1"/>
        <v>Z6 II</v>
      </c>
      <c r="U880" s="7" t="str">
        <f ca="1"/>
        <v>0xD1BD</v>
      </c>
      <c r="V880" s="7" t="str">
        <f ca="1"/>
        <v>LiveViewZoomArea</v>
      </c>
    </row>
    <row r="881" spans="20:22" x14ac:dyDescent="0.25">
      <c r="T881" s="7" t="str">
        <f ca="1"/>
        <v>Z6 II</v>
      </c>
      <c r="U881" s="7" t="str">
        <f ca="1"/>
        <v>0xD1C5</v>
      </c>
      <c r="V881" s="7" t="str">
        <f ca="1"/>
        <v>AutoFlashIsoSensitivityControl</v>
      </c>
    </row>
    <row r="882" spans="20:22" x14ac:dyDescent="0.25">
      <c r="T882" s="7" t="str">
        <f ca="1"/>
        <v>Z6 II</v>
      </c>
      <c r="U882" s="7" t="str">
        <f ca="1"/>
        <v>0xD1DE</v>
      </c>
      <c r="V882" s="7" t="str">
        <f ca="1"/>
        <v>ExternalRecordingControl</v>
      </c>
    </row>
    <row r="883" spans="20:22" x14ac:dyDescent="0.25">
      <c r="T883" s="7" t="str">
        <f ca="1"/>
        <v>Z6 II</v>
      </c>
      <c r="U883" s="7" t="str">
        <f ca="1"/>
        <v>0xD1DF</v>
      </c>
      <c r="V883" s="7" t="str">
        <f ca="1"/>
        <v>HighlightBrightness</v>
      </c>
    </row>
    <row r="884" spans="20:22" x14ac:dyDescent="0.25">
      <c r="T884" s="7" t="str">
        <f ca="1"/>
        <v>Z6 II</v>
      </c>
      <c r="U884" s="7" t="str">
        <f ca="1"/>
        <v>0xD1E2</v>
      </c>
      <c r="V884" s="7" t="str">
        <f ca="1"/>
        <v>SBWirelessMode</v>
      </c>
    </row>
    <row r="885" spans="20:22" x14ac:dyDescent="0.25">
      <c r="T885" s="7" t="str">
        <f ca="1"/>
        <v>Z6 II</v>
      </c>
      <c r="U885" s="7" t="str">
        <f ca="1"/>
        <v>0xD1E3</v>
      </c>
      <c r="V885" s="7" t="str">
        <f ca="1"/>
        <v>SBWirelessMultipleFlashMode</v>
      </c>
    </row>
    <row r="886" spans="20:22" x14ac:dyDescent="0.25">
      <c r="T886" s="7" t="str">
        <f ca="1"/>
        <v>Z6 II</v>
      </c>
      <c r="U886" s="7" t="str">
        <f ca="1"/>
        <v>0xD1E4</v>
      </c>
      <c r="V886" s="7" t="str">
        <f ca="1"/>
        <v>SBUsableGroup</v>
      </c>
    </row>
    <row r="887" spans="20:22" x14ac:dyDescent="0.25">
      <c r="T887" s="7" t="str">
        <f ca="1"/>
        <v>Z6 II</v>
      </c>
      <c r="U887" s="7" t="str">
        <f ca="1"/>
        <v>0xD1E5</v>
      </c>
      <c r="V887" s="7" t="str">
        <f ca="1"/>
        <v>WirelessCLSEntryMode</v>
      </c>
    </row>
    <row r="888" spans="20:22" x14ac:dyDescent="0.25">
      <c r="T888" s="7" t="str">
        <f ca="1"/>
        <v>Z6 II</v>
      </c>
      <c r="U888" s="7" t="str">
        <f ca="1"/>
        <v>0xD1E6</v>
      </c>
      <c r="V888" s="7" t="str">
        <f ca="1"/>
        <v>SBPINCode</v>
      </c>
    </row>
    <row r="889" spans="20:22" x14ac:dyDescent="0.25">
      <c r="T889" s="7" t="str">
        <f ca="1"/>
        <v>Z6 II</v>
      </c>
      <c r="U889" s="7" t="str">
        <f ca="1"/>
        <v>0xD1E7</v>
      </c>
      <c r="V889" s="7" t="str">
        <f ca="1"/>
        <v>RadioMultipleFlashChannel</v>
      </c>
    </row>
    <row r="890" spans="20:22" x14ac:dyDescent="0.25">
      <c r="T890" s="7" t="str">
        <f ca="1"/>
        <v>Z6 II</v>
      </c>
      <c r="U890" s="7" t="str">
        <f ca="1"/>
        <v>0xD1E8</v>
      </c>
      <c r="V890" s="7" t="str">
        <f ca="1"/>
        <v>OpticalMultipleFlashChannel</v>
      </c>
    </row>
    <row r="891" spans="20:22" x14ac:dyDescent="0.25">
      <c r="T891" s="7" t="str">
        <f ca="1"/>
        <v>Z6 II</v>
      </c>
      <c r="U891" s="7" t="str">
        <f ca="1"/>
        <v>0xD1E9</v>
      </c>
      <c r="V891" s="7" t="str">
        <f ca="1"/>
        <v>FlashRangeDisplay</v>
      </c>
    </row>
    <row r="892" spans="20:22" x14ac:dyDescent="0.25">
      <c r="T892" s="7" t="str">
        <f ca="1"/>
        <v>Z6 II</v>
      </c>
      <c r="U892" s="7" t="str">
        <f ca="1"/>
        <v>0xD1EA</v>
      </c>
      <c r="V892" s="7" t="str">
        <f ca="1"/>
        <v>AllTestFiringDisable</v>
      </c>
    </row>
    <row r="893" spans="20:22" x14ac:dyDescent="0.25">
      <c r="T893" s="7" t="str">
        <f ca="1"/>
        <v>Z6 II</v>
      </c>
      <c r="U893" s="7" t="str">
        <f ca="1"/>
        <v>0xD1EC</v>
      </c>
      <c r="V893" s="7" t="str">
        <f ca="1"/>
        <v>SBSettingMemberLock</v>
      </c>
    </row>
    <row r="894" spans="20:22" x14ac:dyDescent="0.25">
      <c r="T894" s="7" t="str">
        <f ca="1"/>
        <v>Z6 II</v>
      </c>
      <c r="U894" s="7" t="str">
        <f ca="1"/>
        <v>0xD1ED</v>
      </c>
      <c r="V894" s="7" t="str">
        <f ca="1"/>
        <v>SBIntegrationFlashReady</v>
      </c>
    </row>
    <row r="895" spans="20:22" x14ac:dyDescent="0.25">
      <c r="T895" s="7" t="str">
        <f ca="1"/>
        <v>Z6 II</v>
      </c>
      <c r="U895" s="7" t="str">
        <f ca="1"/>
        <v>0xD1F1</v>
      </c>
      <c r="V895" s="7" t="str">
        <f ca="1"/>
        <v>ExposureRemaining</v>
      </c>
    </row>
    <row r="896" spans="20:22" x14ac:dyDescent="0.25">
      <c r="T896" s="7" t="str">
        <f ca="1"/>
        <v>Z6 II</v>
      </c>
      <c r="U896" s="7" t="str">
        <f ca="1"/>
        <v>0xD1F2</v>
      </c>
      <c r="V896" s="7" t="str">
        <f ca="1"/>
        <v>ActiveSlot</v>
      </c>
    </row>
    <row r="897" spans="20:22" x14ac:dyDescent="0.25">
      <c r="T897" s="7" t="str">
        <f ca="1"/>
        <v>Z6 II</v>
      </c>
      <c r="U897" s="7" t="str">
        <f ca="1"/>
        <v>0xD1F4</v>
      </c>
      <c r="V897" s="7" t="str">
        <f ca="1"/>
        <v>ISOAutoShutterTimeCorrectionValue</v>
      </c>
    </row>
    <row r="898" spans="20:22" x14ac:dyDescent="0.25">
      <c r="T898" s="7" t="str">
        <f ca="1"/>
        <v>Z6 II</v>
      </c>
      <c r="U898" s="7" t="str">
        <f ca="1"/>
        <v>0xD1F8</v>
      </c>
      <c r="V898" s="7" t="str">
        <f ca="1"/>
        <v>MovieFocusMeteringMode</v>
      </c>
    </row>
    <row r="899" spans="20:22" x14ac:dyDescent="0.25">
      <c r="T899" s="7" t="str">
        <f ca="1"/>
        <v>Z6 II</v>
      </c>
      <c r="U899" s="7" t="str">
        <f ca="1"/>
        <v>0xD1F9</v>
      </c>
      <c r="V899" s="7" t="str">
        <f ca="1"/>
        <v>MovieVibrationReduction</v>
      </c>
    </row>
    <row r="900" spans="20:22" x14ac:dyDescent="0.25">
      <c r="T900" s="7" t="str">
        <f ca="1"/>
        <v>Z6 II</v>
      </c>
      <c r="U900" s="7" t="str">
        <f ca="1"/>
        <v>0xD1FA</v>
      </c>
      <c r="V900" s="7" t="str">
        <f ca="1"/>
        <v>MovieFocusMode</v>
      </c>
    </row>
    <row r="901" spans="20:22" x14ac:dyDescent="0.25">
      <c r="T901" s="7" t="str">
        <f ca="1"/>
        <v>Z6 II</v>
      </c>
      <c r="U901" s="7" t="str">
        <f ca="1"/>
        <v>0xD1FB</v>
      </c>
      <c r="V901" s="7" t="str">
        <f ca="1"/>
        <v>RecordTimeCodes</v>
      </c>
    </row>
    <row r="902" spans="20:22" x14ac:dyDescent="0.25">
      <c r="T902" s="7" t="str">
        <f ca="1"/>
        <v>Z6 II</v>
      </c>
      <c r="U902" s="7" t="str">
        <f ca="1"/>
        <v>0xD1FC</v>
      </c>
      <c r="V902" s="7" t="str">
        <f ca="1"/>
        <v>CountUpMethod</v>
      </c>
    </row>
    <row r="903" spans="20:22" x14ac:dyDescent="0.25">
      <c r="T903" s="7" t="str">
        <f ca="1"/>
        <v>Z6 II</v>
      </c>
      <c r="U903" s="7" t="str">
        <f ca="1"/>
        <v>0xD1FD</v>
      </c>
      <c r="V903" s="7" t="str">
        <f ca="1"/>
        <v>TimeCodeOrigin</v>
      </c>
    </row>
    <row r="904" spans="20:22" x14ac:dyDescent="0.25">
      <c r="T904" s="7" t="str">
        <f ca="1"/>
        <v>Z6 II</v>
      </c>
      <c r="U904" s="7" t="str">
        <f ca="1"/>
        <v>0xD1FE</v>
      </c>
      <c r="V904" s="7" t="str">
        <f ca="1"/>
        <v>DropFrame</v>
      </c>
    </row>
    <row r="905" spans="20:22" x14ac:dyDescent="0.25">
      <c r="T905" s="7" t="str">
        <f ca="1"/>
        <v>Z6 II</v>
      </c>
      <c r="U905" s="7" t="str">
        <f ca="1"/>
        <v>0xD1FF</v>
      </c>
      <c r="V905" s="7" t="str">
        <f ca="1"/>
        <v>StillCaptureModeSaveFrame</v>
      </c>
    </row>
    <row r="906" spans="20:22" x14ac:dyDescent="0.25">
      <c r="T906" s="7" t="str">
        <f ca="1"/>
        <v>Z6 II</v>
      </c>
      <c r="U906" s="7" t="str">
        <f ca="1"/>
        <v>0xD200</v>
      </c>
      <c r="V906" s="7" t="str">
        <f ca="1"/>
        <v>ActivePicCtrlItem</v>
      </c>
    </row>
    <row r="907" spans="20:22" x14ac:dyDescent="0.25">
      <c r="T907" s="7" t="str">
        <f ca="1"/>
        <v>Z6 II</v>
      </c>
      <c r="U907" s="7" t="str">
        <f ca="1"/>
        <v>0xD20D</v>
      </c>
      <c r="V907" s="7" t="str">
        <f ca="1"/>
        <v>ElectronicFrontCurtainShutter</v>
      </c>
    </row>
    <row r="908" spans="20:22" x14ac:dyDescent="0.25">
      <c r="T908" s="7" t="str">
        <f ca="1"/>
        <v>Z6 II</v>
      </c>
      <c r="U908" s="7" t="str">
        <f ca="1"/>
        <v>0xD20F</v>
      </c>
      <c r="V908" s="7" t="str">
        <f ca="1"/>
        <v>MovieCaptureAreaCrop</v>
      </c>
    </row>
    <row r="909" spans="20:22" x14ac:dyDescent="0.25">
      <c r="T909" s="7" t="str">
        <f ca="1"/>
        <v>Z6 II</v>
      </c>
      <c r="U909" s="7" t="str">
        <f ca="1"/>
        <v>0xD211</v>
      </c>
      <c r="V909" s="7" t="str">
        <f ca="1"/>
        <v>MovieWbAutoType</v>
      </c>
    </row>
    <row r="910" spans="20:22" x14ac:dyDescent="0.25">
      <c r="T910" s="7" t="str">
        <f ca="1"/>
        <v>Z6 II</v>
      </c>
      <c r="U910" s="7" t="str">
        <f ca="1"/>
        <v>0xD212</v>
      </c>
      <c r="V910" s="7" t="str">
        <f ca="1"/>
        <v>MovieWbTuneAuto</v>
      </c>
    </row>
    <row r="911" spans="20:22" x14ac:dyDescent="0.25">
      <c r="T911" s="7" t="str">
        <f ca="1"/>
        <v>Z6 II</v>
      </c>
      <c r="U911" s="7" t="str">
        <f ca="1"/>
        <v>0xD213</v>
      </c>
      <c r="V911" s="7" t="str">
        <f ca="1"/>
        <v>MovieWbTuneIncandescent</v>
      </c>
    </row>
    <row r="912" spans="20:22" x14ac:dyDescent="0.25">
      <c r="T912" s="7" t="str">
        <f ca="1"/>
        <v>Z6 II</v>
      </c>
      <c r="U912" s="7" t="str">
        <f ca="1"/>
        <v>0xD214</v>
      </c>
      <c r="V912" s="7" t="str">
        <f ca="1"/>
        <v>MovieWbFluorescentType</v>
      </c>
    </row>
    <row r="913" spans="20:22" x14ac:dyDescent="0.25">
      <c r="T913" s="7" t="str">
        <f ca="1"/>
        <v>Z6 II</v>
      </c>
      <c r="U913" s="7" t="str">
        <f ca="1"/>
        <v>0xD215</v>
      </c>
      <c r="V913" s="7" t="str">
        <f ca="1"/>
        <v>MovieWbTuneFluorescent</v>
      </c>
    </row>
    <row r="914" spans="20:22" x14ac:dyDescent="0.25">
      <c r="T914" s="7" t="str">
        <f ca="1"/>
        <v>Z6 II</v>
      </c>
      <c r="U914" s="7" t="str">
        <f ca="1"/>
        <v>0xD216</v>
      </c>
      <c r="V914" s="7" t="str">
        <f ca="1"/>
        <v>MovieWbTuneSunny</v>
      </c>
    </row>
    <row r="915" spans="20:22" x14ac:dyDescent="0.25">
      <c r="T915" s="7" t="str">
        <f ca="1"/>
        <v>Z6 II</v>
      </c>
      <c r="U915" s="7" t="str">
        <f ca="1"/>
        <v>0xD218</v>
      </c>
      <c r="V915" s="7" t="str">
        <f ca="1"/>
        <v>MovieWbTuneCloudy</v>
      </c>
    </row>
    <row r="916" spans="20:22" x14ac:dyDescent="0.25">
      <c r="T916" s="7" t="str">
        <f ca="1"/>
        <v>Z6 II</v>
      </c>
      <c r="U916" s="7" t="str">
        <f ca="1"/>
        <v>0xD219</v>
      </c>
      <c r="V916" s="7" t="str">
        <f ca="1"/>
        <v>MovieWbTuneShade</v>
      </c>
    </row>
    <row r="917" spans="20:22" x14ac:dyDescent="0.25">
      <c r="T917" s="7" t="str">
        <f ca="1"/>
        <v>Z6 II</v>
      </c>
      <c r="U917" s="7" t="str">
        <f ca="1"/>
        <v>0xD21A</v>
      </c>
      <c r="V917" s="7" t="str">
        <f ca="1"/>
        <v>MovieWbColorTemp</v>
      </c>
    </row>
    <row r="918" spans="20:22" x14ac:dyDescent="0.25">
      <c r="T918" s="7" t="str">
        <f ca="1"/>
        <v>Z6 II</v>
      </c>
      <c r="U918" s="7" t="str">
        <f ca="1"/>
        <v>0xD21B</v>
      </c>
      <c r="V918" s="7" t="str">
        <f ca="1"/>
        <v>MovieWbTuneColorTemp</v>
      </c>
    </row>
    <row r="919" spans="20:22" x14ac:dyDescent="0.25">
      <c r="T919" s="7" t="str">
        <f ca="1"/>
        <v>Z6 II</v>
      </c>
      <c r="U919" s="7" t="str">
        <f ca="1"/>
        <v>0xD21C</v>
      </c>
      <c r="V919" s="7" t="str">
        <f ca="1"/>
        <v>MovieWbPresetDataNo</v>
      </c>
    </row>
    <row r="920" spans="20:22" x14ac:dyDescent="0.25">
      <c r="T920" s="7" t="str">
        <f ca="1"/>
        <v>Z6 II</v>
      </c>
      <c r="U920" s="7" t="str">
        <f ca="1"/>
        <v>0xD21D</v>
      </c>
      <c r="V920" s="7" t="str">
        <f ca="1"/>
        <v>MovieWbPresetDataComment1</v>
      </c>
    </row>
    <row r="921" spans="20:22" x14ac:dyDescent="0.25">
      <c r="T921" s="7" t="str">
        <f ca="1"/>
        <v>Z6 II</v>
      </c>
      <c r="U921" s="7" t="str">
        <f ca="1"/>
        <v>0xD21E</v>
      </c>
      <c r="V921" s="7" t="str">
        <f ca="1"/>
        <v>MovieWbPresetDataComment2</v>
      </c>
    </row>
    <row r="922" spans="20:22" x14ac:dyDescent="0.25">
      <c r="T922" s="7" t="str">
        <f ca="1"/>
        <v>Z6 II</v>
      </c>
      <c r="U922" s="7" t="str">
        <f ca="1"/>
        <v>0xD21F</v>
      </c>
      <c r="V922" s="7" t="str">
        <f ca="1"/>
        <v>MovieWbPresetDataComment3</v>
      </c>
    </row>
    <row r="923" spans="20:22" x14ac:dyDescent="0.25">
      <c r="T923" s="7" t="str">
        <f ca="1"/>
        <v>Z6 II</v>
      </c>
      <c r="U923" s="7" t="str">
        <f ca="1"/>
        <v>0xD220</v>
      </c>
      <c r="V923" s="7" t="str">
        <f ca="1"/>
        <v>MovieWbPresetDataComment4</v>
      </c>
    </row>
    <row r="924" spans="20:22" x14ac:dyDescent="0.25">
      <c r="T924" s="7" t="str">
        <f ca="1"/>
        <v>Z6 II</v>
      </c>
      <c r="U924" s="7" t="str">
        <f ca="1"/>
        <v>0xD221</v>
      </c>
      <c r="V924" s="7" t="str">
        <f ca="1"/>
        <v>MovieWbPresetDataComment5</v>
      </c>
    </row>
    <row r="925" spans="20:22" x14ac:dyDescent="0.25">
      <c r="T925" s="7" t="str">
        <f ca="1"/>
        <v>Z6 II</v>
      </c>
      <c r="U925" s="7" t="str">
        <f ca="1"/>
        <v>0xD222</v>
      </c>
      <c r="V925" s="7" t="str">
        <f ca="1"/>
        <v>MovieWbPresetDataComment6</v>
      </c>
    </row>
    <row r="926" spans="20:22" x14ac:dyDescent="0.25">
      <c r="T926" s="7" t="str">
        <f ca="1"/>
        <v>Z6 II</v>
      </c>
      <c r="U926" s="7" t="str">
        <f ca="1"/>
        <v>0xD223</v>
      </c>
      <c r="V926" s="7" t="str">
        <f ca="1"/>
        <v>MovieWbPresetDataValue1</v>
      </c>
    </row>
    <row r="927" spans="20:22" x14ac:dyDescent="0.25">
      <c r="T927" s="7" t="str">
        <f ca="1"/>
        <v>Z6 II</v>
      </c>
      <c r="U927" s="7" t="str">
        <f ca="1"/>
        <v>0xD224</v>
      </c>
      <c r="V927" s="7" t="str">
        <f ca="1"/>
        <v>MovieWbPresetDataValue2</v>
      </c>
    </row>
    <row r="928" spans="20:22" x14ac:dyDescent="0.25">
      <c r="T928" s="7" t="str">
        <f ca="1"/>
        <v>Z6 II</v>
      </c>
      <c r="U928" s="7" t="str">
        <f ca="1"/>
        <v>0xD225</v>
      </c>
      <c r="V928" s="7" t="str">
        <f ca="1"/>
        <v>MovieWbPresetDataValue3</v>
      </c>
    </row>
    <row r="929" spans="20:22" x14ac:dyDescent="0.25">
      <c r="T929" s="7" t="str">
        <f ca="1"/>
        <v>Z6 II</v>
      </c>
      <c r="U929" s="7" t="str">
        <f ca="1"/>
        <v>0xD226</v>
      </c>
      <c r="V929" s="7" t="str">
        <f ca="1"/>
        <v>MovieWbPresetDataValue4</v>
      </c>
    </row>
    <row r="930" spans="20:22" x14ac:dyDescent="0.25">
      <c r="T930" s="7" t="str">
        <f ca="1"/>
        <v>Z6 II</v>
      </c>
      <c r="U930" s="7" t="str">
        <f ca="1"/>
        <v>0xD227</v>
      </c>
      <c r="V930" s="7" t="str">
        <f ca="1"/>
        <v>MovieWbPresetDataValue5</v>
      </c>
    </row>
    <row r="931" spans="20:22" x14ac:dyDescent="0.25">
      <c r="T931" s="7" t="str">
        <f ca="1"/>
        <v>Z6 II</v>
      </c>
      <c r="U931" s="7" t="str">
        <f ca="1"/>
        <v>0xD228</v>
      </c>
      <c r="V931" s="7" t="str">
        <f ca="1"/>
        <v>MovieWbPresetDataValue6</v>
      </c>
    </row>
    <row r="932" spans="20:22" x14ac:dyDescent="0.25">
      <c r="T932" s="7" t="str">
        <f ca="1"/>
        <v>Z6 II</v>
      </c>
      <c r="U932" s="7" t="str">
        <f ca="1"/>
        <v>0xD229</v>
      </c>
      <c r="V932" s="7" t="str">
        <f ca="1"/>
        <v>MovieWbTunePreset1</v>
      </c>
    </row>
    <row r="933" spans="20:22" x14ac:dyDescent="0.25">
      <c r="T933" s="7" t="str">
        <f ca="1"/>
        <v>Z6 II</v>
      </c>
      <c r="U933" s="7" t="str">
        <f ca="1"/>
        <v>0xD22A</v>
      </c>
      <c r="V933" s="7" t="str">
        <f ca="1"/>
        <v>MovieWbTunePreset2</v>
      </c>
    </row>
    <row r="934" spans="20:22" x14ac:dyDescent="0.25">
      <c r="T934" s="7" t="str">
        <f ca="1"/>
        <v>Z6 II</v>
      </c>
      <c r="U934" s="7" t="str">
        <f ca="1"/>
        <v>0xD22B</v>
      </c>
      <c r="V934" s="7" t="str">
        <f ca="1"/>
        <v>MovieWbTunePreset3</v>
      </c>
    </row>
    <row r="935" spans="20:22" x14ac:dyDescent="0.25">
      <c r="T935" s="7" t="str">
        <f ca="1"/>
        <v>Z6 II</v>
      </c>
      <c r="U935" s="7" t="str">
        <f ca="1"/>
        <v>0xD22C</v>
      </c>
      <c r="V935" s="7" t="str">
        <f ca="1"/>
        <v>MovieWbTunePreset4</v>
      </c>
    </row>
    <row r="936" spans="20:22" x14ac:dyDescent="0.25">
      <c r="T936" s="7" t="str">
        <f ca="1"/>
        <v>Z6 II</v>
      </c>
      <c r="U936" s="7" t="str">
        <f ca="1"/>
        <v>0xD22D</v>
      </c>
      <c r="V936" s="7" t="str">
        <f ca="1"/>
        <v>MovieWbTunePreset5</v>
      </c>
    </row>
    <row r="937" spans="20:22" x14ac:dyDescent="0.25">
      <c r="T937" s="7" t="str">
        <f ca="1"/>
        <v>Z6 II</v>
      </c>
      <c r="U937" s="7" t="str">
        <f ca="1"/>
        <v>0xD22E</v>
      </c>
      <c r="V937" s="7" t="str">
        <f ca="1"/>
        <v>MovieWbTunePreset6</v>
      </c>
    </row>
    <row r="938" spans="20:22" x14ac:dyDescent="0.25">
      <c r="T938" s="7" t="str">
        <f ca="1"/>
        <v>Z6 II</v>
      </c>
      <c r="U938" s="7" t="str">
        <f ca="1"/>
        <v>0xD22F</v>
      </c>
      <c r="V938" s="7" t="str">
        <f ca="1"/>
        <v>MovieWbPresetProtect1</v>
      </c>
    </row>
    <row r="939" spans="20:22" x14ac:dyDescent="0.25">
      <c r="T939" s="7" t="str">
        <f ca="1"/>
        <v>Z6 II</v>
      </c>
      <c r="U939" s="7" t="str">
        <f ca="1"/>
        <v>0xD230</v>
      </c>
      <c r="V939" s="7" t="str">
        <f ca="1"/>
        <v>MovieWbPresetProtect2</v>
      </c>
    </row>
    <row r="940" spans="20:22" x14ac:dyDescent="0.25">
      <c r="T940" s="7" t="str">
        <f ca="1"/>
        <v>Z6 II</v>
      </c>
      <c r="U940" s="7" t="str">
        <f ca="1"/>
        <v>0xD231</v>
      </c>
      <c r="V940" s="7" t="str">
        <f ca="1"/>
        <v>MovieWbPresetProtect3</v>
      </c>
    </row>
    <row r="941" spans="20:22" x14ac:dyDescent="0.25">
      <c r="T941" s="7" t="str">
        <f ca="1"/>
        <v>Z6 II</v>
      </c>
      <c r="U941" s="7" t="str">
        <f ca="1"/>
        <v>0xD232</v>
      </c>
      <c r="V941" s="7" t="str">
        <f ca="1"/>
        <v>MovieWbPresetProtect4</v>
      </c>
    </row>
    <row r="942" spans="20:22" x14ac:dyDescent="0.25">
      <c r="T942" s="7" t="str">
        <f ca="1"/>
        <v>Z6 II</v>
      </c>
      <c r="U942" s="7" t="str">
        <f ca="1"/>
        <v>0xD233</v>
      </c>
      <c r="V942" s="7" t="str">
        <f ca="1"/>
        <v>MovieWbPresetProtect5</v>
      </c>
    </row>
    <row r="943" spans="20:22" x14ac:dyDescent="0.25">
      <c r="T943" s="7" t="str">
        <f ca="1"/>
        <v>Z6 II</v>
      </c>
      <c r="U943" s="7" t="str">
        <f ca="1"/>
        <v>0xD234</v>
      </c>
      <c r="V943" s="7" t="str">
        <f ca="1"/>
        <v>MovieWbPresetProtect6</v>
      </c>
    </row>
    <row r="944" spans="20:22" x14ac:dyDescent="0.25">
      <c r="T944" s="7" t="str">
        <f ca="1"/>
        <v>Z6 II</v>
      </c>
      <c r="U944" s="7" t="str">
        <f ca="1"/>
        <v>0xD236</v>
      </c>
      <c r="V944" s="7" t="str">
        <f ca="1"/>
        <v>MovieNoiseReductionHiIso</v>
      </c>
    </row>
    <row r="945" spans="20:22" x14ac:dyDescent="0.25">
      <c r="T945" s="7" t="str">
        <f ca="1"/>
        <v>Z6 II</v>
      </c>
      <c r="U945" s="7" t="str">
        <f ca="1"/>
        <v>0xD237</v>
      </c>
      <c r="V945" s="7" t="str">
        <f ca="1"/>
        <v>MovieActivePicCtrlItem</v>
      </c>
    </row>
    <row r="946" spans="20:22" x14ac:dyDescent="0.25">
      <c r="T946" s="7" t="str">
        <f ca="1"/>
        <v>Z6 II</v>
      </c>
      <c r="U946" s="7" t="str">
        <f ca="1"/>
        <v>0xD239</v>
      </c>
      <c r="V946" s="7" t="str">
        <f ca="1"/>
        <v>ExposureBaseCompHighlight</v>
      </c>
    </row>
    <row r="947" spans="20:22" x14ac:dyDescent="0.25">
      <c r="T947" s="7" t="str">
        <f ca="1"/>
        <v>Z6 II</v>
      </c>
      <c r="U947" s="7" t="str">
        <f ca="1"/>
        <v>0xD23A</v>
      </c>
      <c r="V947" s="7" t="str">
        <f ca="1"/>
        <v>MovieWhiteBalance</v>
      </c>
    </row>
    <row r="948" spans="20:22" x14ac:dyDescent="0.25">
      <c r="T948" s="7" t="str">
        <f ca="1"/>
        <v>Z6 II</v>
      </c>
      <c r="U948" s="7" t="str">
        <f ca="1"/>
        <v>0xD23B</v>
      </c>
      <c r="V948" s="7" t="str">
        <f ca="1"/>
        <v>MovieActive</v>
      </c>
    </row>
    <row r="949" spans="20:22" x14ac:dyDescent="0.25">
      <c r="T949" s="7" t="str">
        <f ca="1"/>
        <v>Z6 II</v>
      </c>
      <c r="U949" s="7" t="str">
        <f ca="1"/>
        <v>0xD23C</v>
      </c>
      <c r="V949" s="7" t="str">
        <f ca="1"/>
        <v>MovieWbTuneNatural</v>
      </c>
    </row>
    <row r="950" spans="20:22" x14ac:dyDescent="0.25">
      <c r="T950" s="7" t="str">
        <f ca="1"/>
        <v>Z6 II</v>
      </c>
      <c r="U950" s="7" t="str">
        <f ca="1"/>
        <v>0xD23D</v>
      </c>
      <c r="V950" s="7" t="str">
        <f ca="1"/>
        <v>MovieAttenuator</v>
      </c>
    </row>
    <row r="951" spans="20:22" x14ac:dyDescent="0.25">
      <c r="T951" s="7" t="str">
        <f ca="1"/>
        <v>Z6 II</v>
      </c>
      <c r="U951" s="7" t="str">
        <f ca="1"/>
        <v>0xD23E</v>
      </c>
      <c r="V951" s="7" t="str">
        <f ca="1"/>
        <v>MovieVignetteControl</v>
      </c>
    </row>
    <row r="952" spans="20:22" x14ac:dyDescent="0.25">
      <c r="T952" s="7" t="str">
        <f ca="1"/>
        <v>Z6 II</v>
      </c>
      <c r="U952" s="7" t="str">
        <f ca="1"/>
        <v>0xD23F</v>
      </c>
      <c r="V952" s="7" t="str">
        <f ca="1"/>
        <v>MovieDiffractionCompensation</v>
      </c>
    </row>
    <row r="953" spans="20:22" x14ac:dyDescent="0.25">
      <c r="T953" s="7" t="str">
        <f ca="1"/>
        <v>Z6 II</v>
      </c>
      <c r="U953" s="7" t="str">
        <f ca="1"/>
        <v>0xD303</v>
      </c>
      <c r="V953" s="7" t="str">
        <f ca="1"/>
        <v>UseDeviceStageFlag</v>
      </c>
    </row>
    <row r="954" spans="20:22" x14ac:dyDescent="0.25">
      <c r="T954" s="7" t="str">
        <f ca="1"/>
        <v>Z6 II</v>
      </c>
      <c r="U954" s="7" t="str">
        <f ca="1"/>
        <v>0xD314</v>
      </c>
      <c r="V954" s="7" t="str">
        <f ca="1"/>
        <v>ElectronicVR</v>
      </c>
    </row>
    <row r="955" spans="20:22" x14ac:dyDescent="0.25">
      <c r="T955" s="7" t="str">
        <f ca="1"/>
        <v>Z6 II</v>
      </c>
      <c r="U955" s="7" t="str">
        <f ca="1"/>
        <v>0xD406</v>
      </c>
      <c r="V955" s="7" t="str">
        <f ca="1"/>
        <v>SessionInitiatorVersionInfo</v>
      </c>
    </row>
    <row r="956" spans="20:22" x14ac:dyDescent="0.25">
      <c r="T956" s="7" t="str">
        <f ca="1"/>
        <v>Z6 II</v>
      </c>
      <c r="U956" s="7" t="str">
        <f ca="1"/>
        <v>0xD407</v>
      </c>
      <c r="V956" s="7" t="str">
        <f ca="1"/>
        <v>PerceivedDeviceType</v>
      </c>
    </row>
    <row r="957" spans="20:22" x14ac:dyDescent="0.25">
      <c r="T957" s="7" t="str">
        <f ca="1"/>
        <v>Z7 II</v>
      </c>
      <c r="U957" s="7" t="str">
        <f ca="1"/>
        <v>0x5001</v>
      </c>
      <c r="V957" s="7" t="str">
        <f ca="1"/>
        <v>BatteryLevel</v>
      </c>
    </row>
    <row r="958" spans="20:22" x14ac:dyDescent="0.25">
      <c r="T958" s="7" t="str">
        <f ca="1"/>
        <v>Z7 II</v>
      </c>
      <c r="U958" s="7" t="str">
        <f ca="1"/>
        <v>0x5003</v>
      </c>
      <c r="V958" s="7" t="str">
        <f ca="1"/>
        <v>ImageSize</v>
      </c>
    </row>
    <row r="959" spans="20:22" x14ac:dyDescent="0.25">
      <c r="T959" s="7" t="str">
        <f ca="1"/>
        <v>Z7 II</v>
      </c>
      <c r="U959" s="7" t="str">
        <f ca="1"/>
        <v>0x5004</v>
      </c>
      <c r="V959" s="7" t="str">
        <f ca="1"/>
        <v>CompressionSetting</v>
      </c>
    </row>
    <row r="960" spans="20:22" x14ac:dyDescent="0.25">
      <c r="T960" s="7" t="str">
        <f ca="1"/>
        <v>Z7 II</v>
      </c>
      <c r="U960" s="7" t="str">
        <f ca="1"/>
        <v>0x5005</v>
      </c>
      <c r="V960" s="7" t="str">
        <f ca="1"/>
        <v>WhiteBalance</v>
      </c>
    </row>
    <row r="961" spans="20:22" x14ac:dyDescent="0.25">
      <c r="T961" s="7" t="str">
        <f ca="1"/>
        <v>Z7 II</v>
      </c>
      <c r="U961" s="7" t="str">
        <f ca="1"/>
        <v>0x5007</v>
      </c>
      <c r="V961" s="7" t="str">
        <f ca="1"/>
        <v>Fnumber</v>
      </c>
    </row>
    <row r="962" spans="20:22" x14ac:dyDescent="0.25">
      <c r="T962" s="7" t="str">
        <f ca="1"/>
        <v>Z7 II</v>
      </c>
      <c r="U962" s="7" t="str">
        <f ca="1"/>
        <v>0x5008</v>
      </c>
      <c r="V962" s="7" t="str">
        <f ca="1"/>
        <v>FocalLength</v>
      </c>
    </row>
    <row r="963" spans="20:22" x14ac:dyDescent="0.25">
      <c r="T963" s="7" t="str">
        <f ca="1"/>
        <v>Z7 II</v>
      </c>
      <c r="U963" s="7" t="str">
        <f ca="1"/>
        <v>0x500A</v>
      </c>
      <c r="V963" s="7" t="str">
        <f ca="1"/>
        <v>FocusMode</v>
      </c>
    </row>
    <row r="964" spans="20:22" x14ac:dyDescent="0.25">
      <c r="T964" s="7" t="str">
        <f ca="1"/>
        <v>Z7 II</v>
      </c>
      <c r="U964" s="7" t="str">
        <f ca="1"/>
        <v>0x500B</v>
      </c>
      <c r="V964" s="7" t="str">
        <f ca="1"/>
        <v>ExposureMeteringMode</v>
      </c>
    </row>
    <row r="965" spans="20:22" x14ac:dyDescent="0.25">
      <c r="T965" s="7" t="str">
        <f ca="1"/>
        <v>Z7 II</v>
      </c>
      <c r="U965" s="7" t="str">
        <f ca="1"/>
        <v>0x500C</v>
      </c>
      <c r="V965" s="7" t="str">
        <f ca="1"/>
        <v>FlashMode</v>
      </c>
    </row>
    <row r="966" spans="20:22" x14ac:dyDescent="0.25">
      <c r="T966" s="7" t="str">
        <f ca="1"/>
        <v>Z7 II</v>
      </c>
      <c r="U966" s="7" t="str">
        <f ca="1"/>
        <v>0x500D</v>
      </c>
      <c r="V966" s="7" t="str">
        <f ca="1"/>
        <v>ExposureTime</v>
      </c>
    </row>
    <row r="967" spans="20:22" x14ac:dyDescent="0.25">
      <c r="T967" s="7" t="str">
        <f ca="1"/>
        <v>Z7 II</v>
      </c>
      <c r="U967" s="7" t="str">
        <f ca="1"/>
        <v>0x500E</v>
      </c>
      <c r="V967" s="7" t="str">
        <f ca="1"/>
        <v>ExposureProgramMode</v>
      </c>
    </row>
    <row r="968" spans="20:22" x14ac:dyDescent="0.25">
      <c r="T968" s="7" t="str">
        <f ca="1"/>
        <v>Z7 II</v>
      </c>
      <c r="U968" s="7" t="str">
        <f ca="1"/>
        <v>0x500F</v>
      </c>
      <c r="V968" s="7" t="str">
        <f ca="1"/>
        <v>ExposureIndex</v>
      </c>
    </row>
    <row r="969" spans="20:22" x14ac:dyDescent="0.25">
      <c r="T969" s="7" t="str">
        <f ca="1"/>
        <v>Z7 II</v>
      </c>
      <c r="U969" s="7" t="str">
        <f ca="1"/>
        <v>0x5010</v>
      </c>
      <c r="V969" s="7" t="str">
        <f ca="1"/>
        <v>ExposureBiasCompensation</v>
      </c>
    </row>
    <row r="970" spans="20:22" x14ac:dyDescent="0.25">
      <c r="T970" s="7" t="str">
        <f ca="1"/>
        <v>Z7 II</v>
      </c>
      <c r="U970" s="7" t="str">
        <f ca="1"/>
        <v>0x5011</v>
      </c>
      <c r="V970" s="7" t="str">
        <f ca="1"/>
        <v>DateTime</v>
      </c>
    </row>
    <row r="971" spans="20:22" x14ac:dyDescent="0.25">
      <c r="T971" s="7" t="str">
        <f ca="1"/>
        <v>Z7 II</v>
      </c>
      <c r="U971" s="7" t="str">
        <f ca="1"/>
        <v>0x5013</v>
      </c>
      <c r="V971" s="7" t="str">
        <f ca="1"/>
        <v>StillCaptureMode</v>
      </c>
    </row>
    <row r="972" spans="20:22" x14ac:dyDescent="0.25">
      <c r="T972" s="7" t="str">
        <f ca="1"/>
        <v>Z7 II</v>
      </c>
      <c r="U972" s="7" t="str">
        <f ca="1"/>
        <v>0x5018</v>
      </c>
      <c r="V972" s="7" t="str">
        <f ca="1"/>
        <v>BurstNumber</v>
      </c>
    </row>
    <row r="973" spans="20:22" x14ac:dyDescent="0.25">
      <c r="T973" s="7" t="str">
        <f ca="1"/>
        <v>Z7 II</v>
      </c>
      <c r="U973" s="7" t="str">
        <f ca="1"/>
        <v>0x501E</v>
      </c>
      <c r="V973" s="7" t="str">
        <f ca="1"/>
        <v>Artist</v>
      </c>
    </row>
    <row r="974" spans="20:22" x14ac:dyDescent="0.25">
      <c r="T974" s="7" t="str">
        <f ca="1"/>
        <v>Z7 II</v>
      </c>
      <c r="U974" s="7" t="str">
        <f ca="1"/>
        <v>0x501F</v>
      </c>
      <c r="V974" s="7" t="str">
        <f ca="1"/>
        <v>Copyright</v>
      </c>
    </row>
    <row r="975" spans="20:22" x14ac:dyDescent="0.25">
      <c r="T975" s="7" t="str">
        <f ca="1"/>
        <v>Z7 II</v>
      </c>
      <c r="U975" s="7" t="str">
        <f ca="1"/>
        <v>0xD016</v>
      </c>
      <c r="V975" s="7" t="str">
        <f ca="1"/>
        <v>RawCompressionType</v>
      </c>
    </row>
    <row r="976" spans="20:22" x14ac:dyDescent="0.25">
      <c r="T976" s="7" t="str">
        <f ca="1"/>
        <v>Z7 II</v>
      </c>
      <c r="U976" s="7" t="str">
        <f ca="1"/>
        <v>0xD017</v>
      </c>
      <c r="V976" s="7" t="str">
        <f ca="1"/>
        <v>WbTuneAuto</v>
      </c>
    </row>
    <row r="977" spans="20:22" x14ac:dyDescent="0.25">
      <c r="T977" s="7" t="str">
        <f ca="1"/>
        <v>Z7 II</v>
      </c>
      <c r="U977" s="7" t="str">
        <f ca="1"/>
        <v>0xD018</v>
      </c>
      <c r="V977" s="7" t="str">
        <f ca="1"/>
        <v>WbTuneIncandescent</v>
      </c>
    </row>
    <row r="978" spans="20:22" x14ac:dyDescent="0.25">
      <c r="T978" s="7" t="str">
        <f ca="1"/>
        <v>Z7 II</v>
      </c>
      <c r="U978" s="7" t="str">
        <f ca="1"/>
        <v>0xD019</v>
      </c>
      <c r="V978" s="7" t="str">
        <f ca="1"/>
        <v>WbTuneFluorescent</v>
      </c>
    </row>
    <row r="979" spans="20:22" x14ac:dyDescent="0.25">
      <c r="T979" s="7" t="str">
        <f ca="1"/>
        <v>Z7 II</v>
      </c>
      <c r="U979" s="7" t="str">
        <f ca="1"/>
        <v>0xD01A</v>
      </c>
      <c r="V979" s="7" t="str">
        <f ca="1"/>
        <v>WbTuneSunny</v>
      </c>
    </row>
    <row r="980" spans="20:22" x14ac:dyDescent="0.25">
      <c r="T980" s="7" t="str">
        <f ca="1"/>
        <v>Z7 II</v>
      </c>
      <c r="U980" s="7" t="str">
        <f ca="1"/>
        <v>0xD01B</v>
      </c>
      <c r="V980" s="7" t="str">
        <f ca="1"/>
        <v>WbTuneFlash</v>
      </c>
    </row>
    <row r="981" spans="20:22" x14ac:dyDescent="0.25">
      <c r="T981" s="7" t="str">
        <f ca="1"/>
        <v>Z7 II</v>
      </c>
      <c r="U981" s="7" t="str">
        <f ca="1"/>
        <v>0xD01C</v>
      </c>
      <c r="V981" s="7" t="str">
        <f ca="1"/>
        <v>WbTuneCloudy</v>
      </c>
    </row>
    <row r="982" spans="20:22" x14ac:dyDescent="0.25">
      <c r="T982" s="7" t="str">
        <f ca="1"/>
        <v>Z7 II</v>
      </c>
      <c r="U982" s="7" t="str">
        <f ca="1"/>
        <v>0xD01D</v>
      </c>
      <c r="V982" s="7" t="str">
        <f ca="1"/>
        <v>WbTuneShade</v>
      </c>
    </row>
    <row r="983" spans="20:22" x14ac:dyDescent="0.25">
      <c r="T983" s="7" t="str">
        <f ca="1"/>
        <v>Z7 II</v>
      </c>
      <c r="U983" s="7" t="str">
        <f ca="1"/>
        <v>0xD01E</v>
      </c>
      <c r="V983" s="7" t="str">
        <f ca="1"/>
        <v>WbColorTemp</v>
      </c>
    </row>
    <row r="984" spans="20:22" x14ac:dyDescent="0.25">
      <c r="T984" s="7" t="str">
        <f ca="1"/>
        <v>Z7 II</v>
      </c>
      <c r="U984" s="7" t="str">
        <f ca="1"/>
        <v>0xD01F</v>
      </c>
      <c r="V984" s="7" t="str">
        <f ca="1"/>
        <v>WbPresetDataNo</v>
      </c>
    </row>
    <row r="985" spans="20:22" x14ac:dyDescent="0.25">
      <c r="T985" s="7" t="str">
        <f ca="1"/>
        <v>Z7 II</v>
      </c>
      <c r="U985" s="7" t="str">
        <f ca="1"/>
        <v>0xD021</v>
      </c>
      <c r="V985" s="7" t="str">
        <f ca="1"/>
        <v>WbPresetDataComment1</v>
      </c>
    </row>
    <row r="986" spans="20:22" x14ac:dyDescent="0.25">
      <c r="T986" s="7" t="str">
        <f ca="1"/>
        <v>Z7 II</v>
      </c>
      <c r="U986" s="7" t="str">
        <f ca="1"/>
        <v>0xD022</v>
      </c>
      <c r="V986" s="7" t="str">
        <f ca="1"/>
        <v>WbPresetDataComment2</v>
      </c>
    </row>
    <row r="987" spans="20:22" x14ac:dyDescent="0.25">
      <c r="T987" s="7" t="str">
        <f ca="1"/>
        <v>Z7 II</v>
      </c>
      <c r="U987" s="7" t="str">
        <f ca="1"/>
        <v>0xD023</v>
      </c>
      <c r="V987" s="7" t="str">
        <f ca="1"/>
        <v>WbPresetDataComment3</v>
      </c>
    </row>
    <row r="988" spans="20:22" x14ac:dyDescent="0.25">
      <c r="T988" s="7" t="str">
        <f ca="1"/>
        <v>Z7 II</v>
      </c>
      <c r="U988" s="7" t="str">
        <f ca="1"/>
        <v>0xD024</v>
      </c>
      <c r="V988" s="7" t="str">
        <f ca="1"/>
        <v>WbPresetDataComment4</v>
      </c>
    </row>
    <row r="989" spans="20:22" x14ac:dyDescent="0.25">
      <c r="T989" s="7" t="str">
        <f ca="1"/>
        <v>Z7 II</v>
      </c>
      <c r="U989" s="7" t="str">
        <f ca="1"/>
        <v>0xD026</v>
      </c>
      <c r="V989" s="7" t="str">
        <f ca="1"/>
        <v>WbPresetDataValue1</v>
      </c>
    </row>
    <row r="990" spans="20:22" x14ac:dyDescent="0.25">
      <c r="T990" s="7" t="str">
        <f ca="1"/>
        <v>Z7 II</v>
      </c>
      <c r="U990" s="7" t="str">
        <f ca="1"/>
        <v>0xD027</v>
      </c>
      <c r="V990" s="7" t="str">
        <f ca="1"/>
        <v>WbPresetDataValue2</v>
      </c>
    </row>
    <row r="991" spans="20:22" x14ac:dyDescent="0.25">
      <c r="T991" s="7" t="str">
        <f ca="1"/>
        <v>Z7 II</v>
      </c>
      <c r="U991" s="7" t="str">
        <f ca="1"/>
        <v>0xD028</v>
      </c>
      <c r="V991" s="7" t="str">
        <f ca="1"/>
        <v>WbPresetDataValue3</v>
      </c>
    </row>
    <row r="992" spans="20:22" x14ac:dyDescent="0.25">
      <c r="T992" s="7" t="str">
        <f ca="1"/>
        <v>Z7 II</v>
      </c>
      <c r="U992" s="7" t="str">
        <f ca="1"/>
        <v>0xD029</v>
      </c>
      <c r="V992" s="7" t="str">
        <f ca="1"/>
        <v>WbPresetDataValue4</v>
      </c>
    </row>
    <row r="993" spans="20:22" x14ac:dyDescent="0.25">
      <c r="T993" s="7" t="str">
        <f ca="1"/>
        <v>Z7 II</v>
      </c>
      <c r="U993" s="7" t="str">
        <f ca="1"/>
        <v>0xD02E</v>
      </c>
      <c r="V993" s="7" t="str">
        <f ca="1"/>
        <v>FmmManualSetting</v>
      </c>
    </row>
    <row r="994" spans="20:22" x14ac:dyDescent="0.25">
      <c r="T994" s="7" t="str">
        <f ca="1"/>
        <v>Z7 II</v>
      </c>
      <c r="U994" s="7" t="str">
        <f ca="1"/>
        <v>0xD02F</v>
      </c>
      <c r="V994" s="7" t="str">
        <f ca="1"/>
        <v>F0ManualSetting</v>
      </c>
    </row>
    <row r="995" spans="20:22" x14ac:dyDescent="0.25">
      <c r="T995" s="7" t="str">
        <f ca="1"/>
        <v>Z7 II</v>
      </c>
      <c r="U995" s="7" t="str">
        <f ca="1"/>
        <v>0xD030</v>
      </c>
      <c r="V995" s="7" t="str">
        <f ca="1"/>
        <v>CaptureAreaCrop</v>
      </c>
    </row>
    <row r="996" spans="20:22" x14ac:dyDescent="0.25">
      <c r="T996" s="7" t="str">
        <f ca="1"/>
        <v>Z7 II</v>
      </c>
      <c r="U996" s="7" t="str">
        <f ca="1"/>
        <v>0xD032</v>
      </c>
      <c r="V996" s="7" t="str">
        <f ca="1"/>
        <v>ColorSpace</v>
      </c>
    </row>
    <row r="997" spans="20:22" x14ac:dyDescent="0.25">
      <c r="T997" s="7" t="str">
        <f ca="1"/>
        <v>Z7 II</v>
      </c>
      <c r="U997" s="7" t="str">
        <f ca="1"/>
        <v>0xD034</v>
      </c>
      <c r="V997" s="7" t="str">
        <f ca="1"/>
        <v>DecreaseFlicker</v>
      </c>
    </row>
    <row r="998" spans="20:22" x14ac:dyDescent="0.25">
      <c r="T998" s="7" t="str">
        <f ca="1"/>
        <v>Z7 II</v>
      </c>
      <c r="U998" s="7" t="str">
        <f ca="1"/>
        <v>0xD038</v>
      </c>
      <c r="V998" s="7" t="str">
        <f ca="1"/>
        <v>WbPresetDataComment5</v>
      </c>
    </row>
    <row r="999" spans="20:22" x14ac:dyDescent="0.25">
      <c r="T999" s="7" t="str">
        <f ca="1"/>
        <v>Z7 II</v>
      </c>
      <c r="U999" s="7" t="str">
        <f ca="1"/>
        <v>0xD039</v>
      </c>
      <c r="V999" s="7" t="str">
        <f ca="1"/>
        <v>WbPresetDataComment6</v>
      </c>
    </row>
    <row r="1000" spans="20:22" x14ac:dyDescent="0.25">
      <c r="T1000" s="7" t="str">
        <f ca="1"/>
        <v>Z7 II</v>
      </c>
      <c r="U1000" s="7" t="str">
        <f ca="1"/>
        <v>0xD03A</v>
      </c>
      <c r="V1000" s="7" t="str">
        <f ca="1"/>
        <v>WbTunePreset5</v>
      </c>
    </row>
    <row r="1001" spans="20:22" x14ac:dyDescent="0.25">
      <c r="T1001" s="7" t="str">
        <f ca="1"/>
        <v>Z7 II</v>
      </c>
      <c r="U1001" s="7" t="str">
        <f ca="1"/>
        <v>0xD03B</v>
      </c>
      <c r="V1001" s="7" t="str">
        <f ca="1"/>
        <v>WbTunePreset6</v>
      </c>
    </row>
    <row r="1002" spans="20:22" x14ac:dyDescent="0.25">
      <c r="T1002" s="7" t="str">
        <f ca="1"/>
        <v>Z7 II</v>
      </c>
      <c r="U1002" s="7" t="str">
        <f ca="1"/>
        <v>0xD03C</v>
      </c>
      <c r="V1002" s="7" t="str">
        <f ca="1"/>
        <v>WbPresetProtect5</v>
      </c>
    </row>
    <row r="1003" spans="20:22" x14ac:dyDescent="0.25">
      <c r="T1003" s="7" t="str">
        <f ca="1"/>
        <v>Z7 II</v>
      </c>
      <c r="U1003" s="7" t="str">
        <f ca="1"/>
        <v>0xD03D</v>
      </c>
      <c r="V1003" s="7" t="str">
        <f ca="1"/>
        <v>WbPresetProtect6</v>
      </c>
    </row>
    <row r="1004" spans="20:22" x14ac:dyDescent="0.25">
      <c r="T1004" s="7" t="str">
        <f ca="1"/>
        <v>Z7 II</v>
      </c>
      <c r="U1004" s="7" t="str">
        <f ca="1"/>
        <v>0xD03E</v>
      </c>
      <c r="V1004" s="7" t="str">
        <f ca="1"/>
        <v>WbPresetDataValue5</v>
      </c>
    </row>
    <row r="1005" spans="20:22" x14ac:dyDescent="0.25">
      <c r="T1005" s="7" t="str">
        <f ca="1"/>
        <v>Z7 II</v>
      </c>
      <c r="U1005" s="7" t="str">
        <f ca="1"/>
        <v>0xD03F</v>
      </c>
      <c r="V1005" s="7" t="str">
        <f ca="1"/>
        <v>WbPresetDataValue6</v>
      </c>
    </row>
    <row r="1006" spans="20:22" x14ac:dyDescent="0.25">
      <c r="T1006" s="7" t="str">
        <f ca="1"/>
        <v>Z7 II</v>
      </c>
      <c r="U1006" s="7" t="str">
        <f ca="1"/>
        <v>0xD046</v>
      </c>
      <c r="V1006" s="7" t="str">
        <f ca="1"/>
        <v>AFStillLockOnAcross</v>
      </c>
    </row>
    <row r="1007" spans="20:22" x14ac:dyDescent="0.25">
      <c r="T1007" s="7" t="str">
        <f ca="1"/>
        <v>Z7 II</v>
      </c>
      <c r="U1007" s="7" t="str">
        <f ca="1"/>
        <v>0xD048</v>
      </c>
      <c r="V1007" s="7" t="str">
        <f ca="1"/>
        <v>DynamicAFonAFC</v>
      </c>
    </row>
    <row r="1008" spans="20:22" x14ac:dyDescent="0.25">
      <c r="T1008" s="7" t="str">
        <f ca="1"/>
        <v>Z7 II</v>
      </c>
      <c r="U1008" s="7" t="str">
        <f ca="1"/>
        <v>0xD049</v>
      </c>
      <c r="V1008" s="7" t="str">
        <f ca="1"/>
        <v>DynamicAFonAFS</v>
      </c>
    </row>
    <row r="1009" spans="20:22" x14ac:dyDescent="0.25">
      <c r="T1009" s="7" t="str">
        <f ca="1"/>
        <v>Z7 II</v>
      </c>
      <c r="U1009" s="7" t="str">
        <f ca="1"/>
        <v>0xD053</v>
      </c>
      <c r="V1009" s="7" t="str">
        <f ca="1"/>
        <v>EnableCopyright</v>
      </c>
    </row>
    <row r="1010" spans="20:22" x14ac:dyDescent="0.25">
      <c r="T1010" s="7" t="str">
        <f ca="1"/>
        <v>Z7 II</v>
      </c>
      <c r="U1010" s="7" t="str">
        <f ca="1"/>
        <v>0xD054</v>
      </c>
      <c r="V1010" s="7" t="str">
        <f ca="1"/>
        <v>ISOAutoControl</v>
      </c>
    </row>
    <row r="1011" spans="20:22" x14ac:dyDescent="0.25">
      <c r="T1011" s="7" t="str">
        <f ca="1"/>
        <v>Z7 II</v>
      </c>
      <c r="U1011" s="7" t="str">
        <f ca="1"/>
        <v>0xD056</v>
      </c>
      <c r="V1011" s="7" t="str">
        <f ca="1"/>
        <v>ExposureEVStep</v>
      </c>
    </row>
    <row r="1012" spans="20:22" x14ac:dyDescent="0.25">
      <c r="T1012" s="7" t="str">
        <f ca="1"/>
        <v>Z7 II</v>
      </c>
      <c r="U1012" s="7" t="str">
        <f ca="1"/>
        <v>0xD059</v>
      </c>
      <c r="V1012" s="7" t="str">
        <f ca="1"/>
        <v>CenterWeightedExRange</v>
      </c>
    </row>
    <row r="1013" spans="20:22" x14ac:dyDescent="0.25">
      <c r="T1013" s="7" t="str">
        <f ca="1"/>
        <v>Z7 II</v>
      </c>
      <c r="U1013" s="7" t="str">
        <f ca="1"/>
        <v>0xD05A</v>
      </c>
      <c r="V1013" s="7" t="str">
        <f ca="1"/>
        <v>ExposureBaseCompMatrix</v>
      </c>
    </row>
    <row r="1014" spans="20:22" x14ac:dyDescent="0.25">
      <c r="T1014" s="7" t="str">
        <f ca="1"/>
        <v>Z7 II</v>
      </c>
      <c r="U1014" s="7" t="str">
        <f ca="1"/>
        <v>0xD05B</v>
      </c>
      <c r="V1014" s="7" t="str">
        <f ca="1"/>
        <v>ExposureBaseCompCenter</v>
      </c>
    </row>
    <row r="1015" spans="20:22" x14ac:dyDescent="0.25">
      <c r="T1015" s="7" t="str">
        <f ca="1"/>
        <v>Z7 II</v>
      </c>
      <c r="U1015" s="7" t="str">
        <f ca="1"/>
        <v>0xD05C</v>
      </c>
      <c r="V1015" s="7" t="str">
        <f ca="1"/>
        <v>ExposureBaseCompSpot</v>
      </c>
    </row>
    <row r="1016" spans="20:22" x14ac:dyDescent="0.25">
      <c r="T1016" s="7" t="str">
        <f ca="1"/>
        <v>Z7 II</v>
      </c>
      <c r="U1016" s="7" t="str">
        <f ca="1"/>
        <v>0xD05D</v>
      </c>
      <c r="V1016" s="7" t="str">
        <f ca="1"/>
        <v>StillFocusMeteringMode</v>
      </c>
    </row>
    <row r="1017" spans="20:22" x14ac:dyDescent="0.25">
      <c r="T1017" s="7" t="str">
        <f ca="1"/>
        <v>Z7 II</v>
      </c>
      <c r="U1017" s="7" t="str">
        <f ca="1"/>
        <v>0xD061</v>
      </c>
      <c r="V1017" s="7" t="str">
        <f ca="1"/>
        <v>StillFocusMode</v>
      </c>
    </row>
    <row r="1018" spans="20:22" x14ac:dyDescent="0.25">
      <c r="T1018" s="7" t="str">
        <f ca="1"/>
        <v>Z7 II</v>
      </c>
      <c r="U1018" s="7" t="str">
        <f ca="1"/>
        <v>0xD067</v>
      </c>
      <c r="V1018" s="7" t="str">
        <f ca="1"/>
        <v>AngleLevel</v>
      </c>
    </row>
    <row r="1019" spans="20:22" x14ac:dyDescent="0.25">
      <c r="T1019" s="7" t="str">
        <f ca="1"/>
        <v>Z7 II</v>
      </c>
      <c r="U1019" s="7" t="str">
        <f ca="1"/>
        <v>0xD068</v>
      </c>
      <c r="V1019" s="7" t="str">
        <f ca="1"/>
        <v>CSpeedLow</v>
      </c>
    </row>
    <row r="1020" spans="20:22" x14ac:dyDescent="0.25">
      <c r="T1020" s="7" t="str">
        <f ca="1"/>
        <v>Z7 II</v>
      </c>
      <c r="U1020" s="7" t="str">
        <f ca="1"/>
        <v>0xD069</v>
      </c>
      <c r="V1020" s="7" t="str">
        <f ca="1"/>
        <v>BurstMaxNumber</v>
      </c>
    </row>
    <row r="1021" spans="20:22" x14ac:dyDescent="0.25">
      <c r="T1021" s="7" t="str">
        <f ca="1"/>
        <v>Z7 II</v>
      </c>
      <c r="U1021" s="7" t="str">
        <f ca="1"/>
        <v>0xD06A</v>
      </c>
      <c r="V1021" s="7" t="str">
        <f ca="1"/>
        <v>ExposureDelay</v>
      </c>
    </row>
    <row r="1022" spans="20:22" x14ac:dyDescent="0.25">
      <c r="T1022" s="7" t="str">
        <f ca="1"/>
        <v>Z7 II</v>
      </c>
      <c r="U1022" s="7" t="str">
        <f ca="1"/>
        <v>0xD06B</v>
      </c>
      <c r="V1022" s="7" t="str">
        <f ca="1"/>
        <v>NoiseReduction</v>
      </c>
    </row>
    <row r="1023" spans="20:22" x14ac:dyDescent="0.25">
      <c r="T1023" s="7" t="str">
        <f ca="1"/>
        <v>Z7 II</v>
      </c>
      <c r="U1023" s="7" t="str">
        <f ca="1"/>
        <v>0xD06C</v>
      </c>
      <c r="V1023" s="7" t="str">
        <f ca="1"/>
        <v>NumberingMode</v>
      </c>
    </row>
    <row r="1024" spans="20:22" x14ac:dyDescent="0.25">
      <c r="T1024" s="7" t="str">
        <f ca="1"/>
        <v>Z7 II</v>
      </c>
      <c r="U1024" s="7" t="str">
        <f ca="1"/>
        <v>0xD070</v>
      </c>
      <c r="V1024" s="7" t="str">
        <f ca="1"/>
        <v>NoiseReductionHiIso</v>
      </c>
    </row>
    <row r="1025" spans="20:22" x14ac:dyDescent="0.25">
      <c r="T1025" s="7" t="str">
        <f ca="1"/>
        <v>Z7 II</v>
      </c>
      <c r="U1025" s="7" t="str">
        <f ca="1"/>
        <v>0xD072</v>
      </c>
      <c r="V1025" s="7" t="str">
        <f ca="1"/>
        <v>ArtistV</v>
      </c>
    </row>
    <row r="1026" spans="20:22" x14ac:dyDescent="0.25">
      <c r="T1026" s="7" t="str">
        <f ca="1"/>
        <v>Z7 II</v>
      </c>
      <c r="U1026" s="7" t="str">
        <f ca="1"/>
        <v>0xD073</v>
      </c>
      <c r="V1026" s="7" t="str">
        <f ca="1"/>
        <v>CopyrightV</v>
      </c>
    </row>
    <row r="1027" spans="20:22" x14ac:dyDescent="0.25">
      <c r="T1027" s="7" t="str">
        <f ca="1"/>
        <v>Z7 II</v>
      </c>
      <c r="U1027" s="7" t="str">
        <f ca="1"/>
        <v>0xD074</v>
      </c>
      <c r="V1027" s="7" t="str">
        <f ca="1"/>
        <v>FlashSyncSpeed</v>
      </c>
    </row>
    <row r="1028" spans="20:22" x14ac:dyDescent="0.25">
      <c r="T1028" s="7" t="str">
        <f ca="1"/>
        <v>Z7 II</v>
      </c>
      <c r="U1028" s="7" t="str">
        <f ca="1"/>
        <v>0xD075</v>
      </c>
      <c r="V1028" s="7" t="str">
        <f ca="1"/>
        <v>FlashSlowSpeedLimit</v>
      </c>
    </row>
    <row r="1029" spans="20:22" x14ac:dyDescent="0.25">
      <c r="T1029" s="7" t="str">
        <f ca="1"/>
        <v>Z7 II</v>
      </c>
      <c r="U1029" s="7" t="str">
        <f ca="1"/>
        <v>0xD078</v>
      </c>
      <c r="V1029" s="7" t="str">
        <f ca="1"/>
        <v>BracketingType</v>
      </c>
    </row>
    <row r="1030" spans="20:22" x14ac:dyDescent="0.25">
      <c r="T1030" s="7" t="str">
        <f ca="1"/>
        <v>Z7 II</v>
      </c>
      <c r="U1030" s="7" t="str">
        <f ca="1"/>
        <v>0xD079</v>
      </c>
      <c r="V1030" s="7" t="str">
        <f ca="1"/>
        <v>SelectBracketChangeFactor</v>
      </c>
    </row>
    <row r="1031" spans="20:22" x14ac:dyDescent="0.25">
      <c r="T1031" s="7" t="str">
        <f ca="1"/>
        <v>Z7 II</v>
      </c>
      <c r="U1031" s="7" t="str">
        <f ca="1"/>
        <v>0xD07A</v>
      </c>
      <c r="V1031" s="7" t="str">
        <f ca="1"/>
        <v>BracketingOrder</v>
      </c>
    </row>
    <row r="1032" spans="20:22" x14ac:dyDescent="0.25">
      <c r="T1032" s="7" t="str">
        <f ca="1"/>
        <v>Z7 II</v>
      </c>
      <c r="U1032" s="7" t="str">
        <f ca="1"/>
        <v>0xD07D</v>
      </c>
      <c r="V1032" s="7" t="str">
        <f ca="1"/>
        <v>AngleLevelPitching</v>
      </c>
    </row>
    <row r="1033" spans="20:22" x14ac:dyDescent="0.25">
      <c r="T1033" s="7" t="str">
        <f ca="1"/>
        <v>Z7 II</v>
      </c>
      <c r="U1033" s="7" t="str">
        <f ca="1"/>
        <v>0xD07E</v>
      </c>
      <c r="V1033" s="7" t="str">
        <f ca="1"/>
        <v>AngleLevelYawing</v>
      </c>
    </row>
    <row r="1034" spans="20:22" x14ac:dyDescent="0.25">
      <c r="T1034" s="7" t="str">
        <f ca="1"/>
        <v>Z7 II</v>
      </c>
      <c r="U1034" s="7" t="str">
        <f ca="1"/>
        <v>0xD08A</v>
      </c>
      <c r="V1034" s="7" t="str">
        <f ca="1"/>
        <v>EnableShutter</v>
      </c>
    </row>
    <row r="1035" spans="20:22" x14ac:dyDescent="0.25">
      <c r="T1035" s="7" t="str">
        <f ca="1"/>
        <v>Z7 II</v>
      </c>
      <c r="U1035" s="7" t="str">
        <f ca="1"/>
        <v>0xD08D</v>
      </c>
      <c r="V1035" s="7" t="str">
        <f ca="1"/>
        <v>EnableAFAreaPoint</v>
      </c>
    </row>
    <row r="1036" spans="20:22" x14ac:dyDescent="0.25">
      <c r="T1036" s="7" t="str">
        <f ca="1"/>
        <v>Z7 II</v>
      </c>
      <c r="U1036" s="7" t="str">
        <f ca="1"/>
        <v>0xD08F</v>
      </c>
      <c r="V1036" s="7" t="str">
        <f ca="1"/>
        <v>ImageSensorCleaning</v>
      </c>
    </row>
    <row r="1037" spans="20:22" x14ac:dyDescent="0.25">
      <c r="T1037" s="7" t="str">
        <f ca="1"/>
        <v>Z7 II</v>
      </c>
      <c r="U1037" s="7" t="str">
        <f ca="1"/>
        <v>0xD090</v>
      </c>
      <c r="V1037" s="7" t="str">
        <f ca="1"/>
        <v>CommentString</v>
      </c>
    </row>
    <row r="1038" spans="20:22" x14ac:dyDescent="0.25">
      <c r="T1038" s="7" t="str">
        <f ca="1"/>
        <v>Z7 II</v>
      </c>
      <c r="U1038" s="7" t="str">
        <f ca="1"/>
        <v>0xD091</v>
      </c>
      <c r="V1038" s="7" t="str">
        <f ca="1"/>
        <v>EnableComment</v>
      </c>
    </row>
    <row r="1039" spans="20:22" x14ac:dyDescent="0.25">
      <c r="T1039" s="7" t="str">
        <f ca="1"/>
        <v>Z7 II</v>
      </c>
      <c r="U1039" s="7" t="str">
        <f ca="1"/>
        <v>0xD093</v>
      </c>
      <c r="V1039" s="7" t="str">
        <f ca="1"/>
        <v>ManualSettingLensNo</v>
      </c>
    </row>
    <row r="1040" spans="20:22" x14ac:dyDescent="0.25">
      <c r="T1040" s="7" t="str">
        <f ca="1"/>
        <v>Z7 II</v>
      </c>
      <c r="U1040" s="7" t="str">
        <f ca="1"/>
        <v>0xD09C</v>
      </c>
      <c r="V1040" s="7" t="str">
        <f ca="1"/>
        <v>RetractableLensWarning</v>
      </c>
    </row>
    <row r="1041" spans="20:22" x14ac:dyDescent="0.25">
      <c r="T1041" s="7" t="str">
        <f ca="1"/>
        <v>Z7 II</v>
      </c>
      <c r="U1041" s="7" t="str">
        <f ca="1"/>
        <v>0xD0A0</v>
      </c>
      <c r="V1041" s="7" t="str">
        <f ca="1"/>
        <v>MovieRecordScreenSize</v>
      </c>
    </row>
    <row r="1042" spans="20:22" x14ac:dyDescent="0.25">
      <c r="T1042" s="7" t="str">
        <f ca="1"/>
        <v>Z7 II</v>
      </c>
      <c r="U1042" s="7" t="str">
        <f ca="1"/>
        <v>0xD0A2</v>
      </c>
      <c r="V1042" s="7" t="str">
        <f ca="1"/>
        <v>MovieRecordMicrophoneLevel</v>
      </c>
    </row>
    <row r="1043" spans="20:22" x14ac:dyDescent="0.25">
      <c r="T1043" s="7" t="str">
        <f ca="1"/>
        <v>Z7 II</v>
      </c>
      <c r="U1043" s="7" t="str">
        <f ca="1"/>
        <v>0xD0A3</v>
      </c>
      <c r="V1043" s="7" t="str">
        <f ca="1"/>
        <v>MovieRecordDestination</v>
      </c>
    </row>
    <row r="1044" spans="20:22" x14ac:dyDescent="0.25">
      <c r="T1044" s="7" t="str">
        <f ca="1"/>
        <v>Z7 II</v>
      </c>
      <c r="U1044" s="7" t="str">
        <f ca="1"/>
        <v>0xD0A4</v>
      </c>
      <c r="V1044" s="7" t="str">
        <f ca="1"/>
        <v>MovieRecProhibitionCondition</v>
      </c>
    </row>
    <row r="1045" spans="20:22" x14ac:dyDescent="0.25">
      <c r="T1045" s="7" t="str">
        <f ca="1"/>
        <v>Z7 II</v>
      </c>
      <c r="U1045" s="7" t="str">
        <f ca="1"/>
        <v>0xD0A7</v>
      </c>
      <c r="V1045" s="7" t="str">
        <f ca="1"/>
        <v>MovieRecordQuality</v>
      </c>
    </row>
    <row r="1046" spans="20:22" x14ac:dyDescent="0.25">
      <c r="T1046" s="7" t="str">
        <f ca="1"/>
        <v>Z7 II</v>
      </c>
      <c r="U1046" s="7" t="str">
        <f ca="1"/>
        <v>0xD0A8</v>
      </c>
      <c r="V1046" s="7" t="str">
        <f ca="1"/>
        <v>MovieRecordMicrophoneLevelValue</v>
      </c>
    </row>
    <row r="1047" spans="20:22" x14ac:dyDescent="0.25">
      <c r="T1047" s="7" t="str">
        <f ca="1"/>
        <v>Z7 II</v>
      </c>
      <c r="U1047" s="7" t="str">
        <f ca="1"/>
        <v>0xD0AA</v>
      </c>
      <c r="V1047" s="7" t="str">
        <f ca="1"/>
        <v>MovieWindNoiseReduction</v>
      </c>
    </row>
    <row r="1048" spans="20:22" x14ac:dyDescent="0.25">
      <c r="T1048" s="7" t="str">
        <f ca="1"/>
        <v>Z7 II</v>
      </c>
      <c r="U1048" s="7" t="str">
        <f ca="1"/>
        <v>0xD0AC</v>
      </c>
      <c r="V1048" s="7" t="str">
        <f ca="1"/>
        <v>MovieRecordingZone</v>
      </c>
    </row>
    <row r="1049" spans="20:22" x14ac:dyDescent="0.25">
      <c r="T1049" s="7" t="str">
        <f ca="1"/>
        <v>Z7 II</v>
      </c>
      <c r="U1049" s="7" t="str">
        <f ca="1"/>
        <v>0xD0AD</v>
      </c>
      <c r="V1049" s="7" t="str">
        <f ca="1"/>
        <v>MovieISOAutoControl</v>
      </c>
    </row>
    <row r="1050" spans="20:22" x14ac:dyDescent="0.25">
      <c r="T1050" s="7" t="str">
        <f ca="1"/>
        <v>Z7 II</v>
      </c>
      <c r="U1050" s="7" t="str">
        <f ca="1"/>
        <v>0xD0AE</v>
      </c>
      <c r="V1050" s="7" t="str">
        <f ca="1"/>
        <v>MovieISOAutoHighLimit</v>
      </c>
    </row>
    <row r="1051" spans="20:22" x14ac:dyDescent="0.25">
      <c r="T1051" s="7" t="str">
        <f ca="1"/>
        <v>Z7 II</v>
      </c>
      <c r="U1051" s="7" t="str">
        <f ca="1"/>
        <v>0xD0AF</v>
      </c>
      <c r="V1051" s="7" t="str">
        <f ca="1"/>
        <v>MovieFileType</v>
      </c>
    </row>
    <row r="1052" spans="20:22" x14ac:dyDescent="0.25">
      <c r="T1052" s="7" t="str">
        <f ca="1"/>
        <v>Z7 II</v>
      </c>
      <c r="U1052" s="7" t="str">
        <f ca="1"/>
        <v>0xD0B4</v>
      </c>
      <c r="V1052" s="7" t="str">
        <f ca="1"/>
        <v>ExposureIndexEx</v>
      </c>
    </row>
    <row r="1053" spans="20:22" x14ac:dyDescent="0.25">
      <c r="T1053" s="7" t="str">
        <f ca="1"/>
        <v>Z7 II</v>
      </c>
      <c r="U1053" s="7" t="str">
        <f ca="1"/>
        <v>0xD0B5</v>
      </c>
      <c r="V1053" s="7" t="str">
        <f ca="1"/>
        <v>ISOControlSensitivity</v>
      </c>
    </row>
    <row r="1054" spans="20:22" x14ac:dyDescent="0.25">
      <c r="T1054" s="7" t="str">
        <f ca="1"/>
        <v>Z7 II</v>
      </c>
      <c r="U1054" s="7" t="str">
        <f ca="1"/>
        <v>0xD0B6</v>
      </c>
      <c r="V1054" s="7" t="str">
        <f ca="1"/>
        <v>RawImageSize</v>
      </c>
    </row>
    <row r="1055" spans="20:22" x14ac:dyDescent="0.25">
      <c r="T1055" s="7" t="str">
        <f ca="1"/>
        <v>Z7 II</v>
      </c>
      <c r="U1055" s="7" t="str">
        <f ca="1"/>
        <v>0xD0B7</v>
      </c>
      <c r="V1055" s="7" t="str">
        <f ca="1"/>
        <v>FlickerReductionSetting</v>
      </c>
    </row>
    <row r="1056" spans="20:22" x14ac:dyDescent="0.25">
      <c r="T1056" s="7" t="str">
        <f ca="1"/>
        <v>Z7 II</v>
      </c>
      <c r="U1056" s="7" t="str">
        <f ca="1"/>
        <v>0xD0BA</v>
      </c>
      <c r="V1056" s="7" t="str">
        <f ca="1"/>
        <v>DiffractionCompensation</v>
      </c>
    </row>
    <row r="1057" spans="20:22" x14ac:dyDescent="0.25">
      <c r="T1057" s="7" t="str">
        <f ca="1"/>
        <v>Z7 II</v>
      </c>
      <c r="U1057" s="7" t="str">
        <f ca="1"/>
        <v>0xD0BB</v>
      </c>
      <c r="V1057" s="7" t="str">
        <f ca="1"/>
        <v>MovieLogOutput</v>
      </c>
    </row>
    <row r="1058" spans="20:22" x14ac:dyDescent="0.25">
      <c r="T1058" s="7" t="str">
        <f ca="1"/>
        <v>Z7 II</v>
      </c>
      <c r="U1058" s="7" t="str">
        <f ca="1"/>
        <v>0xD0BC</v>
      </c>
      <c r="V1058" s="7" t="str">
        <f ca="1"/>
        <v>MovieAutoDistortion</v>
      </c>
    </row>
    <row r="1059" spans="20:22" x14ac:dyDescent="0.25">
      <c r="T1059" s="7" t="str">
        <f ca="1"/>
        <v>Z7 II</v>
      </c>
      <c r="U1059" s="7" t="str">
        <f ca="1"/>
        <v>0xD0BE</v>
      </c>
      <c r="V1059" s="7" t="str">
        <f ca="1"/>
        <v>RemainingExposureTime</v>
      </c>
    </row>
    <row r="1060" spans="20:22" x14ac:dyDescent="0.25">
      <c r="T1060" s="7" t="str">
        <f ca="1"/>
        <v>Z7 II</v>
      </c>
      <c r="U1060" s="7" t="str">
        <f ca="1"/>
        <v>0xD0BF</v>
      </c>
      <c r="V1060" s="7" t="str">
        <f ca="1"/>
        <v>MovieLogSetting</v>
      </c>
    </row>
    <row r="1061" spans="20:22" x14ac:dyDescent="0.25">
      <c r="T1061" s="7" t="str">
        <f ca="1"/>
        <v>Z7 II</v>
      </c>
      <c r="U1061" s="7" t="str">
        <f ca="1"/>
        <v>0xD0C0</v>
      </c>
      <c r="V1061" s="7" t="str">
        <f ca="1"/>
        <v>EnableBracketing</v>
      </c>
    </row>
    <row r="1062" spans="20:22" x14ac:dyDescent="0.25">
      <c r="T1062" s="7" t="str">
        <f ca="1"/>
        <v>Z7 II</v>
      </c>
      <c r="U1062" s="7" t="str">
        <f ca="1"/>
        <v>0xD0C1</v>
      </c>
      <c r="V1062" s="7" t="str">
        <f ca="1"/>
        <v>AEBracketingStep</v>
      </c>
    </row>
    <row r="1063" spans="20:22" x14ac:dyDescent="0.25">
      <c r="T1063" s="7" t="str">
        <f ca="1"/>
        <v>Z7 II</v>
      </c>
      <c r="U1063" s="7" t="str">
        <f ca="1"/>
        <v>0xD0C2</v>
      </c>
      <c r="V1063" s="7" t="str">
        <f ca="1"/>
        <v>AEBracketingPattern</v>
      </c>
    </row>
    <row r="1064" spans="20:22" x14ac:dyDescent="0.25">
      <c r="T1064" s="7" t="str">
        <f ca="1"/>
        <v>Z7 II</v>
      </c>
      <c r="U1064" s="7" t="str">
        <f ca="1"/>
        <v>0xD0C3</v>
      </c>
      <c r="V1064" s="7" t="str">
        <f ca="1"/>
        <v>AEBracketingCount</v>
      </c>
    </row>
    <row r="1065" spans="20:22" x14ac:dyDescent="0.25">
      <c r="T1065" s="7" t="str">
        <f ca="1"/>
        <v>Z7 II</v>
      </c>
      <c r="U1065" s="7" t="str">
        <f ca="1"/>
        <v>0xD0C4</v>
      </c>
      <c r="V1065" s="7" t="str">
        <f ca="1"/>
        <v>WBBracketingStep</v>
      </c>
    </row>
    <row r="1066" spans="20:22" x14ac:dyDescent="0.25">
      <c r="T1066" s="7" t="str">
        <f ca="1"/>
        <v>Z7 II</v>
      </c>
      <c r="U1066" s="7" t="str">
        <f ca="1"/>
        <v>0xD0C5</v>
      </c>
      <c r="V1066" s="7" t="str">
        <f ca="1"/>
        <v>WBBracketingPattern</v>
      </c>
    </row>
    <row r="1067" spans="20:22" x14ac:dyDescent="0.25">
      <c r="T1067" s="7" t="str">
        <f ca="1"/>
        <v>Z7 II</v>
      </c>
      <c r="U1067" s="7" t="str">
        <f ca="1"/>
        <v>0xD0C6</v>
      </c>
      <c r="V1067" s="7" t="str">
        <f ca="1"/>
        <v>ADLBracketingPattern</v>
      </c>
    </row>
    <row r="1068" spans="20:22" x14ac:dyDescent="0.25">
      <c r="T1068" s="7" t="str">
        <f ca="1"/>
        <v>Z7 II</v>
      </c>
      <c r="U1068" s="7" t="str">
        <f ca="1"/>
        <v>0xD0C7</v>
      </c>
      <c r="V1068" s="7" t="str">
        <f ca="1"/>
        <v>ADLBracketingStep</v>
      </c>
    </row>
    <row r="1069" spans="20:22" x14ac:dyDescent="0.25">
      <c r="T1069" s="7" t="str">
        <f ca="1"/>
        <v>Z7 II</v>
      </c>
      <c r="U1069" s="7" t="str">
        <f ca="1"/>
        <v>0xD0CC</v>
      </c>
      <c r="V1069" s="7" t="str">
        <f ca="1"/>
        <v>HDMIOutputDataDepth</v>
      </c>
    </row>
    <row r="1070" spans="20:22" x14ac:dyDescent="0.25">
      <c r="T1070" s="7" t="str">
        <f ca="1"/>
        <v>Z7 II</v>
      </c>
      <c r="U1070" s="7" t="str">
        <f ca="1"/>
        <v>0xD0CD</v>
      </c>
      <c r="V1070" s="7" t="str">
        <f ca="1"/>
        <v>SaveFocusPosition</v>
      </c>
    </row>
    <row r="1071" spans="20:22" x14ac:dyDescent="0.25">
      <c r="T1071" s="7" t="str">
        <f ca="1"/>
        <v>Z7 II</v>
      </c>
      <c r="U1071" s="7" t="str">
        <f ca="1"/>
        <v>0xD0E0</v>
      </c>
      <c r="V1071" s="7" t="str">
        <f ca="1"/>
        <v>LensID</v>
      </c>
    </row>
    <row r="1072" spans="20:22" x14ac:dyDescent="0.25">
      <c r="T1072" s="7" t="str">
        <f ca="1"/>
        <v>Z7 II</v>
      </c>
      <c r="U1072" s="7" t="str">
        <f ca="1"/>
        <v>0xD0E1</v>
      </c>
      <c r="V1072" s="7" t="str">
        <f ca="1"/>
        <v>LensSort</v>
      </c>
    </row>
    <row r="1073" spans="20:22" x14ac:dyDescent="0.25">
      <c r="T1073" s="7" t="str">
        <f ca="1"/>
        <v>Z7 II</v>
      </c>
      <c r="U1073" s="7" t="str">
        <f ca="1"/>
        <v>0xD0E2</v>
      </c>
      <c r="V1073" s="7" t="str">
        <f ca="1"/>
        <v>LensTypeF</v>
      </c>
    </row>
    <row r="1074" spans="20:22" x14ac:dyDescent="0.25">
      <c r="T1074" s="7" t="str">
        <f ca="1"/>
        <v>Z7 II</v>
      </c>
      <c r="U1074" s="7" t="str">
        <f ca="1"/>
        <v>0xD0E3</v>
      </c>
      <c r="V1074" s="7" t="str">
        <f ca="1"/>
        <v>LensFocalMin</v>
      </c>
    </row>
    <row r="1075" spans="20:22" x14ac:dyDescent="0.25">
      <c r="T1075" s="7" t="str">
        <f ca="1"/>
        <v>Z7 II</v>
      </c>
      <c r="U1075" s="7" t="str">
        <f ca="1"/>
        <v>0xD0E4</v>
      </c>
      <c r="V1075" s="7" t="str">
        <f ca="1"/>
        <v>LensFocalMax</v>
      </c>
    </row>
    <row r="1076" spans="20:22" x14ac:dyDescent="0.25">
      <c r="T1076" s="7" t="str">
        <f ca="1"/>
        <v>Z7 II</v>
      </c>
      <c r="U1076" s="7" t="str">
        <f ca="1"/>
        <v>0xD0E5</v>
      </c>
      <c r="V1076" s="7" t="str">
        <f ca="1"/>
        <v>LensApatureMin</v>
      </c>
    </row>
    <row r="1077" spans="20:22" x14ac:dyDescent="0.25">
      <c r="T1077" s="7" t="str">
        <f ca="1"/>
        <v>Z7 II</v>
      </c>
      <c r="U1077" s="7" t="str">
        <f ca="1"/>
        <v>0xD0E6</v>
      </c>
      <c r="V1077" s="7" t="str">
        <f ca="1"/>
        <v>LensApatureMax</v>
      </c>
    </row>
    <row r="1078" spans="20:22" x14ac:dyDescent="0.25">
      <c r="T1078" s="7" t="str">
        <f ca="1"/>
        <v>Z7 II</v>
      </c>
      <c r="U1078" s="7" t="str">
        <f ca="1"/>
        <v>0xD0E7</v>
      </c>
      <c r="V1078" s="7" t="str">
        <f ca="1"/>
        <v>LensTypeML</v>
      </c>
    </row>
    <row r="1079" spans="20:22" x14ac:dyDescent="0.25">
      <c r="T1079" s="7" t="str">
        <f ca="1"/>
        <v>Z7 II</v>
      </c>
      <c r="U1079" s="7" t="str">
        <f ca="1"/>
        <v>0xD0F7</v>
      </c>
      <c r="V1079" s="7" t="str">
        <f ca="1"/>
        <v>VignetteControl</v>
      </c>
    </row>
    <row r="1080" spans="20:22" x14ac:dyDescent="0.25">
      <c r="T1080" s="7" t="str">
        <f ca="1"/>
        <v>Z7 II</v>
      </c>
      <c r="U1080" s="7" t="str">
        <f ca="1"/>
        <v>0xD0F8</v>
      </c>
      <c r="V1080" s="7" t="str">
        <f ca="1"/>
        <v>AutoDistortion</v>
      </c>
    </row>
    <row r="1081" spans="20:22" x14ac:dyDescent="0.25">
      <c r="T1081" s="7" t="str">
        <f ca="1"/>
        <v>Z7 II</v>
      </c>
      <c r="U1081" s="7" t="str">
        <f ca="1"/>
        <v>0xD0FC</v>
      </c>
      <c r="V1081" s="7" t="str">
        <f ca="1"/>
        <v>UserMode</v>
      </c>
    </row>
    <row r="1082" spans="20:22" x14ac:dyDescent="0.25">
      <c r="T1082" s="7" t="str">
        <f ca="1"/>
        <v>Z7 II</v>
      </c>
      <c r="U1082" s="7" t="str">
        <f ca="1"/>
        <v>0xD100</v>
      </c>
      <c r="V1082" s="7" t="str">
        <f ca="1"/>
        <v>ShutterSpeed</v>
      </c>
    </row>
    <row r="1083" spans="20:22" x14ac:dyDescent="0.25">
      <c r="T1083" s="7" t="str">
        <f ca="1"/>
        <v>Z7 II</v>
      </c>
      <c r="U1083" s="7" t="str">
        <f ca="1"/>
        <v>0xD101</v>
      </c>
      <c r="V1083" s="7" t="str">
        <f ca="1"/>
        <v>ExternalDC</v>
      </c>
    </row>
    <row r="1084" spans="20:22" x14ac:dyDescent="0.25">
      <c r="T1084" s="7" t="str">
        <f ca="1"/>
        <v>Z7 II</v>
      </c>
      <c r="U1084" s="7" t="str">
        <f ca="1"/>
        <v>0xD102</v>
      </c>
      <c r="V1084" s="7" t="str">
        <f ca="1"/>
        <v>WarningStatus</v>
      </c>
    </row>
    <row r="1085" spans="20:22" x14ac:dyDescent="0.25">
      <c r="T1085" s="7" t="str">
        <f ca="1"/>
        <v>Z7 II</v>
      </c>
      <c r="U1085" s="7" t="str">
        <f ca="1"/>
        <v>0xD104</v>
      </c>
      <c r="V1085" s="7" t="str">
        <f ca="1"/>
        <v>AFLockStatus</v>
      </c>
    </row>
    <row r="1086" spans="20:22" x14ac:dyDescent="0.25">
      <c r="T1086" s="7" t="str">
        <f ca="1"/>
        <v>Z7 II</v>
      </c>
      <c r="U1086" s="7" t="str">
        <f ca="1"/>
        <v>0xD105</v>
      </c>
      <c r="V1086" s="7" t="str">
        <f ca="1"/>
        <v>AELockStatus</v>
      </c>
    </row>
    <row r="1087" spans="20:22" x14ac:dyDescent="0.25">
      <c r="T1087" s="7" t="str">
        <f ca="1"/>
        <v>Z7 II</v>
      </c>
      <c r="U1087" s="7" t="str">
        <f ca="1"/>
        <v>0xD106</v>
      </c>
      <c r="V1087" s="7" t="str">
        <f ca="1"/>
        <v>FVLockStatus</v>
      </c>
    </row>
    <row r="1088" spans="20:22" x14ac:dyDescent="0.25">
      <c r="T1088" s="7" t="str">
        <f ca="1"/>
        <v>Z7 II</v>
      </c>
      <c r="U1088" s="7" t="str">
        <f ca="1"/>
        <v>0xD109</v>
      </c>
      <c r="V1088" s="7" t="str">
        <f ca="1"/>
        <v>FlexibleProgram</v>
      </c>
    </row>
    <row r="1089" spans="20:22" x14ac:dyDescent="0.25">
      <c r="T1089" s="7" t="str">
        <f ca="1"/>
        <v>Z7 II</v>
      </c>
      <c r="U1089" s="7" t="str">
        <f ca="1"/>
        <v>0xD10B</v>
      </c>
      <c r="V1089" s="7" t="str">
        <f ca="1"/>
        <v>RecordingMedia</v>
      </c>
    </row>
    <row r="1090" spans="20:22" x14ac:dyDescent="0.25">
      <c r="T1090" s="7" t="str">
        <f ca="1"/>
        <v>Z7 II</v>
      </c>
      <c r="U1090" s="7" t="str">
        <f ca="1"/>
        <v>0xD10C</v>
      </c>
      <c r="V1090" s="7" t="str">
        <f ca="1"/>
        <v>USBSpeed</v>
      </c>
    </row>
    <row r="1091" spans="20:22" x14ac:dyDescent="0.25">
      <c r="T1091" s="7" t="str">
        <f ca="1"/>
        <v>Z7 II</v>
      </c>
      <c r="U1091" s="7" t="str">
        <f ca="1"/>
        <v>0xD10E</v>
      </c>
      <c r="V1091" s="7" t="str">
        <f ca="1"/>
        <v>Orientation</v>
      </c>
    </row>
    <row r="1092" spans="20:22" x14ac:dyDescent="0.25">
      <c r="T1092" s="7" t="str">
        <f ca="1"/>
        <v>Z7 II</v>
      </c>
      <c r="U1092" s="7" t="str">
        <f ca="1"/>
        <v>0xD112</v>
      </c>
      <c r="V1092" s="7" t="str">
        <f ca="1"/>
        <v>TVLockSetting</v>
      </c>
    </row>
    <row r="1093" spans="20:22" x14ac:dyDescent="0.25">
      <c r="T1093" s="7" t="str">
        <f ca="1"/>
        <v>Z7 II</v>
      </c>
      <c r="U1093" s="7" t="str">
        <f ca="1"/>
        <v>0xD113</v>
      </c>
      <c r="V1093" s="7" t="str">
        <f ca="1"/>
        <v>AVLockSetting</v>
      </c>
    </row>
    <row r="1094" spans="20:22" x14ac:dyDescent="0.25">
      <c r="T1094" s="7" t="str">
        <f ca="1"/>
        <v>Z7 II</v>
      </c>
      <c r="U1094" s="7" t="str">
        <f ca="1"/>
        <v>0xD118</v>
      </c>
      <c r="V1094" s="7" t="str">
        <f ca="1"/>
        <v>ExposureCompFlashUsed</v>
      </c>
    </row>
    <row r="1095" spans="20:22" x14ac:dyDescent="0.25">
      <c r="T1095" s="7" t="str">
        <f ca="1"/>
        <v>Z7 II</v>
      </c>
      <c r="U1095" s="7" t="str">
        <f ca="1"/>
        <v>0xD120</v>
      </c>
      <c r="V1095" s="7" t="str">
        <f ca="1"/>
        <v>ExternalSpeedLightExist</v>
      </c>
    </row>
    <row r="1096" spans="20:22" x14ac:dyDescent="0.25">
      <c r="T1096" s="7" t="str">
        <f ca="1"/>
        <v>Z7 II</v>
      </c>
      <c r="U1096" s="7" t="str">
        <f ca="1"/>
        <v>0xD121</v>
      </c>
      <c r="V1096" s="7" t="str">
        <f ca="1"/>
        <v>ExternalSpeedLightStatus</v>
      </c>
    </row>
    <row r="1097" spans="20:22" x14ac:dyDescent="0.25">
      <c r="T1097" s="7" t="str">
        <f ca="1"/>
        <v>Z7 II</v>
      </c>
      <c r="U1097" s="7" t="str">
        <f ca="1"/>
        <v>0xD122</v>
      </c>
      <c r="V1097" s="7" t="str">
        <f ca="1"/>
        <v>ExternalSpeedLightSort</v>
      </c>
    </row>
    <row r="1098" spans="20:22" x14ac:dyDescent="0.25">
      <c r="T1098" s="7" t="str">
        <f ca="1"/>
        <v>Z7 II</v>
      </c>
      <c r="U1098" s="7" t="str">
        <f ca="1"/>
        <v>0xD124</v>
      </c>
      <c r="V1098" s="7" t="str">
        <f ca="1"/>
        <v>FlashCompensation</v>
      </c>
    </row>
    <row r="1099" spans="20:22" x14ac:dyDescent="0.25">
      <c r="T1099" s="7" t="str">
        <f ca="1"/>
        <v>Z7 II</v>
      </c>
      <c r="U1099" s="7" t="str">
        <f ca="1"/>
        <v>0xD125</v>
      </c>
      <c r="V1099" s="7" t="str">
        <f ca="1"/>
        <v>NewExternalSpeedLightMode</v>
      </c>
    </row>
    <row r="1100" spans="20:22" x14ac:dyDescent="0.25">
      <c r="T1100" s="7" t="str">
        <f ca="1"/>
        <v>Z7 II</v>
      </c>
      <c r="U1100" s="7" t="str">
        <f ca="1"/>
        <v>0xD126</v>
      </c>
      <c r="V1100" s="7" t="str">
        <f ca="1"/>
        <v>InternalFlashCompensation</v>
      </c>
    </row>
    <row r="1101" spans="20:22" x14ac:dyDescent="0.25">
      <c r="T1101" s="7" t="str">
        <f ca="1"/>
        <v>Z7 II</v>
      </c>
      <c r="U1101" s="7" t="str">
        <f ca="1"/>
        <v>0xD12D</v>
      </c>
      <c r="V1101" s="7" t="str">
        <f ca="1"/>
        <v>ExternalSpeedLightMultiFlashMode</v>
      </c>
    </row>
    <row r="1102" spans="20:22" x14ac:dyDescent="0.25">
      <c r="T1102" s="7" t="str">
        <f ca="1"/>
        <v>Z7 II</v>
      </c>
      <c r="U1102" s="7" t="str">
        <f ca="1"/>
        <v>0xD12E</v>
      </c>
      <c r="V1102" s="7" t="str">
        <f ca="1"/>
        <v>ConnectionPath</v>
      </c>
    </row>
    <row r="1103" spans="20:22" x14ac:dyDescent="0.25">
      <c r="T1103" s="7" t="str">
        <f ca="1"/>
        <v>Z7 II</v>
      </c>
      <c r="U1103" s="7" t="str">
        <f ca="1"/>
        <v>0xD130</v>
      </c>
      <c r="V1103" s="7" t="str">
        <f ca="1"/>
        <v>HDRMode</v>
      </c>
    </row>
    <row r="1104" spans="20:22" x14ac:dyDescent="0.25">
      <c r="T1104" s="7" t="str">
        <f ca="1"/>
        <v>Z7 II</v>
      </c>
      <c r="U1104" s="7" t="str">
        <f ca="1"/>
        <v>0xD131</v>
      </c>
      <c r="V1104" s="7" t="str">
        <f ca="1"/>
        <v>HDREv</v>
      </c>
    </row>
    <row r="1105" spans="20:22" x14ac:dyDescent="0.25">
      <c r="T1105" s="7" t="str">
        <f ca="1"/>
        <v>Z7 II</v>
      </c>
      <c r="U1105" s="7" t="str">
        <f ca="1"/>
        <v>0xD132</v>
      </c>
      <c r="V1105" s="7" t="str">
        <f ca="1"/>
        <v>HDRSmoothing</v>
      </c>
    </row>
    <row r="1106" spans="20:22" x14ac:dyDescent="0.25">
      <c r="T1106" s="7" t="str">
        <f ca="1"/>
        <v>Z7 II</v>
      </c>
      <c r="U1106" s="7" t="str">
        <f ca="1"/>
        <v>0xD133</v>
      </c>
      <c r="V1106" s="7" t="str">
        <f ca="1"/>
        <v>HDRSaveIndividualImages</v>
      </c>
    </row>
    <row r="1107" spans="20:22" x14ac:dyDescent="0.25">
      <c r="T1107" s="7" t="str">
        <f ca="1"/>
        <v>Z7 II</v>
      </c>
      <c r="U1107" s="7" t="str">
        <f ca="1"/>
        <v>0xD138</v>
      </c>
      <c r="V1107" s="7" t="str">
        <f ca="1"/>
        <v>VibrationReduction</v>
      </c>
    </row>
    <row r="1108" spans="20:22" x14ac:dyDescent="0.25">
      <c r="T1108" s="7" t="str">
        <f ca="1"/>
        <v>Z7 II</v>
      </c>
      <c r="U1108" s="7" t="str">
        <f ca="1"/>
        <v>0xD141</v>
      </c>
      <c r="V1108" s="7" t="str">
        <f ca="1"/>
        <v>WbAutoType</v>
      </c>
    </row>
    <row r="1109" spans="20:22" x14ac:dyDescent="0.25">
      <c r="T1109" s="7" t="str">
        <f ca="1"/>
        <v>Z7 II</v>
      </c>
      <c r="U1109" s="7" t="str">
        <f ca="1"/>
        <v>0xD148</v>
      </c>
      <c r="V1109" s="7" t="str">
        <f ca="1"/>
        <v>Slot2ImageSaveMode</v>
      </c>
    </row>
    <row r="1110" spans="20:22" x14ac:dyDescent="0.25">
      <c r="T1110" s="7" t="str">
        <f ca="1"/>
        <v>Z7 II</v>
      </c>
      <c r="U1110" s="7" t="str">
        <f ca="1"/>
        <v>0xD149</v>
      </c>
      <c r="V1110" s="7" t="str">
        <f ca="1"/>
        <v>RawCompressionBitMode</v>
      </c>
    </row>
    <row r="1111" spans="20:22" x14ac:dyDescent="0.25">
      <c r="T1111" s="7" t="str">
        <f ca="1"/>
        <v>Z7 II</v>
      </c>
      <c r="U1111" s="7" t="str">
        <f ca="1"/>
        <v>0xD14E</v>
      </c>
      <c r="V1111" s="7" t="str">
        <f ca="1"/>
        <v>Active</v>
      </c>
    </row>
    <row r="1112" spans="20:22" x14ac:dyDescent="0.25">
      <c r="T1112" s="7" t="str">
        <f ca="1"/>
        <v>Z7 II</v>
      </c>
      <c r="U1112" s="7" t="str">
        <f ca="1"/>
        <v>0xD14F</v>
      </c>
      <c r="V1112" s="7" t="str">
        <f ca="1"/>
        <v>WbFluorescentType</v>
      </c>
    </row>
    <row r="1113" spans="20:22" x14ac:dyDescent="0.25">
      <c r="T1113" s="7" t="str">
        <f ca="1"/>
        <v>Z7 II</v>
      </c>
      <c r="U1113" s="7" t="str">
        <f ca="1"/>
        <v>0xD150</v>
      </c>
      <c r="V1113" s="7" t="str">
        <f ca="1"/>
        <v>WbTuneColorTemp</v>
      </c>
    </row>
    <row r="1114" spans="20:22" x14ac:dyDescent="0.25">
      <c r="T1114" s="7" t="str">
        <f ca="1"/>
        <v>Z7 II</v>
      </c>
      <c r="U1114" s="7" t="str">
        <f ca="1"/>
        <v>0xD152</v>
      </c>
      <c r="V1114" s="7" t="str">
        <f ca="1"/>
        <v>WbTunePreset1</v>
      </c>
    </row>
    <row r="1115" spans="20:22" x14ac:dyDescent="0.25">
      <c r="T1115" s="7" t="str">
        <f ca="1"/>
        <v>Z7 II</v>
      </c>
      <c r="U1115" s="7" t="str">
        <f ca="1"/>
        <v>0xD153</v>
      </c>
      <c r="V1115" s="7" t="str">
        <f ca="1"/>
        <v>WbTunePreset2</v>
      </c>
    </row>
    <row r="1116" spans="20:22" x14ac:dyDescent="0.25">
      <c r="T1116" s="7" t="str">
        <f ca="1"/>
        <v>Z7 II</v>
      </c>
      <c r="U1116" s="7" t="str">
        <f ca="1"/>
        <v>0xD154</v>
      </c>
      <c r="V1116" s="7" t="str">
        <f ca="1"/>
        <v>WbTunePreset3</v>
      </c>
    </row>
    <row r="1117" spans="20:22" x14ac:dyDescent="0.25">
      <c r="T1117" s="7" t="str">
        <f ca="1"/>
        <v>Z7 II</v>
      </c>
      <c r="U1117" s="7" t="str">
        <f ca="1"/>
        <v>0xD155</v>
      </c>
      <c r="V1117" s="7" t="str">
        <f ca="1"/>
        <v>WbTunePreset4</v>
      </c>
    </row>
    <row r="1118" spans="20:22" x14ac:dyDescent="0.25">
      <c r="T1118" s="7" t="str">
        <f ca="1"/>
        <v>Z7 II</v>
      </c>
      <c r="U1118" s="7" t="str">
        <f ca="1"/>
        <v>0xD158</v>
      </c>
      <c r="V1118" s="7" t="str">
        <f ca="1"/>
        <v>WbPresetProtect1</v>
      </c>
    </row>
    <row r="1119" spans="20:22" x14ac:dyDescent="0.25">
      <c r="T1119" s="7" t="str">
        <f ca="1"/>
        <v>Z7 II</v>
      </c>
      <c r="U1119" s="7" t="str">
        <f ca="1"/>
        <v>0xD159</v>
      </c>
      <c r="V1119" s="7" t="str">
        <f ca="1"/>
        <v>WbPresetProtect2</v>
      </c>
    </row>
    <row r="1120" spans="20:22" x14ac:dyDescent="0.25">
      <c r="T1120" s="7" t="str">
        <f ca="1"/>
        <v>Z7 II</v>
      </c>
      <c r="U1120" s="7" t="str">
        <f ca="1"/>
        <v>0xD15A</v>
      </c>
      <c r="V1120" s="7" t="str">
        <f ca="1"/>
        <v>WbPresetProtect3</v>
      </c>
    </row>
    <row r="1121" spans="20:22" x14ac:dyDescent="0.25">
      <c r="T1121" s="7" t="str">
        <f ca="1"/>
        <v>Z7 II</v>
      </c>
      <c r="U1121" s="7" t="str">
        <f ca="1"/>
        <v>0xD15B</v>
      </c>
      <c r="V1121" s="7" t="str">
        <f ca="1"/>
        <v>ActiveFolder</v>
      </c>
    </row>
    <row r="1122" spans="20:22" x14ac:dyDescent="0.25">
      <c r="T1122" s="7" t="str">
        <f ca="1"/>
        <v>Z7 II</v>
      </c>
      <c r="U1122" s="7" t="str">
        <f ca="1"/>
        <v>0xD15C</v>
      </c>
      <c r="V1122" s="7" t="str">
        <f ca="1"/>
        <v>WbPresetProtect4</v>
      </c>
    </row>
    <row r="1123" spans="20:22" x14ac:dyDescent="0.25">
      <c r="T1123" s="7" t="str">
        <f ca="1"/>
        <v>Z7 II</v>
      </c>
      <c r="U1123" s="7" t="str">
        <f ca="1"/>
        <v>0xD15E</v>
      </c>
      <c r="V1123" s="7" t="str">
        <f ca="1"/>
        <v>WbTuneNatural</v>
      </c>
    </row>
    <row r="1124" spans="20:22" x14ac:dyDescent="0.25">
      <c r="T1124" s="7" t="str">
        <f ca="1"/>
        <v>Z7 II</v>
      </c>
      <c r="U1124" s="7" t="str">
        <f ca="1"/>
        <v>0xD164</v>
      </c>
      <c r="V1124" s="7" t="str">
        <f ca="1"/>
        <v>ISOAutoShutterTime</v>
      </c>
    </row>
    <row r="1125" spans="20:22" x14ac:dyDescent="0.25">
      <c r="T1125" s="7" t="str">
        <f ca="1"/>
        <v>Z7 II</v>
      </c>
      <c r="U1125" s="7" t="str">
        <f ca="1"/>
        <v>0xD16A</v>
      </c>
      <c r="V1125" s="7" t="str">
        <f ca="1"/>
        <v>ISOAutoSetting</v>
      </c>
    </row>
    <row r="1126" spans="20:22" x14ac:dyDescent="0.25">
      <c r="T1126" s="7" t="str">
        <f ca="1"/>
        <v>Z7 II</v>
      </c>
      <c r="U1126" s="7" t="str">
        <f ca="1"/>
        <v>0xD16E</v>
      </c>
      <c r="V1126" s="7" t="str">
        <f ca="1"/>
        <v>ExtendedShutterSpeedsManual</v>
      </c>
    </row>
    <row r="1127" spans="20:22" x14ac:dyDescent="0.25">
      <c r="T1127" s="7" t="str">
        <f ca="1"/>
        <v>Z7 II</v>
      </c>
      <c r="U1127" s="7" t="str">
        <f ca="1"/>
        <v>0xD17A</v>
      </c>
      <c r="V1127" s="7" t="str">
        <f ca="1"/>
        <v>LowLightAF</v>
      </c>
    </row>
    <row r="1128" spans="20:22" x14ac:dyDescent="0.25">
      <c r="T1128" s="7" t="str">
        <f ca="1"/>
        <v>Z7 II</v>
      </c>
      <c r="U1128" s="7" t="str">
        <f ca="1"/>
        <v>0xD17B</v>
      </c>
      <c r="V1128" s="7" t="str">
        <f ca="1"/>
        <v>ApplyLiveViewSetting</v>
      </c>
    </row>
    <row r="1129" spans="20:22" x14ac:dyDescent="0.25">
      <c r="T1129" s="7" t="str">
        <f ca="1"/>
        <v>Z7 II</v>
      </c>
      <c r="U1129" s="7" t="str">
        <f ca="1"/>
        <v>0xD17C</v>
      </c>
      <c r="V1129" s="7" t="str">
        <f ca="1"/>
        <v>MovieAfSpeed</v>
      </c>
    </row>
    <row r="1130" spans="20:22" x14ac:dyDescent="0.25">
      <c r="T1130" s="7" t="str">
        <f ca="1"/>
        <v>Z7 II</v>
      </c>
      <c r="U1130" s="7" t="str">
        <f ca="1"/>
        <v>0xD17D</v>
      </c>
      <c r="V1130" s="7" t="str">
        <f ca="1"/>
        <v>MovieAfSpeedWhenToApply</v>
      </c>
    </row>
    <row r="1131" spans="20:22" x14ac:dyDescent="0.25">
      <c r="T1131" s="7" t="str">
        <f ca="1"/>
        <v>Z7 II</v>
      </c>
      <c r="U1131" s="7" t="str">
        <f ca="1"/>
        <v>0xD17E</v>
      </c>
      <c r="V1131" s="7" t="str">
        <f ca="1"/>
        <v>MovieAfTrackingSensitivity</v>
      </c>
    </row>
    <row r="1132" spans="20:22" x14ac:dyDescent="0.25">
      <c r="T1132" s="7" t="str">
        <f ca="1"/>
        <v>Z7 II</v>
      </c>
      <c r="U1132" s="7" t="str">
        <f ca="1"/>
        <v>0xD183</v>
      </c>
      <c r="V1132" s="7" t="str">
        <f ca="1"/>
        <v>ISOAutoHighLimit</v>
      </c>
    </row>
    <row r="1133" spans="20:22" x14ac:dyDescent="0.25">
      <c r="T1133" s="7" t="str">
        <f ca="1"/>
        <v>Z7 II</v>
      </c>
      <c r="U1133" s="7" t="str">
        <f ca="1"/>
        <v>0xD197</v>
      </c>
      <c r="V1133" s="7" t="str">
        <f ca="1"/>
        <v>MovieReleaseButton</v>
      </c>
    </row>
    <row r="1134" spans="20:22" x14ac:dyDescent="0.25">
      <c r="T1134" s="7" t="str">
        <f ca="1"/>
        <v>Z7 II</v>
      </c>
      <c r="U1134" s="7" t="str">
        <f ca="1"/>
        <v>0xD199</v>
      </c>
      <c r="V1134" s="7" t="str">
        <f ca="1"/>
        <v>FlashISOAutoHighLimit</v>
      </c>
    </row>
    <row r="1135" spans="20:22" x14ac:dyDescent="0.25">
      <c r="T1135" s="7" t="str">
        <f ca="1"/>
        <v>Z7 II</v>
      </c>
      <c r="U1135" s="7" t="str">
        <f ca="1"/>
        <v>0xD1A2</v>
      </c>
      <c r="V1135" s="7" t="str">
        <f ca="1"/>
        <v>RemoteLiveViewStatus</v>
      </c>
    </row>
    <row r="1136" spans="20:22" x14ac:dyDescent="0.25">
      <c r="T1136" s="7" t="str">
        <f ca="1"/>
        <v>Z7 II</v>
      </c>
      <c r="U1136" s="7" t="str">
        <f ca="1"/>
        <v>0xD1A4</v>
      </c>
      <c r="V1136" s="7" t="str">
        <f ca="1"/>
        <v>LiveViewProhibitionCondition</v>
      </c>
    </row>
    <row r="1137" spans="20:22" x14ac:dyDescent="0.25">
      <c r="T1137" s="7" t="str">
        <f ca="1"/>
        <v>Z7 II</v>
      </c>
      <c r="U1137" s="7" t="str">
        <f ca="1"/>
        <v>0xD1A6</v>
      </c>
      <c r="V1137" s="7" t="str">
        <f ca="1"/>
        <v>LiveViewSelector</v>
      </c>
    </row>
    <row r="1138" spans="20:22" x14ac:dyDescent="0.25">
      <c r="T1138" s="7" t="str">
        <f ca="1"/>
        <v>Z7 II</v>
      </c>
      <c r="U1138" s="7" t="str">
        <f ca="1"/>
        <v>0xD1A8</v>
      </c>
      <c r="V1138" s="7" t="str">
        <f ca="1"/>
        <v>MovieShutterSpeed</v>
      </c>
    </row>
    <row r="1139" spans="20:22" x14ac:dyDescent="0.25">
      <c r="T1139" s="7" t="str">
        <f ca="1"/>
        <v>Z7 II</v>
      </c>
      <c r="U1139" s="7" t="str">
        <f ca="1"/>
        <v>0xD1A9</v>
      </c>
      <c r="V1139" s="7" t="str">
        <f ca="1"/>
        <v>MovieFnumber</v>
      </c>
    </row>
    <row r="1140" spans="20:22" x14ac:dyDescent="0.25">
      <c r="T1140" s="7" t="str">
        <f ca="1"/>
        <v>Z7 II</v>
      </c>
      <c r="U1140" s="7" t="str">
        <f ca="1"/>
        <v>0xD1AA</v>
      </c>
      <c r="V1140" s="7" t="str">
        <f ca="1"/>
        <v>MovieExposureIndex</v>
      </c>
    </row>
    <row r="1141" spans="20:22" x14ac:dyDescent="0.25">
      <c r="T1141" s="7" t="str">
        <f ca="1"/>
        <v>Z7 II</v>
      </c>
      <c r="U1141" s="7" t="str">
        <f ca="1"/>
        <v>0xD1AB</v>
      </c>
      <c r="V1141" s="7" t="str">
        <f ca="1"/>
        <v>MovieExposureBiasCompensation</v>
      </c>
    </row>
    <row r="1142" spans="20:22" x14ac:dyDescent="0.25">
      <c r="T1142" s="7" t="str">
        <f ca="1"/>
        <v>Z7 II</v>
      </c>
      <c r="U1142" s="7" t="str">
        <f ca="1"/>
        <v>0xD1AC</v>
      </c>
      <c r="V1142" s="7" t="str">
        <f ca="1"/>
        <v>LiveViewImageSize</v>
      </c>
    </row>
    <row r="1143" spans="20:22" x14ac:dyDescent="0.25">
      <c r="T1143" s="7" t="str">
        <f ca="1"/>
        <v>Z7 II</v>
      </c>
      <c r="U1143" s="7" t="str">
        <f ca="1"/>
        <v>0xD1AD</v>
      </c>
      <c r="V1143" s="7" t="str">
        <f ca="1"/>
        <v>SilentPhotography</v>
      </c>
    </row>
    <row r="1144" spans="20:22" x14ac:dyDescent="0.25">
      <c r="T1144" s="7" t="str">
        <f ca="1"/>
        <v>Z7 II</v>
      </c>
      <c r="U1144" s="7" t="str">
        <f ca="1"/>
        <v>0xD1AF</v>
      </c>
      <c r="V1144" s="7" t="str">
        <f ca="1"/>
        <v>MovieExposureMeteringMode</v>
      </c>
    </row>
    <row r="1145" spans="20:22" x14ac:dyDescent="0.25">
      <c r="T1145" s="7" t="str">
        <f ca="1"/>
        <v>Z7 II</v>
      </c>
      <c r="U1145" s="7" t="str">
        <f ca="1"/>
        <v>0xD1B0</v>
      </c>
      <c r="V1145" s="7" t="str">
        <f ca="1"/>
        <v>ExposureDisplayStatus</v>
      </c>
    </row>
    <row r="1146" spans="20:22" x14ac:dyDescent="0.25">
      <c r="T1146" s="7" t="str">
        <f ca="1"/>
        <v>Z7 II</v>
      </c>
      <c r="U1146" s="7" t="str">
        <f ca="1"/>
        <v>0xD1B1</v>
      </c>
      <c r="V1146" s="7" t="str">
        <f ca="1"/>
        <v>ExposureIndicateStatus</v>
      </c>
    </row>
    <row r="1147" spans="20:22" x14ac:dyDescent="0.25">
      <c r="T1147" s="7" t="str">
        <f ca="1"/>
        <v>Z7 II</v>
      </c>
      <c r="U1147" s="7" t="str">
        <f ca="1"/>
        <v>0xD1B2</v>
      </c>
      <c r="V1147" s="7" t="str">
        <f ca="1"/>
        <v>InfoDisplayErrorStatus</v>
      </c>
    </row>
    <row r="1148" spans="20:22" x14ac:dyDescent="0.25">
      <c r="T1148" s="7" t="str">
        <f ca="1"/>
        <v>Z7 II</v>
      </c>
      <c r="U1148" s="7" t="str">
        <f ca="1"/>
        <v>0xD1B3</v>
      </c>
      <c r="V1148" s="7" t="str">
        <f ca="1"/>
        <v>ExposureIndicateLightup</v>
      </c>
    </row>
    <row r="1149" spans="20:22" x14ac:dyDescent="0.25">
      <c r="T1149" s="7" t="str">
        <f ca="1"/>
        <v>Z7 II</v>
      </c>
      <c r="U1149" s="7" t="str">
        <f ca="1"/>
        <v>0xD1B4</v>
      </c>
      <c r="V1149" s="7" t="str">
        <f ca="1"/>
        <v>ContinuousShootingCount</v>
      </c>
    </row>
    <row r="1150" spans="20:22" x14ac:dyDescent="0.25">
      <c r="T1150" s="7" t="str">
        <f ca="1"/>
        <v>Z7 II</v>
      </c>
      <c r="U1150" s="7" t="str">
        <f ca="1"/>
        <v>0xD1B7</v>
      </c>
      <c r="V1150" s="7" t="str">
        <f ca="1"/>
        <v>MovieRecFrameCount</v>
      </c>
    </row>
    <row r="1151" spans="20:22" x14ac:dyDescent="0.25">
      <c r="T1151" s="7" t="str">
        <f ca="1"/>
        <v>Z7 II</v>
      </c>
      <c r="U1151" s="7" t="str">
        <f ca="1"/>
        <v>0xD1B8</v>
      </c>
      <c r="V1151" s="7" t="str">
        <f ca="1"/>
        <v>CameraLiveViewStatus</v>
      </c>
    </row>
    <row r="1152" spans="20:22" x14ac:dyDescent="0.25">
      <c r="T1152" s="7" t="str">
        <f ca="1"/>
        <v>Z7 II</v>
      </c>
      <c r="U1152" s="7" t="str">
        <f ca="1"/>
        <v>0xD1B9</v>
      </c>
      <c r="V1152" s="7" t="str">
        <f ca="1"/>
        <v>DetectionPeaking</v>
      </c>
    </row>
    <row r="1153" spans="20:22" x14ac:dyDescent="0.25">
      <c r="T1153" s="7" t="str">
        <f ca="1"/>
        <v>Z7 II</v>
      </c>
      <c r="U1153" s="7" t="str">
        <f ca="1"/>
        <v>0xD1BA</v>
      </c>
      <c r="V1153" s="7" t="str">
        <f ca="1"/>
        <v>MonitorOffStatus</v>
      </c>
    </row>
    <row r="1154" spans="20:22" x14ac:dyDescent="0.25">
      <c r="T1154" s="7" t="str">
        <f ca="1"/>
        <v>Z7 II</v>
      </c>
      <c r="U1154" s="7" t="str">
        <f ca="1"/>
        <v>0xD1BB</v>
      </c>
      <c r="V1154" s="7" t="str">
        <f ca="1"/>
        <v>LiveViewImageStatus</v>
      </c>
    </row>
    <row r="1155" spans="20:22" x14ac:dyDescent="0.25">
      <c r="T1155" s="7" t="str">
        <f ca="1"/>
        <v>Z7 II</v>
      </c>
      <c r="U1155" s="7" t="str">
        <f ca="1"/>
        <v>0xD1BC</v>
      </c>
      <c r="V1155" s="7" t="str">
        <f ca="1"/>
        <v>LiveViewImageCompression</v>
      </c>
    </row>
    <row r="1156" spans="20:22" x14ac:dyDescent="0.25">
      <c r="T1156" s="7" t="str">
        <f ca="1"/>
        <v>Z7 II</v>
      </c>
      <c r="U1156" s="7" t="str">
        <f ca="1"/>
        <v>0xD1BD</v>
      </c>
      <c r="V1156" s="7" t="str">
        <f ca="1"/>
        <v>LiveViewZoomArea</v>
      </c>
    </row>
    <row r="1157" spans="20:22" x14ac:dyDescent="0.25">
      <c r="T1157" s="7" t="str">
        <f ca="1"/>
        <v>Z7 II</v>
      </c>
      <c r="U1157" s="7" t="str">
        <f ca="1"/>
        <v>0xD1C5</v>
      </c>
      <c r="V1157" s="7" t="str">
        <f ca="1"/>
        <v>AutoFlashIsoSensitivityControl</v>
      </c>
    </row>
    <row r="1158" spans="20:22" x14ac:dyDescent="0.25">
      <c r="T1158" s="7" t="str">
        <f ca="1"/>
        <v>Z7 II</v>
      </c>
      <c r="U1158" s="7" t="str">
        <f ca="1"/>
        <v>0xD1DE</v>
      </c>
      <c r="V1158" s="7" t="str">
        <f ca="1"/>
        <v>ExternalRecordingControl</v>
      </c>
    </row>
    <row r="1159" spans="20:22" x14ac:dyDescent="0.25">
      <c r="T1159" s="7" t="str">
        <f ca="1"/>
        <v>Z7 II</v>
      </c>
      <c r="U1159" s="7" t="str">
        <f ca="1"/>
        <v>0xD1DF</v>
      </c>
      <c r="V1159" s="7" t="str">
        <f ca="1"/>
        <v>HighlightBrightness</v>
      </c>
    </row>
    <row r="1160" spans="20:22" x14ac:dyDescent="0.25">
      <c r="T1160" s="7" t="str">
        <f ca="1"/>
        <v>Z7 II</v>
      </c>
      <c r="U1160" s="7" t="str">
        <f ca="1"/>
        <v>0xD1E2</v>
      </c>
      <c r="V1160" s="7" t="str">
        <f ca="1"/>
        <v>SBWirelessMode</v>
      </c>
    </row>
    <row r="1161" spans="20:22" x14ac:dyDescent="0.25">
      <c r="T1161" s="7" t="str">
        <f ca="1"/>
        <v>Z7 II</v>
      </c>
      <c r="U1161" s="7" t="str">
        <f ca="1"/>
        <v>0xD1E3</v>
      </c>
      <c r="V1161" s="7" t="str">
        <f ca="1"/>
        <v>SBWirelessMultipleFlashMode</v>
      </c>
    </row>
    <row r="1162" spans="20:22" x14ac:dyDescent="0.25">
      <c r="T1162" s="7" t="str">
        <f ca="1"/>
        <v>Z7 II</v>
      </c>
      <c r="U1162" s="7" t="str">
        <f ca="1"/>
        <v>0xD1E4</v>
      </c>
      <c r="V1162" s="7" t="str">
        <f ca="1"/>
        <v>SBUsableGroup</v>
      </c>
    </row>
    <row r="1163" spans="20:22" x14ac:dyDescent="0.25">
      <c r="T1163" s="7" t="str">
        <f ca="1"/>
        <v>Z7 II</v>
      </c>
      <c r="U1163" s="7" t="str">
        <f ca="1"/>
        <v>0xD1E5</v>
      </c>
      <c r="V1163" s="7" t="str">
        <f ca="1"/>
        <v>WirelessCLSEntryMode</v>
      </c>
    </row>
    <row r="1164" spans="20:22" x14ac:dyDescent="0.25">
      <c r="T1164" s="7" t="str">
        <f ca="1"/>
        <v>Z7 II</v>
      </c>
      <c r="U1164" s="7" t="str">
        <f ca="1"/>
        <v>0xD1E6</v>
      </c>
      <c r="V1164" s="7" t="str">
        <f ca="1"/>
        <v>SBPINCode</v>
      </c>
    </row>
    <row r="1165" spans="20:22" x14ac:dyDescent="0.25">
      <c r="T1165" s="7" t="str">
        <f ca="1"/>
        <v>Z7 II</v>
      </c>
      <c r="U1165" s="7" t="str">
        <f ca="1"/>
        <v>0xD1E7</v>
      </c>
      <c r="V1165" s="7" t="str">
        <f ca="1"/>
        <v>RadioMultipleFlashChannel</v>
      </c>
    </row>
    <row r="1166" spans="20:22" x14ac:dyDescent="0.25">
      <c r="T1166" s="7" t="str">
        <f ca="1"/>
        <v>Z7 II</v>
      </c>
      <c r="U1166" s="7" t="str">
        <f ca="1"/>
        <v>0xD1E8</v>
      </c>
      <c r="V1166" s="7" t="str">
        <f ca="1"/>
        <v>OpticalMultipleFlashChannel</v>
      </c>
    </row>
    <row r="1167" spans="20:22" x14ac:dyDescent="0.25">
      <c r="T1167" s="7" t="str">
        <f ca="1"/>
        <v>Z7 II</v>
      </c>
      <c r="U1167" s="7" t="str">
        <f ca="1"/>
        <v>0xD1E9</v>
      </c>
      <c r="V1167" s="7" t="str">
        <f ca="1"/>
        <v>FlashRangeDisplay</v>
      </c>
    </row>
    <row r="1168" spans="20:22" x14ac:dyDescent="0.25">
      <c r="T1168" s="7" t="str">
        <f ca="1"/>
        <v>Z7 II</v>
      </c>
      <c r="U1168" s="7" t="str">
        <f ca="1"/>
        <v>0xD1EA</v>
      </c>
      <c r="V1168" s="7" t="str">
        <f ca="1"/>
        <v>AllTestFiringDisable</v>
      </c>
    </row>
    <row r="1169" spans="20:22" x14ac:dyDescent="0.25">
      <c r="T1169" s="7" t="str">
        <f ca="1"/>
        <v>Z7 II</v>
      </c>
      <c r="U1169" s="7" t="str">
        <f ca="1"/>
        <v>0xD1EC</v>
      </c>
      <c r="V1169" s="7" t="str">
        <f ca="1"/>
        <v>SBSettingMemberLock</v>
      </c>
    </row>
    <row r="1170" spans="20:22" x14ac:dyDescent="0.25">
      <c r="T1170" s="7" t="str">
        <f ca="1"/>
        <v>Z7 II</v>
      </c>
      <c r="U1170" s="7" t="str">
        <f ca="1"/>
        <v>0xD1ED</v>
      </c>
      <c r="V1170" s="7" t="str">
        <f ca="1"/>
        <v>SBIntegrationFlashReady</v>
      </c>
    </row>
    <row r="1171" spans="20:22" x14ac:dyDescent="0.25">
      <c r="T1171" s="7" t="str">
        <f ca="1"/>
        <v>Z7 II</v>
      </c>
      <c r="U1171" s="7" t="str">
        <f ca="1"/>
        <v>0xD1F1</v>
      </c>
      <c r="V1171" s="7" t="str">
        <f ca="1"/>
        <v>ExposureRemaining</v>
      </c>
    </row>
    <row r="1172" spans="20:22" x14ac:dyDescent="0.25">
      <c r="T1172" s="7" t="str">
        <f ca="1"/>
        <v>Z7 II</v>
      </c>
      <c r="U1172" s="7" t="str">
        <f ca="1"/>
        <v>0xD1F2</v>
      </c>
      <c r="V1172" s="7" t="str">
        <f ca="1"/>
        <v>ActiveSlot</v>
      </c>
    </row>
    <row r="1173" spans="20:22" x14ac:dyDescent="0.25">
      <c r="T1173" s="7" t="str">
        <f ca="1"/>
        <v>Z7 II</v>
      </c>
      <c r="U1173" s="7" t="str">
        <f ca="1"/>
        <v>0xD1F4</v>
      </c>
      <c r="V1173" s="7" t="str">
        <f ca="1"/>
        <v>ISOAutoShutterTimeCorrectionValue</v>
      </c>
    </row>
    <row r="1174" spans="20:22" x14ac:dyDescent="0.25">
      <c r="T1174" s="7" t="str">
        <f ca="1"/>
        <v>Z7 II</v>
      </c>
      <c r="U1174" s="7" t="str">
        <f ca="1"/>
        <v>0xD1F8</v>
      </c>
      <c r="V1174" s="7" t="str">
        <f ca="1"/>
        <v>MovieFocusMeteringMode</v>
      </c>
    </row>
    <row r="1175" spans="20:22" x14ac:dyDescent="0.25">
      <c r="T1175" s="7" t="str">
        <f ca="1"/>
        <v>Z7 II</v>
      </c>
      <c r="U1175" s="7" t="str">
        <f ca="1"/>
        <v>0xD1F9</v>
      </c>
      <c r="V1175" s="7" t="str">
        <f ca="1"/>
        <v>MovieVibrationReduction</v>
      </c>
    </row>
    <row r="1176" spans="20:22" x14ac:dyDescent="0.25">
      <c r="T1176" s="7" t="str">
        <f ca="1"/>
        <v>Z7 II</v>
      </c>
      <c r="U1176" s="7" t="str">
        <f ca="1"/>
        <v>0xD1FA</v>
      </c>
      <c r="V1176" s="7" t="str">
        <f ca="1"/>
        <v>MovieFocusMode</v>
      </c>
    </row>
    <row r="1177" spans="20:22" x14ac:dyDescent="0.25">
      <c r="T1177" s="7" t="str">
        <f ca="1"/>
        <v>Z7 II</v>
      </c>
      <c r="U1177" s="7" t="str">
        <f ca="1"/>
        <v>0xD1FB</v>
      </c>
      <c r="V1177" s="7" t="str">
        <f ca="1"/>
        <v>RecordTimeCodes</v>
      </c>
    </row>
    <row r="1178" spans="20:22" x14ac:dyDescent="0.25">
      <c r="T1178" s="7" t="str">
        <f ca="1"/>
        <v>Z7 II</v>
      </c>
      <c r="U1178" s="7" t="str">
        <f ca="1"/>
        <v>0xD1FC</v>
      </c>
      <c r="V1178" s="7" t="str">
        <f ca="1"/>
        <v>CountUpMethod</v>
      </c>
    </row>
    <row r="1179" spans="20:22" x14ac:dyDescent="0.25">
      <c r="T1179" s="7" t="str">
        <f ca="1"/>
        <v>Z7 II</v>
      </c>
      <c r="U1179" s="7" t="str">
        <f ca="1"/>
        <v>0xD1FD</v>
      </c>
      <c r="V1179" s="7" t="str">
        <f ca="1"/>
        <v>TimeCodeOrigin</v>
      </c>
    </row>
    <row r="1180" spans="20:22" x14ac:dyDescent="0.25">
      <c r="T1180" s="7" t="str">
        <f ca="1"/>
        <v>Z7 II</v>
      </c>
      <c r="U1180" s="7" t="str">
        <f ca="1"/>
        <v>0xD1FE</v>
      </c>
      <c r="V1180" s="7" t="str">
        <f ca="1"/>
        <v>DropFrame</v>
      </c>
    </row>
    <row r="1181" spans="20:22" x14ac:dyDescent="0.25">
      <c r="T1181" s="7" t="str">
        <f ca="1"/>
        <v>Z7 II</v>
      </c>
      <c r="U1181" s="7" t="str">
        <f ca="1"/>
        <v>0xD1FF</v>
      </c>
      <c r="V1181" s="7" t="str">
        <f ca="1"/>
        <v>StillCaptureModeSaveFrame</v>
      </c>
    </row>
    <row r="1182" spans="20:22" x14ac:dyDescent="0.25">
      <c r="T1182" s="7" t="str">
        <f ca="1"/>
        <v>Z7 II</v>
      </c>
      <c r="U1182" s="7" t="str">
        <f ca="1"/>
        <v>0xD200</v>
      </c>
      <c r="V1182" s="7" t="str">
        <f ca="1"/>
        <v>ActivePicCtrlItem</v>
      </c>
    </row>
    <row r="1183" spans="20:22" x14ac:dyDescent="0.25">
      <c r="T1183" s="7" t="str">
        <f ca="1"/>
        <v>Z7 II</v>
      </c>
      <c r="U1183" s="7" t="str">
        <f ca="1"/>
        <v>0xD20D</v>
      </c>
      <c r="V1183" s="7" t="str">
        <f ca="1"/>
        <v>ElectronicFrontCurtainShutter</v>
      </c>
    </row>
    <row r="1184" spans="20:22" x14ac:dyDescent="0.25">
      <c r="T1184" s="7" t="str">
        <f ca="1"/>
        <v>Z7 II</v>
      </c>
      <c r="U1184" s="7" t="str">
        <f ca="1"/>
        <v>0xD20F</v>
      </c>
      <c r="V1184" s="7" t="str">
        <f ca="1"/>
        <v>MovieCaptureAreaCrop</v>
      </c>
    </row>
    <row r="1185" spans="20:22" x14ac:dyDescent="0.25">
      <c r="T1185" s="7" t="str">
        <f ca="1"/>
        <v>Z7 II</v>
      </c>
      <c r="U1185" s="7" t="str">
        <f ca="1"/>
        <v>0xD211</v>
      </c>
      <c r="V1185" s="7" t="str">
        <f ca="1"/>
        <v>MovieWbAutoType</v>
      </c>
    </row>
    <row r="1186" spans="20:22" x14ac:dyDescent="0.25">
      <c r="T1186" s="7" t="str">
        <f ca="1"/>
        <v>Z7 II</v>
      </c>
      <c r="U1186" s="7" t="str">
        <f ca="1"/>
        <v>0xD212</v>
      </c>
      <c r="V1186" s="7" t="str">
        <f ca="1"/>
        <v>MovieWbTuneAuto</v>
      </c>
    </row>
    <row r="1187" spans="20:22" x14ac:dyDescent="0.25">
      <c r="T1187" s="7" t="str">
        <f ca="1"/>
        <v>Z7 II</v>
      </c>
      <c r="U1187" s="7" t="str">
        <f ca="1"/>
        <v>0xD213</v>
      </c>
      <c r="V1187" s="7" t="str">
        <f ca="1"/>
        <v>MovieWbTuneIncandescent</v>
      </c>
    </row>
    <row r="1188" spans="20:22" x14ac:dyDescent="0.25">
      <c r="T1188" s="7" t="str">
        <f ca="1"/>
        <v>Z7 II</v>
      </c>
      <c r="U1188" s="7" t="str">
        <f ca="1"/>
        <v>0xD214</v>
      </c>
      <c r="V1188" s="7" t="str">
        <f ca="1"/>
        <v>MovieWbFluorescentType</v>
      </c>
    </row>
    <row r="1189" spans="20:22" x14ac:dyDescent="0.25">
      <c r="T1189" s="7" t="str">
        <f ca="1"/>
        <v>Z7 II</v>
      </c>
      <c r="U1189" s="7" t="str">
        <f ca="1"/>
        <v>0xD215</v>
      </c>
      <c r="V1189" s="7" t="str">
        <f ca="1"/>
        <v>MovieWbTuneFluorescent</v>
      </c>
    </row>
    <row r="1190" spans="20:22" x14ac:dyDescent="0.25">
      <c r="T1190" s="7" t="str">
        <f ca="1"/>
        <v>Z7 II</v>
      </c>
      <c r="U1190" s="7" t="str">
        <f ca="1"/>
        <v>0xD216</v>
      </c>
      <c r="V1190" s="7" t="str">
        <f ca="1"/>
        <v>MovieWbTuneSunny</v>
      </c>
    </row>
    <row r="1191" spans="20:22" x14ac:dyDescent="0.25">
      <c r="T1191" s="7" t="str">
        <f ca="1"/>
        <v>Z7 II</v>
      </c>
      <c r="U1191" s="7" t="str">
        <f ca="1"/>
        <v>0xD218</v>
      </c>
      <c r="V1191" s="7" t="str">
        <f ca="1"/>
        <v>MovieWbTuneCloudy</v>
      </c>
    </row>
    <row r="1192" spans="20:22" x14ac:dyDescent="0.25">
      <c r="T1192" s="7" t="str">
        <f ca="1"/>
        <v>Z7 II</v>
      </c>
      <c r="U1192" s="7" t="str">
        <f ca="1"/>
        <v>0xD219</v>
      </c>
      <c r="V1192" s="7" t="str">
        <f ca="1"/>
        <v>MovieWbTuneShade</v>
      </c>
    </row>
    <row r="1193" spans="20:22" x14ac:dyDescent="0.25">
      <c r="T1193" s="7" t="str">
        <f ca="1"/>
        <v>Z7 II</v>
      </c>
      <c r="U1193" s="7" t="str">
        <f ca="1"/>
        <v>0xD21A</v>
      </c>
      <c r="V1193" s="7" t="str">
        <f ca="1"/>
        <v>MovieWbColorTemp</v>
      </c>
    </row>
    <row r="1194" spans="20:22" x14ac:dyDescent="0.25">
      <c r="T1194" s="7" t="str">
        <f ca="1"/>
        <v>Z7 II</v>
      </c>
      <c r="U1194" s="7" t="str">
        <f ca="1"/>
        <v>0xD21B</v>
      </c>
      <c r="V1194" s="7" t="str">
        <f ca="1"/>
        <v>MovieWbTuneColorTemp</v>
      </c>
    </row>
    <row r="1195" spans="20:22" x14ac:dyDescent="0.25">
      <c r="T1195" s="7" t="str">
        <f ca="1"/>
        <v>Z7 II</v>
      </c>
      <c r="U1195" s="7" t="str">
        <f ca="1"/>
        <v>0xD21C</v>
      </c>
      <c r="V1195" s="7" t="str">
        <f ca="1"/>
        <v>MovieWbPresetDataNo</v>
      </c>
    </row>
    <row r="1196" spans="20:22" x14ac:dyDescent="0.25">
      <c r="T1196" s="7" t="str">
        <f ca="1"/>
        <v>Z7 II</v>
      </c>
      <c r="U1196" s="7" t="str">
        <f ca="1"/>
        <v>0xD21D</v>
      </c>
      <c r="V1196" s="7" t="str">
        <f ca="1"/>
        <v>MovieWbPresetDataComment1</v>
      </c>
    </row>
    <row r="1197" spans="20:22" x14ac:dyDescent="0.25">
      <c r="T1197" s="7" t="str">
        <f ca="1"/>
        <v>Z7 II</v>
      </c>
      <c r="U1197" s="7" t="str">
        <f ca="1"/>
        <v>0xD21E</v>
      </c>
      <c r="V1197" s="7" t="str">
        <f ca="1"/>
        <v>MovieWbPresetDataComment2</v>
      </c>
    </row>
    <row r="1198" spans="20:22" x14ac:dyDescent="0.25">
      <c r="T1198" s="7" t="str">
        <f ca="1"/>
        <v>Z7 II</v>
      </c>
      <c r="U1198" s="7" t="str">
        <f ca="1"/>
        <v>0xD21F</v>
      </c>
      <c r="V1198" s="7" t="str">
        <f ca="1"/>
        <v>MovieWbPresetDataComment3</v>
      </c>
    </row>
    <row r="1199" spans="20:22" x14ac:dyDescent="0.25">
      <c r="T1199" s="7" t="str">
        <f ca="1"/>
        <v>Z7 II</v>
      </c>
      <c r="U1199" s="7" t="str">
        <f ca="1"/>
        <v>0xD220</v>
      </c>
      <c r="V1199" s="7" t="str">
        <f ca="1"/>
        <v>MovieWbPresetDataComment4</v>
      </c>
    </row>
    <row r="1200" spans="20:22" x14ac:dyDescent="0.25">
      <c r="T1200" s="7" t="str">
        <f ca="1"/>
        <v>Z7 II</v>
      </c>
      <c r="U1200" s="7" t="str">
        <f ca="1"/>
        <v>0xD221</v>
      </c>
      <c r="V1200" s="7" t="str">
        <f ca="1"/>
        <v>MovieWbPresetDataComment5</v>
      </c>
    </row>
    <row r="1201" spans="20:22" x14ac:dyDescent="0.25">
      <c r="T1201" s="7" t="str">
        <f ca="1"/>
        <v>Z7 II</v>
      </c>
      <c r="U1201" s="7" t="str">
        <f ca="1"/>
        <v>0xD222</v>
      </c>
      <c r="V1201" s="7" t="str">
        <f ca="1"/>
        <v>MovieWbPresetDataComment6</v>
      </c>
    </row>
    <row r="1202" spans="20:22" x14ac:dyDescent="0.25">
      <c r="T1202" s="7" t="str">
        <f ca="1"/>
        <v>Z7 II</v>
      </c>
      <c r="U1202" s="7" t="str">
        <f ca="1"/>
        <v>0xD223</v>
      </c>
      <c r="V1202" s="7" t="str">
        <f ca="1"/>
        <v>MovieWbPresetDataValue1</v>
      </c>
    </row>
    <row r="1203" spans="20:22" x14ac:dyDescent="0.25">
      <c r="T1203" s="7" t="str">
        <f ca="1"/>
        <v>Z7 II</v>
      </c>
      <c r="U1203" s="7" t="str">
        <f ca="1"/>
        <v>0xD224</v>
      </c>
      <c r="V1203" s="7" t="str">
        <f ca="1"/>
        <v>MovieWbPresetDataValue2</v>
      </c>
    </row>
    <row r="1204" spans="20:22" x14ac:dyDescent="0.25">
      <c r="T1204" s="7" t="str">
        <f ca="1"/>
        <v>Z7 II</v>
      </c>
      <c r="U1204" s="7" t="str">
        <f ca="1"/>
        <v>0xD225</v>
      </c>
      <c r="V1204" s="7" t="str">
        <f ca="1"/>
        <v>MovieWbPresetDataValue3</v>
      </c>
    </row>
    <row r="1205" spans="20:22" x14ac:dyDescent="0.25">
      <c r="T1205" s="7" t="str">
        <f ca="1"/>
        <v>Z7 II</v>
      </c>
      <c r="U1205" s="7" t="str">
        <f ca="1"/>
        <v>0xD226</v>
      </c>
      <c r="V1205" s="7" t="str">
        <f ca="1"/>
        <v>MovieWbPresetDataValue4</v>
      </c>
    </row>
    <row r="1206" spans="20:22" x14ac:dyDescent="0.25">
      <c r="T1206" s="7" t="str">
        <f ca="1"/>
        <v>Z7 II</v>
      </c>
      <c r="U1206" s="7" t="str">
        <f ca="1"/>
        <v>0xD227</v>
      </c>
      <c r="V1206" s="7" t="str">
        <f ca="1"/>
        <v>MovieWbPresetDataValue5</v>
      </c>
    </row>
    <row r="1207" spans="20:22" x14ac:dyDescent="0.25">
      <c r="T1207" s="7" t="str">
        <f ca="1"/>
        <v>Z7 II</v>
      </c>
      <c r="U1207" s="7" t="str">
        <f ca="1"/>
        <v>0xD228</v>
      </c>
      <c r="V1207" s="7" t="str">
        <f ca="1"/>
        <v>MovieWbPresetDataValue6</v>
      </c>
    </row>
    <row r="1208" spans="20:22" x14ac:dyDescent="0.25">
      <c r="T1208" s="7" t="str">
        <f ca="1"/>
        <v>Z7 II</v>
      </c>
      <c r="U1208" s="7" t="str">
        <f ca="1"/>
        <v>0xD229</v>
      </c>
      <c r="V1208" s="7" t="str">
        <f ca="1"/>
        <v>MovieWbTunePreset1</v>
      </c>
    </row>
    <row r="1209" spans="20:22" x14ac:dyDescent="0.25">
      <c r="T1209" s="7" t="str">
        <f ca="1"/>
        <v>Z7 II</v>
      </c>
      <c r="U1209" s="7" t="str">
        <f ca="1"/>
        <v>0xD22A</v>
      </c>
      <c r="V1209" s="7" t="str">
        <f ca="1"/>
        <v>MovieWbTunePreset2</v>
      </c>
    </row>
    <row r="1210" spans="20:22" x14ac:dyDescent="0.25">
      <c r="T1210" s="7" t="str">
        <f ca="1"/>
        <v>Z7 II</v>
      </c>
      <c r="U1210" s="7" t="str">
        <f ca="1"/>
        <v>0xD22B</v>
      </c>
      <c r="V1210" s="7" t="str">
        <f ca="1"/>
        <v>MovieWbTunePreset3</v>
      </c>
    </row>
    <row r="1211" spans="20:22" x14ac:dyDescent="0.25">
      <c r="T1211" s="7" t="str">
        <f ca="1"/>
        <v>Z7 II</v>
      </c>
      <c r="U1211" s="7" t="str">
        <f ca="1"/>
        <v>0xD22C</v>
      </c>
      <c r="V1211" s="7" t="str">
        <f ca="1"/>
        <v>MovieWbTunePreset4</v>
      </c>
    </row>
    <row r="1212" spans="20:22" x14ac:dyDescent="0.25">
      <c r="T1212" s="7" t="str">
        <f ca="1"/>
        <v>Z7 II</v>
      </c>
      <c r="U1212" s="7" t="str">
        <f ca="1"/>
        <v>0xD22D</v>
      </c>
      <c r="V1212" s="7" t="str">
        <f ca="1"/>
        <v>MovieWbTunePreset5</v>
      </c>
    </row>
    <row r="1213" spans="20:22" x14ac:dyDescent="0.25">
      <c r="T1213" s="7" t="str">
        <f ca="1"/>
        <v>Z7 II</v>
      </c>
      <c r="U1213" s="7" t="str">
        <f ca="1"/>
        <v>0xD22E</v>
      </c>
      <c r="V1213" s="7" t="str">
        <f ca="1"/>
        <v>MovieWbTunePreset6</v>
      </c>
    </row>
    <row r="1214" spans="20:22" x14ac:dyDescent="0.25">
      <c r="T1214" s="7" t="str">
        <f ca="1"/>
        <v>Z7 II</v>
      </c>
      <c r="U1214" s="7" t="str">
        <f ca="1"/>
        <v>0xD22F</v>
      </c>
      <c r="V1214" s="7" t="str">
        <f ca="1"/>
        <v>MovieWbPresetProtect1</v>
      </c>
    </row>
    <row r="1215" spans="20:22" x14ac:dyDescent="0.25">
      <c r="T1215" s="7" t="str">
        <f ca="1"/>
        <v>Z7 II</v>
      </c>
      <c r="U1215" s="7" t="str">
        <f ca="1"/>
        <v>0xD230</v>
      </c>
      <c r="V1215" s="7" t="str">
        <f ca="1"/>
        <v>MovieWbPresetProtect2</v>
      </c>
    </row>
    <row r="1216" spans="20:22" x14ac:dyDescent="0.25">
      <c r="T1216" s="7" t="str">
        <f ca="1"/>
        <v>Z7 II</v>
      </c>
      <c r="U1216" s="7" t="str">
        <f ca="1"/>
        <v>0xD231</v>
      </c>
      <c r="V1216" s="7" t="str">
        <f ca="1"/>
        <v>MovieWbPresetProtect3</v>
      </c>
    </row>
    <row r="1217" spans="20:22" x14ac:dyDescent="0.25">
      <c r="T1217" s="7" t="str">
        <f ca="1"/>
        <v>Z7 II</v>
      </c>
      <c r="U1217" s="7" t="str">
        <f ca="1"/>
        <v>0xD232</v>
      </c>
      <c r="V1217" s="7" t="str">
        <f ca="1"/>
        <v>MovieWbPresetProtect4</v>
      </c>
    </row>
    <row r="1218" spans="20:22" x14ac:dyDescent="0.25">
      <c r="T1218" s="7" t="str">
        <f ca="1"/>
        <v>Z7 II</v>
      </c>
      <c r="U1218" s="7" t="str">
        <f ca="1"/>
        <v>0xD233</v>
      </c>
      <c r="V1218" s="7" t="str">
        <f ca="1"/>
        <v>MovieWbPresetProtect5</v>
      </c>
    </row>
    <row r="1219" spans="20:22" x14ac:dyDescent="0.25">
      <c r="T1219" s="7" t="str">
        <f ca="1"/>
        <v>Z7 II</v>
      </c>
      <c r="U1219" s="7" t="str">
        <f ca="1"/>
        <v>0xD234</v>
      </c>
      <c r="V1219" s="7" t="str">
        <f ca="1"/>
        <v>MovieWbPresetProtect6</v>
      </c>
    </row>
    <row r="1220" spans="20:22" x14ac:dyDescent="0.25">
      <c r="T1220" s="7" t="str">
        <f ca="1"/>
        <v>Z7 II</v>
      </c>
      <c r="U1220" s="7" t="str">
        <f ca="1"/>
        <v>0xD236</v>
      </c>
      <c r="V1220" s="7" t="str">
        <f ca="1"/>
        <v>MovieNoiseReductionHiIso</v>
      </c>
    </row>
    <row r="1221" spans="20:22" x14ac:dyDescent="0.25">
      <c r="T1221" s="7" t="str">
        <f ca="1"/>
        <v>Z7 II</v>
      </c>
      <c r="U1221" s="7" t="str">
        <f ca="1"/>
        <v>0xD237</v>
      </c>
      <c r="V1221" s="7" t="str">
        <f ca="1"/>
        <v>MovieActivePicCtrlItem</v>
      </c>
    </row>
    <row r="1222" spans="20:22" x14ac:dyDescent="0.25">
      <c r="T1222" s="7" t="str">
        <f ca="1"/>
        <v>Z7 II</v>
      </c>
      <c r="U1222" s="7" t="str">
        <f ca="1"/>
        <v>0xD239</v>
      </c>
      <c r="V1222" s="7" t="str">
        <f ca="1"/>
        <v>ExposureBaseCompHighlight</v>
      </c>
    </row>
    <row r="1223" spans="20:22" x14ac:dyDescent="0.25">
      <c r="T1223" s="7" t="str">
        <f ca="1"/>
        <v>Z7 II</v>
      </c>
      <c r="U1223" s="7" t="str">
        <f ca="1"/>
        <v>0xD23A</v>
      </c>
      <c r="V1223" s="7" t="str">
        <f ca="1"/>
        <v>MovieWhiteBalance</v>
      </c>
    </row>
    <row r="1224" spans="20:22" x14ac:dyDescent="0.25">
      <c r="T1224" s="7" t="str">
        <f ca="1"/>
        <v>Z7 II</v>
      </c>
      <c r="U1224" s="7" t="str">
        <f ca="1"/>
        <v>0xD23B</v>
      </c>
      <c r="V1224" s="7" t="str">
        <f ca="1"/>
        <v>MovieActive</v>
      </c>
    </row>
    <row r="1225" spans="20:22" x14ac:dyDescent="0.25">
      <c r="T1225" s="7" t="str">
        <f ca="1"/>
        <v>Z7 II</v>
      </c>
      <c r="U1225" s="7" t="str">
        <f ca="1"/>
        <v>0xD23C</v>
      </c>
      <c r="V1225" s="7" t="str">
        <f ca="1"/>
        <v>MovieWbTuneNatural</v>
      </c>
    </row>
    <row r="1226" spans="20:22" x14ac:dyDescent="0.25">
      <c r="T1226" s="7" t="str">
        <f ca="1"/>
        <v>Z7 II</v>
      </c>
      <c r="U1226" s="7" t="str">
        <f ca="1"/>
        <v>0xD23D</v>
      </c>
      <c r="V1226" s="7" t="str">
        <f ca="1"/>
        <v>MovieAttenuator</v>
      </c>
    </row>
    <row r="1227" spans="20:22" x14ac:dyDescent="0.25">
      <c r="T1227" s="7" t="str">
        <f ca="1"/>
        <v>Z7 II</v>
      </c>
      <c r="U1227" s="7" t="str">
        <f ca="1"/>
        <v>0xD23E</v>
      </c>
      <c r="V1227" s="7" t="str">
        <f ca="1"/>
        <v>MovieVignetteControl</v>
      </c>
    </row>
    <row r="1228" spans="20:22" x14ac:dyDescent="0.25">
      <c r="T1228" s="7" t="str">
        <f ca="1"/>
        <v>Z7 II</v>
      </c>
      <c r="U1228" s="7" t="str">
        <f ca="1"/>
        <v>0xD23F</v>
      </c>
      <c r="V1228" s="7" t="str">
        <f ca="1"/>
        <v>MovieDiffractionCompensation</v>
      </c>
    </row>
    <row r="1229" spans="20:22" x14ac:dyDescent="0.25">
      <c r="T1229" s="7" t="str">
        <f ca="1"/>
        <v>Z7 II</v>
      </c>
      <c r="U1229" s="7" t="str">
        <f ca="1"/>
        <v>0xD303</v>
      </c>
      <c r="V1229" s="7" t="str">
        <f ca="1"/>
        <v>UseDeviceStageFlag</v>
      </c>
    </row>
    <row r="1230" spans="20:22" x14ac:dyDescent="0.25">
      <c r="T1230" s="7" t="str">
        <f ca="1"/>
        <v>Z7 II</v>
      </c>
      <c r="U1230" s="7" t="str">
        <f ca="1"/>
        <v>0xD314</v>
      </c>
      <c r="V1230" s="7" t="str">
        <f ca="1"/>
        <v>ElectronicVR</v>
      </c>
    </row>
    <row r="1231" spans="20:22" x14ac:dyDescent="0.25">
      <c r="T1231" s="7" t="str">
        <f ca="1"/>
        <v>Z7 II</v>
      </c>
      <c r="U1231" s="7" t="str">
        <f ca="1"/>
        <v>0xD406</v>
      </c>
      <c r="V1231" s="7" t="str">
        <f ca="1"/>
        <v>SessionInitiatorVersionInfo</v>
      </c>
    </row>
    <row r="1232" spans="20:22" x14ac:dyDescent="0.25">
      <c r="T1232" s="7" t="str">
        <f ca="1"/>
        <v>Z7 II</v>
      </c>
      <c r="U1232" s="7" t="str">
        <f ca="1"/>
        <v>0xD407</v>
      </c>
      <c r="V1232" s="7" t="str">
        <f ca="1"/>
        <v>PerceivedDeviceType</v>
      </c>
    </row>
    <row r="1233" spans="20:22" x14ac:dyDescent="0.25">
      <c r="T1233" s="7" t="str">
        <f ca="1"/>
        <v>Z50</v>
      </c>
      <c r="U1233" s="7" t="str">
        <f ca="1"/>
        <v>0x5001</v>
      </c>
      <c r="V1233" s="7" t="str">
        <f ca="1"/>
        <v>BatteryLevel</v>
      </c>
    </row>
    <row r="1234" spans="20:22" x14ac:dyDescent="0.25">
      <c r="T1234" s="7" t="str">
        <f ca="1"/>
        <v>Z50</v>
      </c>
      <c r="U1234" s="7" t="str">
        <f ca="1"/>
        <v>0x5003</v>
      </c>
      <c r="V1234" s="7" t="str">
        <f ca="1"/>
        <v>ImageSize</v>
      </c>
    </row>
    <row r="1235" spans="20:22" x14ac:dyDescent="0.25">
      <c r="T1235" s="7" t="str">
        <f ca="1"/>
        <v>Z50</v>
      </c>
      <c r="U1235" s="7" t="str">
        <f ca="1"/>
        <v>0x5004</v>
      </c>
      <c r="V1235" s="7" t="str">
        <f ca="1"/>
        <v>CompressionSetting</v>
      </c>
    </row>
    <row r="1236" spans="20:22" x14ac:dyDescent="0.25">
      <c r="T1236" s="7" t="str">
        <f ca="1"/>
        <v>Z50</v>
      </c>
      <c r="U1236" s="7" t="str">
        <f ca="1"/>
        <v>0x5005</v>
      </c>
      <c r="V1236" s="7" t="str">
        <f ca="1"/>
        <v>WhiteBalance</v>
      </c>
    </row>
    <row r="1237" spans="20:22" x14ac:dyDescent="0.25">
      <c r="T1237" s="7" t="str">
        <f ca="1"/>
        <v>Z50</v>
      </c>
      <c r="U1237" s="7" t="str">
        <f ca="1"/>
        <v>0x5007</v>
      </c>
      <c r="V1237" s="7" t="str">
        <f ca="1"/>
        <v>Fnumber</v>
      </c>
    </row>
    <row r="1238" spans="20:22" x14ac:dyDescent="0.25">
      <c r="T1238" s="7" t="str">
        <f ca="1"/>
        <v>Z50</v>
      </c>
      <c r="U1238" s="7" t="str">
        <f ca="1"/>
        <v>0x5008</v>
      </c>
      <c r="V1238" s="7" t="str">
        <f ca="1"/>
        <v>FocalLength</v>
      </c>
    </row>
    <row r="1239" spans="20:22" x14ac:dyDescent="0.25">
      <c r="T1239" s="7" t="str">
        <f ca="1"/>
        <v>Z50</v>
      </c>
      <c r="U1239" s="7" t="str">
        <f ca="1"/>
        <v>0x500A</v>
      </c>
      <c r="V1239" s="7" t="str">
        <f ca="1"/>
        <v>FocusMode</v>
      </c>
    </row>
    <row r="1240" spans="20:22" x14ac:dyDescent="0.25">
      <c r="T1240" s="7" t="str">
        <f ca="1"/>
        <v>Z50</v>
      </c>
      <c r="U1240" s="7" t="str">
        <f ca="1"/>
        <v>0x500B</v>
      </c>
      <c r="V1240" s="7" t="str">
        <f ca="1"/>
        <v>ExposureMeteringMode</v>
      </c>
    </row>
    <row r="1241" spans="20:22" x14ac:dyDescent="0.25">
      <c r="T1241" s="7" t="str">
        <f ca="1"/>
        <v>Z50</v>
      </c>
      <c r="U1241" s="7" t="str">
        <f ca="1"/>
        <v>0x500C</v>
      </c>
      <c r="V1241" s="7" t="str">
        <f ca="1"/>
        <v>FlashMode</v>
      </c>
    </row>
    <row r="1242" spans="20:22" x14ac:dyDescent="0.25">
      <c r="T1242" s="7" t="str">
        <f ca="1"/>
        <v>Z50</v>
      </c>
      <c r="U1242" s="7" t="str">
        <f ca="1"/>
        <v>0x500D</v>
      </c>
      <c r="V1242" s="7" t="str">
        <f ca="1"/>
        <v>ExposureTime</v>
      </c>
    </row>
    <row r="1243" spans="20:22" x14ac:dyDescent="0.25">
      <c r="T1243" s="7" t="str">
        <f ca="1"/>
        <v>Z50</v>
      </c>
      <c r="U1243" s="7" t="str">
        <f ca="1"/>
        <v>0x500E</v>
      </c>
      <c r="V1243" s="7" t="str">
        <f ca="1"/>
        <v>ExposureProgramMode</v>
      </c>
    </row>
    <row r="1244" spans="20:22" x14ac:dyDescent="0.25">
      <c r="T1244" s="7" t="str">
        <f ca="1"/>
        <v>Z50</v>
      </c>
      <c r="U1244" s="7" t="str">
        <f ca="1"/>
        <v>0x500F</v>
      </c>
      <c r="V1244" s="7" t="str">
        <f ca="1"/>
        <v>ExposureIndex</v>
      </c>
    </row>
    <row r="1245" spans="20:22" x14ac:dyDescent="0.25">
      <c r="T1245" s="7" t="str">
        <f ca="1"/>
        <v>Z50</v>
      </c>
      <c r="U1245" s="7" t="str">
        <f ca="1"/>
        <v>0x5010</v>
      </c>
      <c r="V1245" s="7" t="str">
        <f ca="1"/>
        <v>ExposureBiasCompensation</v>
      </c>
    </row>
    <row r="1246" spans="20:22" x14ac:dyDescent="0.25">
      <c r="T1246" s="7" t="str">
        <f ca="1"/>
        <v>Z50</v>
      </c>
      <c r="U1246" s="7" t="str">
        <f ca="1"/>
        <v>0x5011</v>
      </c>
      <c r="V1246" s="7" t="str">
        <f ca="1"/>
        <v>DateTime</v>
      </c>
    </row>
    <row r="1247" spans="20:22" x14ac:dyDescent="0.25">
      <c r="T1247" s="7" t="str">
        <f ca="1"/>
        <v>Z50</v>
      </c>
      <c r="U1247" s="7" t="str">
        <f ca="1"/>
        <v>0x5013</v>
      </c>
      <c r="V1247" s="7" t="str">
        <f ca="1"/>
        <v>StillCaptureMode</v>
      </c>
    </row>
    <row r="1248" spans="20:22" x14ac:dyDescent="0.25">
      <c r="T1248" s="7" t="str">
        <f ca="1"/>
        <v>Z50</v>
      </c>
      <c r="U1248" s="7" t="str">
        <f ca="1"/>
        <v>0x5018</v>
      </c>
      <c r="V1248" s="7" t="str">
        <f ca="1"/>
        <v>BurstNumber</v>
      </c>
    </row>
    <row r="1249" spans="20:22" x14ac:dyDescent="0.25">
      <c r="T1249" s="7" t="str">
        <f ca="1"/>
        <v>Z50</v>
      </c>
      <c r="U1249" s="7" t="str">
        <f ca="1"/>
        <v>0x501C</v>
      </c>
      <c r="V1249" s="7" t="str">
        <f ca="1"/>
        <v>FocusMeteringMode</v>
      </c>
    </row>
    <row r="1250" spans="20:22" x14ac:dyDescent="0.25">
      <c r="T1250" s="7" t="str">
        <f ca="1"/>
        <v>Z50</v>
      </c>
      <c r="U1250" s="7" t="str">
        <f ca="1"/>
        <v>0x501E</v>
      </c>
      <c r="V1250" s="7" t="str">
        <f ca="1"/>
        <v>Artist</v>
      </c>
    </row>
    <row r="1251" spans="20:22" x14ac:dyDescent="0.25">
      <c r="T1251" s="7" t="str">
        <f ca="1"/>
        <v>Z50</v>
      </c>
      <c r="U1251" s="7" t="str">
        <f ca="1"/>
        <v>0x501F</v>
      </c>
      <c r="V1251" s="7" t="str">
        <f ca="1"/>
        <v>Copyright</v>
      </c>
    </row>
    <row r="1252" spans="20:22" x14ac:dyDescent="0.25">
      <c r="T1252" s="7" t="str">
        <f ca="1"/>
        <v>Z50</v>
      </c>
      <c r="U1252" s="7" t="str">
        <f ca="1"/>
        <v>0xD015</v>
      </c>
      <c r="V1252" s="7" t="str">
        <f ca="1"/>
        <v>ResetShootingMenu</v>
      </c>
    </row>
    <row r="1253" spans="20:22" x14ac:dyDescent="0.25">
      <c r="T1253" s="7" t="str">
        <f ca="1"/>
        <v>Z50</v>
      </c>
      <c r="U1253" s="7" t="str">
        <f ca="1"/>
        <v>0xD017</v>
      </c>
      <c r="V1253" s="7" t="str">
        <f ca="1"/>
        <v>WbTuneAuto</v>
      </c>
    </row>
    <row r="1254" spans="20:22" x14ac:dyDescent="0.25">
      <c r="T1254" s="7" t="str">
        <f ca="1"/>
        <v>Z50</v>
      </c>
      <c r="U1254" s="7" t="str">
        <f ca="1"/>
        <v>0xD018</v>
      </c>
      <c r="V1254" s="7" t="str">
        <f ca="1"/>
        <v>WbTuneIncandescent</v>
      </c>
    </row>
    <row r="1255" spans="20:22" x14ac:dyDescent="0.25">
      <c r="T1255" s="7" t="str">
        <f ca="1"/>
        <v>Z50</v>
      </c>
      <c r="U1255" s="7" t="str">
        <f ca="1"/>
        <v>0xD019</v>
      </c>
      <c r="V1255" s="7" t="str">
        <f ca="1"/>
        <v>WbTuneFluorescent</v>
      </c>
    </row>
    <row r="1256" spans="20:22" x14ac:dyDescent="0.25">
      <c r="T1256" s="7" t="str">
        <f ca="1"/>
        <v>Z50</v>
      </c>
      <c r="U1256" s="7" t="str">
        <f ca="1"/>
        <v>0xD01A</v>
      </c>
      <c r="V1256" s="7" t="str">
        <f ca="1"/>
        <v>WbTuneSunny</v>
      </c>
    </row>
    <row r="1257" spans="20:22" x14ac:dyDescent="0.25">
      <c r="T1257" s="7" t="str">
        <f ca="1"/>
        <v>Z50</v>
      </c>
      <c r="U1257" s="7" t="str">
        <f ca="1"/>
        <v>0xD01B</v>
      </c>
      <c r="V1257" s="7" t="str">
        <f ca="1"/>
        <v>WbTuneFlash</v>
      </c>
    </row>
    <row r="1258" spans="20:22" x14ac:dyDescent="0.25">
      <c r="T1258" s="7" t="str">
        <f ca="1"/>
        <v>Z50</v>
      </c>
      <c r="U1258" s="7" t="str">
        <f ca="1"/>
        <v>0xD01C</v>
      </c>
      <c r="V1258" s="7" t="str">
        <f ca="1"/>
        <v>WbTuneCloudy</v>
      </c>
    </row>
    <row r="1259" spans="20:22" x14ac:dyDescent="0.25">
      <c r="T1259" s="7" t="str">
        <f ca="1"/>
        <v>Z50</v>
      </c>
      <c r="U1259" s="7" t="str">
        <f ca="1"/>
        <v>0xD01D</v>
      </c>
      <c r="V1259" s="7" t="str">
        <f ca="1"/>
        <v>WbTuneShade</v>
      </c>
    </row>
    <row r="1260" spans="20:22" x14ac:dyDescent="0.25">
      <c r="T1260" s="7" t="str">
        <f ca="1"/>
        <v>Z50</v>
      </c>
      <c r="U1260" s="7" t="str">
        <f ca="1"/>
        <v>0xD01E</v>
      </c>
      <c r="V1260" s="7" t="str">
        <f ca="1"/>
        <v>WbColorTemp</v>
      </c>
    </row>
    <row r="1261" spans="20:22" x14ac:dyDescent="0.25">
      <c r="T1261" s="7" t="str">
        <f ca="1"/>
        <v>Z50</v>
      </c>
      <c r="U1261" s="7" t="str">
        <f ca="1"/>
        <v>0xD01F</v>
      </c>
      <c r="V1261" s="7" t="str">
        <f ca="1"/>
        <v>WbPresetDataNo</v>
      </c>
    </row>
    <row r="1262" spans="20:22" x14ac:dyDescent="0.25">
      <c r="T1262" s="7" t="str">
        <f ca="1"/>
        <v>Z50</v>
      </c>
      <c r="U1262" s="7" t="str">
        <f ca="1"/>
        <v>0xD021</v>
      </c>
      <c r="V1262" s="7" t="str">
        <f ca="1"/>
        <v>WbPresetDataComment1</v>
      </c>
    </row>
    <row r="1263" spans="20:22" x14ac:dyDescent="0.25">
      <c r="T1263" s="7" t="str">
        <f ca="1"/>
        <v>Z50</v>
      </c>
      <c r="U1263" s="7" t="str">
        <f ca="1"/>
        <v>0xD022</v>
      </c>
      <c r="V1263" s="7" t="str">
        <f ca="1"/>
        <v>WbPresetDataComment2</v>
      </c>
    </row>
    <row r="1264" spans="20:22" x14ac:dyDescent="0.25">
      <c r="T1264" s="7" t="str">
        <f ca="1"/>
        <v>Z50</v>
      </c>
      <c r="U1264" s="7" t="str">
        <f ca="1"/>
        <v>0xD023</v>
      </c>
      <c r="V1264" s="7" t="str">
        <f ca="1"/>
        <v>WbPresetDataComment3</v>
      </c>
    </row>
    <row r="1265" spans="20:22" x14ac:dyDescent="0.25">
      <c r="T1265" s="7" t="str">
        <f ca="1"/>
        <v>Z50</v>
      </c>
      <c r="U1265" s="7" t="str">
        <f ca="1"/>
        <v>0xD024</v>
      </c>
      <c r="V1265" s="7" t="str">
        <f ca="1"/>
        <v>WbPresetDataComment4</v>
      </c>
    </row>
    <row r="1266" spans="20:22" x14ac:dyDescent="0.25">
      <c r="T1266" s="7" t="str">
        <f ca="1"/>
        <v>Z50</v>
      </c>
      <c r="U1266" s="7" t="str">
        <f ca="1"/>
        <v>0xD026</v>
      </c>
      <c r="V1266" s="7" t="str">
        <f ca="1"/>
        <v>WbPresetDataValue1</v>
      </c>
    </row>
    <row r="1267" spans="20:22" x14ac:dyDescent="0.25">
      <c r="T1267" s="7" t="str">
        <f ca="1"/>
        <v>Z50</v>
      </c>
      <c r="U1267" s="7" t="str">
        <f ca="1"/>
        <v>0xD027</v>
      </c>
      <c r="V1267" s="7" t="str">
        <f ca="1"/>
        <v>WbPresetDataValue2</v>
      </c>
    </row>
    <row r="1268" spans="20:22" x14ac:dyDescent="0.25">
      <c r="T1268" s="7" t="str">
        <f ca="1"/>
        <v>Z50</v>
      </c>
      <c r="U1268" s="7" t="str">
        <f ca="1"/>
        <v>0xD028</v>
      </c>
      <c r="V1268" s="7" t="str">
        <f ca="1"/>
        <v>WbPresetDataValue3</v>
      </c>
    </row>
    <row r="1269" spans="20:22" x14ac:dyDescent="0.25">
      <c r="T1269" s="7" t="str">
        <f ca="1"/>
        <v>Z50</v>
      </c>
      <c r="U1269" s="7" t="str">
        <f ca="1"/>
        <v>0xD029</v>
      </c>
      <c r="V1269" s="7" t="str">
        <f ca="1"/>
        <v>WbPresetDataValue4</v>
      </c>
    </row>
    <row r="1270" spans="20:22" x14ac:dyDescent="0.25">
      <c r="T1270" s="7" t="str">
        <f ca="1"/>
        <v>Z50</v>
      </c>
      <c r="U1270" s="7" t="str">
        <f ca="1"/>
        <v>0xD030</v>
      </c>
      <c r="V1270" s="7" t="str">
        <f ca="1"/>
        <v>CaptureAreaCrop</v>
      </c>
    </row>
    <row r="1271" spans="20:22" x14ac:dyDescent="0.25">
      <c r="T1271" s="7" t="str">
        <f ca="1"/>
        <v>Z50</v>
      </c>
      <c r="U1271" s="7" t="str">
        <f ca="1"/>
        <v>0xD032</v>
      </c>
      <c r="V1271" s="7" t="str">
        <f ca="1"/>
        <v>ColorSpace</v>
      </c>
    </row>
    <row r="1272" spans="20:22" x14ac:dyDescent="0.25">
      <c r="T1272" s="7" t="str">
        <f ca="1"/>
        <v>Z50</v>
      </c>
      <c r="U1272" s="7" t="str">
        <f ca="1"/>
        <v>0xD034</v>
      </c>
      <c r="V1272" s="7" t="str">
        <f ca="1"/>
        <v>DecreaseFlicker</v>
      </c>
    </row>
    <row r="1273" spans="20:22" x14ac:dyDescent="0.25">
      <c r="T1273" s="7" t="str">
        <f ca="1"/>
        <v>Z50</v>
      </c>
      <c r="U1273" s="7" t="str">
        <f ca="1"/>
        <v>0xD037</v>
      </c>
      <c r="V1273" s="7" t="str">
        <f ca="1"/>
        <v>EffectMode</v>
      </c>
    </row>
    <row r="1274" spans="20:22" x14ac:dyDescent="0.25">
      <c r="T1274" s="7" t="str">
        <f ca="1"/>
        <v>Z50</v>
      </c>
      <c r="U1274" s="7" t="str">
        <f ca="1"/>
        <v>0xD038</v>
      </c>
      <c r="V1274" s="7" t="str">
        <f ca="1"/>
        <v>WbPresetDataComment5</v>
      </c>
    </row>
    <row r="1275" spans="20:22" x14ac:dyDescent="0.25">
      <c r="T1275" s="7" t="str">
        <f ca="1"/>
        <v>Z50</v>
      </c>
      <c r="U1275" s="7" t="str">
        <f ca="1"/>
        <v>0xD039</v>
      </c>
      <c r="V1275" s="7" t="str">
        <f ca="1"/>
        <v>WbPresetDataComment6</v>
      </c>
    </row>
    <row r="1276" spans="20:22" x14ac:dyDescent="0.25">
      <c r="T1276" s="7" t="str">
        <f ca="1"/>
        <v>Z50</v>
      </c>
      <c r="U1276" s="7" t="str">
        <f ca="1"/>
        <v>0xD03A</v>
      </c>
      <c r="V1276" s="7" t="str">
        <f ca="1"/>
        <v>WbTunePreset5</v>
      </c>
    </row>
    <row r="1277" spans="20:22" x14ac:dyDescent="0.25">
      <c r="T1277" s="7" t="str">
        <f ca="1"/>
        <v>Z50</v>
      </c>
      <c r="U1277" s="7" t="str">
        <f ca="1"/>
        <v>0xD03B</v>
      </c>
      <c r="V1277" s="7" t="str">
        <f ca="1"/>
        <v>WbTunePreset6</v>
      </c>
    </row>
    <row r="1278" spans="20:22" x14ac:dyDescent="0.25">
      <c r="T1278" s="7" t="str">
        <f ca="1"/>
        <v>Z50</v>
      </c>
      <c r="U1278" s="7" t="str">
        <f ca="1"/>
        <v>0xD03C</v>
      </c>
      <c r="V1278" s="7" t="str">
        <f ca="1"/>
        <v>WbPresetProtect5</v>
      </c>
    </row>
    <row r="1279" spans="20:22" x14ac:dyDescent="0.25">
      <c r="T1279" s="7" t="str">
        <f ca="1"/>
        <v>Z50</v>
      </c>
      <c r="U1279" s="7" t="str">
        <f ca="1"/>
        <v>0xD03D</v>
      </c>
      <c r="V1279" s="7" t="str">
        <f ca="1"/>
        <v>WbPresetProtect6</v>
      </c>
    </row>
    <row r="1280" spans="20:22" x14ac:dyDescent="0.25">
      <c r="T1280" s="7" t="str">
        <f ca="1"/>
        <v>Z50</v>
      </c>
      <c r="U1280" s="7" t="str">
        <f ca="1"/>
        <v>0xD03E</v>
      </c>
      <c r="V1280" s="7" t="str">
        <f ca="1"/>
        <v>WbPresetDataValue5</v>
      </c>
    </row>
    <row r="1281" spans="20:22" x14ac:dyDescent="0.25">
      <c r="T1281" s="7" t="str">
        <f ca="1"/>
        <v>Z50</v>
      </c>
      <c r="U1281" s="7" t="str">
        <f ca="1"/>
        <v>0xD03F</v>
      </c>
      <c r="V1281" s="7" t="str">
        <f ca="1"/>
        <v>WbPresetDataValue6</v>
      </c>
    </row>
    <row r="1282" spans="20:22" x14ac:dyDescent="0.25">
      <c r="T1282" s="7" t="str">
        <f ca="1"/>
        <v>Z50</v>
      </c>
      <c r="U1282" s="7" t="str">
        <f ca="1"/>
        <v>0xD045</v>
      </c>
      <c r="V1282" s="7" t="str">
        <f ca="1"/>
        <v>ResetCustomSetting</v>
      </c>
    </row>
    <row r="1283" spans="20:22" x14ac:dyDescent="0.25">
      <c r="T1283" s="7" t="str">
        <f ca="1"/>
        <v>Z50</v>
      </c>
      <c r="U1283" s="7" t="str">
        <f ca="1"/>
        <v>0xD048</v>
      </c>
      <c r="V1283" s="7" t="str">
        <f ca="1"/>
        <v>DynamicAFonAFC</v>
      </c>
    </row>
    <row r="1284" spans="20:22" x14ac:dyDescent="0.25">
      <c r="T1284" s="7" t="str">
        <f ca="1"/>
        <v>Z50</v>
      </c>
      <c r="U1284" s="7" t="str">
        <f ca="1"/>
        <v>0xD04F</v>
      </c>
      <c r="V1284" s="7" t="str">
        <f ca="1"/>
        <v>FocusAreaSelect</v>
      </c>
    </row>
    <row r="1285" spans="20:22" x14ac:dyDescent="0.25">
      <c r="T1285" s="7" t="str">
        <f ca="1"/>
        <v>Z50</v>
      </c>
      <c r="U1285" s="7" t="str">
        <f ca="1"/>
        <v>0xD053</v>
      </c>
      <c r="V1285" s="7" t="str">
        <f ca="1"/>
        <v>EnableCopyright</v>
      </c>
    </row>
    <row r="1286" spans="20:22" x14ac:dyDescent="0.25">
      <c r="T1286" s="7" t="str">
        <f ca="1"/>
        <v>Z50</v>
      </c>
      <c r="U1286" s="7" t="str">
        <f ca="1"/>
        <v>0xD054</v>
      </c>
      <c r="V1286" s="7" t="str">
        <f ca="1"/>
        <v>ISOAutoControl</v>
      </c>
    </row>
    <row r="1287" spans="20:22" x14ac:dyDescent="0.25">
      <c r="T1287" s="7" t="str">
        <f ca="1"/>
        <v>Z50</v>
      </c>
      <c r="U1287" s="7" t="str">
        <f ca="1"/>
        <v>0xD056</v>
      </c>
      <c r="V1287" s="7" t="str">
        <f ca="1"/>
        <v>ExposureEVStep</v>
      </c>
    </row>
    <row r="1288" spans="20:22" x14ac:dyDescent="0.25">
      <c r="T1288" s="7" t="str">
        <f ca="1"/>
        <v>Z50</v>
      </c>
      <c r="U1288" s="7" t="str">
        <f ca="1"/>
        <v>0xD059</v>
      </c>
      <c r="V1288" s="7" t="str">
        <f ca="1"/>
        <v>CenterWeightedExRange</v>
      </c>
    </row>
    <row r="1289" spans="20:22" x14ac:dyDescent="0.25">
      <c r="T1289" s="7" t="str">
        <f ca="1"/>
        <v>Z50</v>
      </c>
      <c r="U1289" s="7" t="str">
        <f ca="1"/>
        <v>0xD05A</v>
      </c>
      <c r="V1289" s="7" t="str">
        <f ca="1"/>
        <v>ExposureBaseCompMatrix</v>
      </c>
    </row>
    <row r="1290" spans="20:22" x14ac:dyDescent="0.25">
      <c r="T1290" s="7" t="str">
        <f ca="1"/>
        <v>Z50</v>
      </c>
      <c r="U1290" s="7" t="str">
        <f ca="1"/>
        <v>0xD05B</v>
      </c>
      <c r="V1290" s="7" t="str">
        <f ca="1"/>
        <v>ExposureBaseCompCenter</v>
      </c>
    </row>
    <row r="1291" spans="20:22" x14ac:dyDescent="0.25">
      <c r="T1291" s="7" t="str">
        <f ca="1"/>
        <v>Z50</v>
      </c>
      <c r="U1291" s="7" t="str">
        <f ca="1"/>
        <v>0xD05C</v>
      </c>
      <c r="V1291" s="7" t="str">
        <f ca="1"/>
        <v>ExposureBaseCompSpot</v>
      </c>
    </row>
    <row r="1292" spans="20:22" x14ac:dyDescent="0.25">
      <c r="T1292" s="7" t="str">
        <f ca="1"/>
        <v>Z50</v>
      </c>
      <c r="U1292" s="7" t="str">
        <f ca="1"/>
        <v>0xD061</v>
      </c>
      <c r="V1292" s="7" t="str">
        <f ca="1"/>
        <v>AfModeAtLiveView</v>
      </c>
    </row>
    <row r="1293" spans="20:22" x14ac:dyDescent="0.25">
      <c r="T1293" s="7" t="str">
        <f ca="1"/>
        <v>Z50</v>
      </c>
      <c r="U1293" s="7" t="str">
        <f ca="1"/>
        <v>0xD067</v>
      </c>
      <c r="V1293" s="7" t="str">
        <f ca="1"/>
        <v>AngleLevel</v>
      </c>
    </row>
    <row r="1294" spans="20:22" x14ac:dyDescent="0.25">
      <c r="T1294" s="7" t="str">
        <f ca="1"/>
        <v>Z50</v>
      </c>
      <c r="U1294" s="7" t="str">
        <f ca="1"/>
        <v>0xD068</v>
      </c>
      <c r="V1294" s="7" t="str">
        <f ca="1"/>
        <v>CSpeedLow</v>
      </c>
    </row>
    <row r="1295" spans="20:22" x14ac:dyDescent="0.25">
      <c r="T1295" s="7" t="str">
        <f ca="1"/>
        <v>Z50</v>
      </c>
      <c r="U1295" s="7" t="str">
        <f ca="1"/>
        <v>0xD069</v>
      </c>
      <c r="V1295" s="7" t="str">
        <f ca="1"/>
        <v>BurstMaxNumber</v>
      </c>
    </row>
    <row r="1296" spans="20:22" x14ac:dyDescent="0.25">
      <c r="T1296" s="7" t="str">
        <f ca="1"/>
        <v>Z50</v>
      </c>
      <c r="U1296" s="7" t="str">
        <f ca="1"/>
        <v>0xD06A</v>
      </c>
      <c r="V1296" s="7" t="str">
        <f ca="1"/>
        <v>ExposureDelay</v>
      </c>
    </row>
    <row r="1297" spans="20:22" x14ac:dyDescent="0.25">
      <c r="T1297" s="7" t="str">
        <f ca="1"/>
        <v>Z50</v>
      </c>
      <c r="U1297" s="7" t="str">
        <f ca="1"/>
        <v>0xD06B</v>
      </c>
      <c r="V1297" s="7" t="str">
        <f ca="1"/>
        <v>NoiseReduction</v>
      </c>
    </row>
    <row r="1298" spans="20:22" x14ac:dyDescent="0.25">
      <c r="T1298" s="7" t="str">
        <f ca="1"/>
        <v>Z50</v>
      </c>
      <c r="U1298" s="7" t="str">
        <f ca="1"/>
        <v>0xD06C</v>
      </c>
      <c r="V1298" s="7" t="str">
        <f ca="1"/>
        <v>NumberingMode</v>
      </c>
    </row>
    <row r="1299" spans="20:22" x14ac:dyDescent="0.25">
      <c r="T1299" s="7" t="str">
        <f ca="1"/>
        <v>Z50</v>
      </c>
      <c r="U1299" s="7" t="str">
        <f ca="1"/>
        <v>0xD070</v>
      </c>
      <c r="V1299" s="7" t="str">
        <f ca="1"/>
        <v>NoiseReductionHiIso</v>
      </c>
    </row>
    <row r="1300" spans="20:22" x14ac:dyDescent="0.25">
      <c r="T1300" s="7" t="str">
        <f ca="1"/>
        <v>Z50</v>
      </c>
      <c r="U1300" s="7" t="str">
        <f ca="1"/>
        <v>0xD072</v>
      </c>
      <c r="V1300" s="7" t="str">
        <f ca="1"/>
        <v>ArtistV</v>
      </c>
    </row>
    <row r="1301" spans="20:22" x14ac:dyDescent="0.25">
      <c r="T1301" s="7" t="str">
        <f ca="1"/>
        <v>Z50</v>
      </c>
      <c r="U1301" s="7" t="str">
        <f ca="1"/>
        <v>0xD073</v>
      </c>
      <c r="V1301" s="7" t="str">
        <f ca="1"/>
        <v>CopyrightV</v>
      </c>
    </row>
    <row r="1302" spans="20:22" x14ac:dyDescent="0.25">
      <c r="T1302" s="7" t="str">
        <f ca="1"/>
        <v>Z50</v>
      </c>
      <c r="U1302" s="7" t="str">
        <f ca="1"/>
        <v>0xD074</v>
      </c>
      <c r="V1302" s="7" t="str">
        <f ca="1"/>
        <v>FlashSyncSpeed</v>
      </c>
    </row>
    <row r="1303" spans="20:22" x14ac:dyDescent="0.25">
      <c r="T1303" s="7" t="str">
        <f ca="1"/>
        <v>Z50</v>
      </c>
      <c r="U1303" s="7" t="str">
        <f ca="1"/>
        <v>0xD075</v>
      </c>
      <c r="V1303" s="7" t="str">
        <f ca="1"/>
        <v>FlashSlowSpeedLimit</v>
      </c>
    </row>
    <row r="1304" spans="20:22" x14ac:dyDescent="0.25">
      <c r="T1304" s="7" t="str">
        <f ca="1"/>
        <v>Z50</v>
      </c>
      <c r="U1304" s="7" t="str">
        <f ca="1"/>
        <v>0xD078</v>
      </c>
      <c r="V1304" s="7" t="str">
        <f ca="1"/>
        <v>BracketingType</v>
      </c>
    </row>
    <row r="1305" spans="20:22" x14ac:dyDescent="0.25">
      <c r="T1305" s="7" t="str">
        <f ca="1"/>
        <v>Z50</v>
      </c>
      <c r="U1305" s="7" t="str">
        <f ca="1"/>
        <v>0xD07A</v>
      </c>
      <c r="V1305" s="7" t="str">
        <f ca="1"/>
        <v>BracketingOrder</v>
      </c>
    </row>
    <row r="1306" spans="20:22" x14ac:dyDescent="0.25">
      <c r="T1306" s="7" t="str">
        <f ca="1"/>
        <v>Z50</v>
      </c>
      <c r="U1306" s="7" t="str">
        <f ca="1"/>
        <v>0xD07D</v>
      </c>
      <c r="V1306" s="7" t="str">
        <f ca="1"/>
        <v>AngleLevelPitching</v>
      </c>
    </row>
    <row r="1307" spans="20:22" x14ac:dyDescent="0.25">
      <c r="T1307" s="7" t="str">
        <f ca="1"/>
        <v>Z50</v>
      </c>
      <c r="U1307" s="7" t="str">
        <f ca="1"/>
        <v>0xD07E</v>
      </c>
      <c r="V1307" s="7" t="str">
        <f ca="1"/>
        <v>AngleLevelYawing</v>
      </c>
    </row>
    <row r="1308" spans="20:22" x14ac:dyDescent="0.25">
      <c r="T1308" s="7" t="str">
        <f ca="1"/>
        <v>Z50</v>
      </c>
      <c r="U1308" s="7" t="str">
        <f ca="1"/>
        <v>0xD08A</v>
      </c>
      <c r="V1308" s="7" t="str">
        <f ca="1"/>
        <v>EnableShutter</v>
      </c>
    </row>
    <row r="1309" spans="20:22" x14ac:dyDescent="0.25">
      <c r="T1309" s="7" t="str">
        <f ca="1"/>
        <v>Z50</v>
      </c>
      <c r="U1309" s="7" t="str">
        <f ca="1"/>
        <v>0xD08D</v>
      </c>
      <c r="V1309" s="7" t="str">
        <f ca="1"/>
        <v>EnableAFAreaPoint</v>
      </c>
    </row>
    <row r="1310" spans="20:22" x14ac:dyDescent="0.25">
      <c r="T1310" s="7" t="str">
        <f ca="1"/>
        <v>Z50</v>
      </c>
      <c r="U1310" s="7" t="str">
        <f ca="1"/>
        <v>0xD090</v>
      </c>
      <c r="V1310" s="7" t="str">
        <f ca="1"/>
        <v>CommentString</v>
      </c>
    </row>
    <row r="1311" spans="20:22" x14ac:dyDescent="0.25">
      <c r="T1311" s="7" t="str">
        <f ca="1"/>
        <v>Z50</v>
      </c>
      <c r="U1311" s="7" t="str">
        <f ca="1"/>
        <v>0xD091</v>
      </c>
      <c r="V1311" s="7" t="str">
        <f ca="1"/>
        <v>EnableComment</v>
      </c>
    </row>
    <row r="1312" spans="20:22" x14ac:dyDescent="0.25">
      <c r="T1312" s="7" t="str">
        <f ca="1"/>
        <v>Z50</v>
      </c>
      <c r="U1312" s="7" t="str">
        <f ca="1"/>
        <v>0xD09C</v>
      </c>
      <c r="V1312" s="7" t="str">
        <f ca="1"/>
        <v>RetractableLensWarning</v>
      </c>
    </row>
    <row r="1313" spans="20:22" x14ac:dyDescent="0.25">
      <c r="T1313" s="7" t="str">
        <f ca="1"/>
        <v>Z50</v>
      </c>
      <c r="U1313" s="7" t="str">
        <f ca="1"/>
        <v>0xD09D</v>
      </c>
      <c r="V1313" s="7" t="str">
        <f ca="1"/>
        <v>FaceDetection</v>
      </c>
    </row>
    <row r="1314" spans="20:22" x14ac:dyDescent="0.25">
      <c r="T1314" s="7" t="str">
        <f ca="1"/>
        <v>Z50</v>
      </c>
      <c r="U1314" s="7" t="str">
        <f ca="1"/>
        <v>0xD0A0</v>
      </c>
      <c r="V1314" s="7" t="str">
        <f ca="1"/>
        <v>MovieRecordScreenSize</v>
      </c>
    </row>
    <row r="1315" spans="20:22" x14ac:dyDescent="0.25">
      <c r="T1315" s="7" t="str">
        <f ca="1"/>
        <v>Z50</v>
      </c>
      <c r="U1315" s="7" t="str">
        <f ca="1"/>
        <v>0xD0A2</v>
      </c>
      <c r="V1315" s="7" t="str">
        <f ca="1"/>
        <v>MovieRecordMicrophoneLevel</v>
      </c>
    </row>
    <row r="1316" spans="20:22" x14ac:dyDescent="0.25">
      <c r="T1316" s="7" t="str">
        <f ca="1"/>
        <v>Z50</v>
      </c>
      <c r="U1316" s="7" t="str">
        <f ca="1"/>
        <v>0xD0A4</v>
      </c>
      <c r="V1316" s="7" t="str">
        <f ca="1"/>
        <v>MovieRecProhibitionCondition</v>
      </c>
    </row>
    <row r="1317" spans="20:22" x14ac:dyDescent="0.25">
      <c r="T1317" s="7" t="str">
        <f ca="1"/>
        <v>Z50</v>
      </c>
      <c r="U1317" s="7" t="str">
        <f ca="1"/>
        <v>0xD0A7</v>
      </c>
      <c r="V1317" s="7" t="str">
        <f ca="1"/>
        <v>MovieRecordQuality</v>
      </c>
    </row>
    <row r="1318" spans="20:22" x14ac:dyDescent="0.25">
      <c r="T1318" s="7" t="str">
        <f ca="1"/>
        <v>Z50</v>
      </c>
      <c r="U1318" s="7" t="str">
        <f ca="1"/>
        <v>0xD0A8</v>
      </c>
      <c r="V1318" s="7" t="str">
        <f ca="1"/>
        <v>MovieRecordMicrophoneLevelValue</v>
      </c>
    </row>
    <row r="1319" spans="20:22" x14ac:dyDescent="0.25">
      <c r="T1319" s="7" t="str">
        <f ca="1"/>
        <v>Z50</v>
      </c>
      <c r="U1319" s="7" t="str">
        <f ca="1"/>
        <v>0xD0AA</v>
      </c>
      <c r="V1319" s="7" t="str">
        <f ca="1"/>
        <v>MovieWindNoiseReduction</v>
      </c>
    </row>
    <row r="1320" spans="20:22" x14ac:dyDescent="0.25">
      <c r="T1320" s="7" t="str">
        <f ca="1"/>
        <v>Z50</v>
      </c>
      <c r="U1320" s="7" t="str">
        <f ca="1"/>
        <v>0xD0AC</v>
      </c>
      <c r="V1320" s="7" t="str">
        <f ca="1"/>
        <v>MovieRecordingZone</v>
      </c>
    </row>
    <row r="1321" spans="20:22" x14ac:dyDescent="0.25">
      <c r="T1321" s="7" t="str">
        <f ca="1"/>
        <v>Z50</v>
      </c>
      <c r="U1321" s="7" t="str">
        <f ca="1"/>
        <v>0xD0AD</v>
      </c>
      <c r="V1321" s="7" t="str">
        <f ca="1"/>
        <v>MovieISOAutoControl</v>
      </c>
    </row>
    <row r="1322" spans="20:22" x14ac:dyDescent="0.25">
      <c r="T1322" s="7" t="str">
        <f ca="1"/>
        <v>Z50</v>
      </c>
      <c r="U1322" s="7" t="str">
        <f ca="1"/>
        <v>0xD0AE</v>
      </c>
      <c r="V1322" s="7" t="str">
        <f ca="1"/>
        <v>MovieISOAutoHighLimit</v>
      </c>
    </row>
    <row r="1323" spans="20:22" x14ac:dyDescent="0.25">
      <c r="T1323" s="7" t="str">
        <f ca="1"/>
        <v>Z50</v>
      </c>
      <c r="U1323" s="7" t="str">
        <f ca="1"/>
        <v>0xD0AF</v>
      </c>
      <c r="V1323" s="7" t="str">
        <f ca="1"/>
        <v>MovieFileType</v>
      </c>
    </row>
    <row r="1324" spans="20:22" x14ac:dyDescent="0.25">
      <c r="T1324" s="7" t="str">
        <f ca="1"/>
        <v>Z50</v>
      </c>
      <c r="U1324" s="7" t="str">
        <f ca="1"/>
        <v>0xD0B4</v>
      </c>
      <c r="V1324" s="7" t="str">
        <f ca="1"/>
        <v>ExposureIndexEx</v>
      </c>
    </row>
    <row r="1325" spans="20:22" x14ac:dyDescent="0.25">
      <c r="T1325" s="7" t="str">
        <f ca="1"/>
        <v>Z50</v>
      </c>
      <c r="U1325" s="7" t="str">
        <f ca="1"/>
        <v>0xD0B5</v>
      </c>
      <c r="V1325" s="7" t="str">
        <f ca="1"/>
        <v>ISOControlSensitivity</v>
      </c>
    </row>
    <row r="1326" spans="20:22" x14ac:dyDescent="0.25">
      <c r="T1326" s="7" t="str">
        <f ca="1"/>
        <v>Z50</v>
      </c>
      <c r="U1326" s="7" t="str">
        <f ca="1"/>
        <v>0xD0B7</v>
      </c>
      <c r="V1326" s="7" t="str">
        <f ca="1"/>
        <v>FlickerReductionSetting</v>
      </c>
    </row>
    <row r="1327" spans="20:22" x14ac:dyDescent="0.25">
      <c r="T1327" s="7" t="str">
        <f ca="1"/>
        <v>Z50</v>
      </c>
      <c r="U1327" s="7" t="str">
        <f ca="1"/>
        <v>0xD0BA</v>
      </c>
      <c r="V1327" s="7" t="str">
        <f ca="1"/>
        <v>DiffractionCompensation</v>
      </c>
    </row>
    <row r="1328" spans="20:22" x14ac:dyDescent="0.25">
      <c r="T1328" s="7" t="str">
        <f ca="1"/>
        <v>Z50</v>
      </c>
      <c r="U1328" s="7" t="str">
        <f ca="1"/>
        <v>0xD0BC</v>
      </c>
      <c r="V1328" s="7" t="str">
        <f ca="1"/>
        <v>MovieAutoDistortion</v>
      </c>
    </row>
    <row r="1329" spans="20:22" x14ac:dyDescent="0.25">
      <c r="T1329" s="7" t="str">
        <f ca="1"/>
        <v>Z50</v>
      </c>
      <c r="U1329" s="7" t="str">
        <f ca="1"/>
        <v>0xD0C0</v>
      </c>
      <c r="V1329" s="7" t="str">
        <f ca="1"/>
        <v>EnableBracketing</v>
      </c>
    </row>
    <row r="1330" spans="20:22" x14ac:dyDescent="0.25">
      <c r="T1330" s="7" t="str">
        <f ca="1"/>
        <v>Z50</v>
      </c>
      <c r="U1330" s="7" t="str">
        <f ca="1"/>
        <v>0xD0C1</v>
      </c>
      <c r="V1330" s="7" t="str">
        <f ca="1"/>
        <v>AEBracketingStep</v>
      </c>
    </row>
    <row r="1331" spans="20:22" x14ac:dyDescent="0.25">
      <c r="T1331" s="7" t="str">
        <f ca="1"/>
        <v>Z50</v>
      </c>
      <c r="U1331" s="7" t="str">
        <f ca="1"/>
        <v>0xD0C2</v>
      </c>
      <c r="V1331" s="7" t="str">
        <f ca="1"/>
        <v>AEBracketingPattern</v>
      </c>
    </row>
    <row r="1332" spans="20:22" x14ac:dyDescent="0.25">
      <c r="T1332" s="7" t="str">
        <f ca="1"/>
        <v>Z50</v>
      </c>
      <c r="U1332" s="7" t="str">
        <f ca="1"/>
        <v>0xD0C3</v>
      </c>
      <c r="V1332" s="7" t="str">
        <f ca="1"/>
        <v>AEBracketingCount</v>
      </c>
    </row>
    <row r="1333" spans="20:22" x14ac:dyDescent="0.25">
      <c r="T1333" s="7" t="str">
        <f ca="1"/>
        <v>Z50</v>
      </c>
      <c r="U1333" s="7" t="str">
        <f ca="1"/>
        <v>0xD0C4</v>
      </c>
      <c r="V1333" s="7" t="str">
        <f ca="1"/>
        <v>WBBracketingStep</v>
      </c>
    </row>
    <row r="1334" spans="20:22" x14ac:dyDescent="0.25">
      <c r="T1334" s="7" t="str">
        <f ca="1"/>
        <v>Z50</v>
      </c>
      <c r="U1334" s="7" t="str">
        <f ca="1"/>
        <v>0xD0C5</v>
      </c>
      <c r="V1334" s="7" t="str">
        <f ca="1"/>
        <v>WBBracketingPattern</v>
      </c>
    </row>
    <row r="1335" spans="20:22" x14ac:dyDescent="0.25">
      <c r="T1335" s="7" t="str">
        <f ca="1"/>
        <v>Z50</v>
      </c>
      <c r="U1335" s="7" t="str">
        <f ca="1"/>
        <v>0xD0C6</v>
      </c>
      <c r="V1335" s="7" t="str">
        <f ca="1"/>
        <v>ADLBracketingPattern</v>
      </c>
    </row>
    <row r="1336" spans="20:22" x14ac:dyDescent="0.25">
      <c r="T1336" s="7" t="str">
        <f ca="1"/>
        <v>Z50</v>
      </c>
      <c r="U1336" s="7" t="str">
        <f ca="1"/>
        <v>0xD0C7</v>
      </c>
      <c r="V1336" s="7" t="str">
        <f ca="1"/>
        <v>ADLBracketingStep</v>
      </c>
    </row>
    <row r="1337" spans="20:22" x14ac:dyDescent="0.25">
      <c r="T1337" s="7" t="str">
        <f ca="1"/>
        <v>Z50</v>
      </c>
      <c r="U1337" s="7" t="str">
        <f ca="1"/>
        <v>0xD0CD</v>
      </c>
      <c r="V1337" s="7" t="str">
        <f ca="1"/>
        <v>SaveFocusPosition</v>
      </c>
    </row>
    <row r="1338" spans="20:22" x14ac:dyDescent="0.25">
      <c r="T1338" s="7" t="str">
        <f ca="1"/>
        <v>Z50</v>
      </c>
      <c r="U1338" s="7" t="str">
        <f ca="1"/>
        <v>0xD0E0</v>
      </c>
      <c r="V1338" s="7" t="str">
        <f ca="1"/>
        <v>LensID</v>
      </c>
    </row>
    <row r="1339" spans="20:22" x14ac:dyDescent="0.25">
      <c r="T1339" s="7" t="str">
        <f ca="1"/>
        <v>Z50</v>
      </c>
      <c r="U1339" s="7" t="str">
        <f ca="1"/>
        <v>0xD0E1</v>
      </c>
      <c r="V1339" s="7" t="str">
        <f ca="1"/>
        <v>LensSort</v>
      </c>
    </row>
    <row r="1340" spans="20:22" x14ac:dyDescent="0.25">
      <c r="T1340" s="7" t="str">
        <f ca="1"/>
        <v>Z50</v>
      </c>
      <c r="U1340" s="7" t="str">
        <f ca="1"/>
        <v>0xD0E2</v>
      </c>
      <c r="V1340" s="7" t="str">
        <f ca="1"/>
        <v>LensTypeF</v>
      </c>
    </row>
    <row r="1341" spans="20:22" x14ac:dyDescent="0.25">
      <c r="T1341" s="7" t="str">
        <f ca="1"/>
        <v>Z50</v>
      </c>
      <c r="U1341" s="7" t="str">
        <f ca="1"/>
        <v>0xD0E3</v>
      </c>
      <c r="V1341" s="7" t="str">
        <f ca="1"/>
        <v>LensFocalMin</v>
      </c>
    </row>
    <row r="1342" spans="20:22" x14ac:dyDescent="0.25">
      <c r="T1342" s="7" t="str">
        <f ca="1"/>
        <v>Z50</v>
      </c>
      <c r="U1342" s="7" t="str">
        <f ca="1"/>
        <v>0xD0E4</v>
      </c>
      <c r="V1342" s="7" t="str">
        <f ca="1"/>
        <v>LensFocalMax</v>
      </c>
    </row>
    <row r="1343" spans="20:22" x14ac:dyDescent="0.25">
      <c r="T1343" s="7" t="str">
        <f ca="1"/>
        <v>Z50</v>
      </c>
      <c r="U1343" s="7" t="str">
        <f ca="1"/>
        <v>0xD0E5</v>
      </c>
      <c r="V1343" s="7" t="str">
        <f ca="1"/>
        <v>LensApatureMin</v>
      </c>
    </row>
    <row r="1344" spans="20:22" x14ac:dyDescent="0.25">
      <c r="T1344" s="7" t="str">
        <f ca="1"/>
        <v>Z50</v>
      </c>
      <c r="U1344" s="7" t="str">
        <f ca="1"/>
        <v>0xD0E6</v>
      </c>
      <c r="V1344" s="7" t="str">
        <f ca="1"/>
        <v>LensApatureMax</v>
      </c>
    </row>
    <row r="1345" spans="20:22" x14ac:dyDescent="0.25">
      <c r="T1345" s="7" t="str">
        <f ca="1"/>
        <v>Z50</v>
      </c>
      <c r="U1345" s="7" t="str">
        <f ca="1"/>
        <v>0xD0E7</v>
      </c>
      <c r="V1345" s="7" t="str">
        <f ca="1"/>
        <v>LensTypeML</v>
      </c>
    </row>
    <row r="1346" spans="20:22" x14ac:dyDescent="0.25">
      <c r="T1346" s="7" t="str">
        <f ca="1"/>
        <v>Z50</v>
      </c>
      <c r="U1346" s="7" t="str">
        <f ca="1"/>
        <v>0xD0F7</v>
      </c>
      <c r="V1346" s="7" t="str">
        <f ca="1"/>
        <v>VignetteControl</v>
      </c>
    </row>
    <row r="1347" spans="20:22" x14ac:dyDescent="0.25">
      <c r="T1347" s="7" t="str">
        <f ca="1"/>
        <v>Z50</v>
      </c>
      <c r="U1347" s="7" t="str">
        <f ca="1"/>
        <v>0xD0F8</v>
      </c>
      <c r="V1347" s="7" t="str">
        <f ca="1"/>
        <v>AutoDistortion</v>
      </c>
    </row>
    <row r="1348" spans="20:22" x14ac:dyDescent="0.25">
      <c r="T1348" s="7" t="str">
        <f ca="1"/>
        <v>Z50</v>
      </c>
      <c r="U1348" s="7" t="str">
        <f ca="1"/>
        <v>0xD0F9</v>
      </c>
      <c r="V1348" s="7" t="str">
        <f ca="1"/>
        <v>SceneMode</v>
      </c>
    </row>
    <row r="1349" spans="20:22" x14ac:dyDescent="0.25">
      <c r="T1349" s="7" t="str">
        <f ca="1"/>
        <v>Z50</v>
      </c>
      <c r="U1349" s="7" t="str">
        <f ca="1"/>
        <v>0xD0FC</v>
      </c>
      <c r="V1349" s="7" t="str">
        <f ca="1"/>
        <v>UserMode</v>
      </c>
    </row>
    <row r="1350" spans="20:22" x14ac:dyDescent="0.25">
      <c r="T1350" s="7" t="str">
        <f ca="1"/>
        <v>Z50</v>
      </c>
      <c r="U1350" s="7" t="str">
        <f ca="1"/>
        <v>0xD100</v>
      </c>
      <c r="V1350" s="7" t="str">
        <f ca="1"/>
        <v>ShutterSpeed</v>
      </c>
    </row>
    <row r="1351" spans="20:22" x14ac:dyDescent="0.25">
      <c r="T1351" s="7" t="str">
        <f ca="1"/>
        <v>Z50</v>
      </c>
      <c r="U1351" s="7" t="str">
        <f ca="1"/>
        <v>0xD101</v>
      </c>
      <c r="V1351" s="7" t="str">
        <f ca="1"/>
        <v>ExternalDC</v>
      </c>
    </row>
    <row r="1352" spans="20:22" x14ac:dyDescent="0.25">
      <c r="T1352" s="7" t="str">
        <f ca="1"/>
        <v>Z50</v>
      </c>
      <c r="U1352" s="7" t="str">
        <f ca="1"/>
        <v>0xD102</v>
      </c>
      <c r="V1352" s="7" t="str">
        <f ca="1"/>
        <v>WarningStatus</v>
      </c>
    </row>
    <row r="1353" spans="20:22" x14ac:dyDescent="0.25">
      <c r="T1353" s="7" t="str">
        <f ca="1"/>
        <v>Z50</v>
      </c>
      <c r="U1353" s="7" t="str">
        <f ca="1"/>
        <v>0xD104</v>
      </c>
      <c r="V1353" s="7" t="str">
        <f ca="1"/>
        <v>AFLockStatus</v>
      </c>
    </row>
    <row r="1354" spans="20:22" x14ac:dyDescent="0.25">
      <c r="T1354" s="7" t="str">
        <f ca="1"/>
        <v>Z50</v>
      </c>
      <c r="U1354" s="7" t="str">
        <f ca="1"/>
        <v>0xD105</v>
      </c>
      <c r="V1354" s="7" t="str">
        <f ca="1"/>
        <v>AELockStatus</v>
      </c>
    </row>
    <row r="1355" spans="20:22" x14ac:dyDescent="0.25">
      <c r="T1355" s="7" t="str">
        <f ca="1"/>
        <v>Z50</v>
      </c>
      <c r="U1355" s="7" t="str">
        <f ca="1"/>
        <v>0xD106</v>
      </c>
      <c r="V1355" s="7" t="str">
        <f ca="1"/>
        <v>FVLockStatus</v>
      </c>
    </row>
    <row r="1356" spans="20:22" x14ac:dyDescent="0.25">
      <c r="T1356" s="7" t="str">
        <f ca="1"/>
        <v>Z50</v>
      </c>
      <c r="U1356" s="7" t="str">
        <f ca="1"/>
        <v>0xD109</v>
      </c>
      <c r="V1356" s="7" t="str">
        <f ca="1"/>
        <v>FlexibleProgram</v>
      </c>
    </row>
    <row r="1357" spans="20:22" x14ac:dyDescent="0.25">
      <c r="T1357" s="7" t="str">
        <f ca="1"/>
        <v>Z50</v>
      </c>
      <c r="U1357" s="7" t="str">
        <f ca="1"/>
        <v>0xD10B</v>
      </c>
      <c r="V1357" s="7" t="str">
        <f ca="1"/>
        <v>RecordingMedia</v>
      </c>
    </row>
    <row r="1358" spans="20:22" x14ac:dyDescent="0.25">
      <c r="T1358" s="7" t="str">
        <f ca="1"/>
        <v>Z50</v>
      </c>
      <c r="U1358" s="7" t="str">
        <f ca="1"/>
        <v>0xD10C</v>
      </c>
      <c r="V1358" s="7" t="str">
        <f ca="1"/>
        <v>USBSpeed</v>
      </c>
    </row>
    <row r="1359" spans="20:22" x14ac:dyDescent="0.25">
      <c r="T1359" s="7" t="str">
        <f ca="1"/>
        <v>Z50</v>
      </c>
      <c r="U1359" s="7" t="str">
        <f ca="1"/>
        <v>0xD10E</v>
      </c>
      <c r="V1359" s="7" t="str">
        <f ca="1"/>
        <v>Orientation</v>
      </c>
    </row>
    <row r="1360" spans="20:22" x14ac:dyDescent="0.25">
      <c r="T1360" s="7" t="str">
        <f ca="1"/>
        <v>Z50</v>
      </c>
      <c r="U1360" s="7" t="str">
        <f ca="1"/>
        <v>0xD118</v>
      </c>
      <c r="V1360" s="7" t="str">
        <f ca="1"/>
        <v>ExposureCompFlashUsed</v>
      </c>
    </row>
    <row r="1361" spans="20:22" x14ac:dyDescent="0.25">
      <c r="T1361" s="7" t="str">
        <f ca="1"/>
        <v>Z50</v>
      </c>
      <c r="U1361" s="7" t="str">
        <f ca="1"/>
        <v>0xD120</v>
      </c>
      <c r="V1361" s="7" t="str">
        <f ca="1"/>
        <v>ExternalSpeedLightExist</v>
      </c>
    </row>
    <row r="1362" spans="20:22" x14ac:dyDescent="0.25">
      <c r="T1362" s="7" t="str">
        <f ca="1"/>
        <v>Z50</v>
      </c>
      <c r="U1362" s="7" t="str">
        <f ca="1"/>
        <v>0xD121</v>
      </c>
      <c r="V1362" s="7" t="str">
        <f ca="1"/>
        <v>ExternalSpeedLightStatus</v>
      </c>
    </row>
    <row r="1363" spans="20:22" x14ac:dyDescent="0.25">
      <c r="T1363" s="7" t="str">
        <f ca="1"/>
        <v>Z50</v>
      </c>
      <c r="U1363" s="7" t="str">
        <f ca="1"/>
        <v>0xD122</v>
      </c>
      <c r="V1363" s="7" t="str">
        <f ca="1"/>
        <v>ExternalSpeedLightSort</v>
      </c>
    </row>
    <row r="1364" spans="20:22" x14ac:dyDescent="0.25">
      <c r="T1364" s="7" t="str">
        <f ca="1"/>
        <v>Z50</v>
      </c>
      <c r="U1364" s="7" t="str">
        <f ca="1"/>
        <v>0xD124</v>
      </c>
      <c r="V1364" s="7" t="str">
        <f ca="1"/>
        <v>FlashCompensation</v>
      </c>
    </row>
    <row r="1365" spans="20:22" x14ac:dyDescent="0.25">
      <c r="T1365" s="7" t="str">
        <f ca="1"/>
        <v>Z50</v>
      </c>
      <c r="U1365" s="7" t="str">
        <f ca="1"/>
        <v>0xD125</v>
      </c>
      <c r="V1365" s="7" t="str">
        <f ca="1"/>
        <v>NewExternalSpeedLightMode</v>
      </c>
    </row>
    <row r="1366" spans="20:22" x14ac:dyDescent="0.25">
      <c r="T1366" s="7" t="str">
        <f ca="1"/>
        <v>Z50</v>
      </c>
      <c r="U1366" s="7" t="str">
        <f ca="1"/>
        <v>0xD126</v>
      </c>
      <c r="V1366" s="7" t="str">
        <f ca="1"/>
        <v>InternalFlashCompensation</v>
      </c>
    </row>
    <row r="1367" spans="20:22" x14ac:dyDescent="0.25">
      <c r="T1367" s="7" t="str">
        <f ca="1"/>
        <v>Z50</v>
      </c>
      <c r="U1367" s="7" t="str">
        <f ca="1"/>
        <v>0xD12D</v>
      </c>
      <c r="V1367" s="7" t="str">
        <f ca="1"/>
        <v>ExternalSpeedLightMultiFlashMode</v>
      </c>
    </row>
    <row r="1368" spans="20:22" x14ac:dyDescent="0.25">
      <c r="T1368" s="7" t="str">
        <f ca="1"/>
        <v>Z50</v>
      </c>
      <c r="U1368" s="7" t="str">
        <f ca="1"/>
        <v>0xD12E</v>
      </c>
      <c r="V1368" s="7" t="str">
        <f ca="1"/>
        <v>ConnectionPath</v>
      </c>
    </row>
    <row r="1369" spans="20:22" x14ac:dyDescent="0.25">
      <c r="T1369" s="7" t="str">
        <f ca="1"/>
        <v>Z50</v>
      </c>
      <c r="U1369" s="7" t="str">
        <f ca="1"/>
        <v>0xD130</v>
      </c>
      <c r="V1369" s="7" t="str">
        <f ca="1"/>
        <v>HDRMode</v>
      </c>
    </row>
    <row r="1370" spans="20:22" x14ac:dyDescent="0.25">
      <c r="T1370" s="7" t="str">
        <f ca="1"/>
        <v>Z50</v>
      </c>
      <c r="U1370" s="7" t="str">
        <f ca="1"/>
        <v>0xD131</v>
      </c>
      <c r="V1370" s="7" t="str">
        <f ca="1"/>
        <v>HDREv</v>
      </c>
    </row>
    <row r="1371" spans="20:22" x14ac:dyDescent="0.25">
      <c r="T1371" s="7" t="str">
        <f ca="1"/>
        <v>Z50</v>
      </c>
      <c r="U1371" s="7" t="str">
        <f ca="1"/>
        <v>0xD132</v>
      </c>
      <c r="V1371" s="7" t="str">
        <f ca="1"/>
        <v>HDRSmoothing</v>
      </c>
    </row>
    <row r="1372" spans="20:22" x14ac:dyDescent="0.25">
      <c r="T1372" s="7" t="str">
        <f ca="1"/>
        <v>Z50</v>
      </c>
      <c r="U1372" s="7" t="str">
        <f ca="1"/>
        <v>0xD133</v>
      </c>
      <c r="V1372" s="7" t="str">
        <f ca="1"/>
        <v>HDRSaveIndividualImages</v>
      </c>
    </row>
    <row r="1373" spans="20:22" x14ac:dyDescent="0.25">
      <c r="T1373" s="7" t="str">
        <f ca="1"/>
        <v>Z50</v>
      </c>
      <c r="U1373" s="7" t="str">
        <f ca="1"/>
        <v>0xD138</v>
      </c>
      <c r="V1373" s="7" t="str">
        <f ca="1"/>
        <v>VibrationReduction</v>
      </c>
    </row>
    <row r="1374" spans="20:22" x14ac:dyDescent="0.25">
      <c r="T1374" s="7" t="str">
        <f ca="1"/>
        <v>Z50</v>
      </c>
      <c r="U1374" s="7" t="str">
        <f ca="1"/>
        <v>0xD141</v>
      </c>
      <c r="V1374" s="7" t="str">
        <f ca="1"/>
        <v>WbAutoType</v>
      </c>
    </row>
    <row r="1375" spans="20:22" x14ac:dyDescent="0.25">
      <c r="T1375" s="7" t="str">
        <f ca="1"/>
        <v>Z50</v>
      </c>
      <c r="U1375" s="7" t="str">
        <f ca="1"/>
        <v>0xD149</v>
      </c>
      <c r="V1375" s="7" t="str">
        <f ca="1"/>
        <v>RawCompressionBitMode</v>
      </c>
    </row>
    <row r="1376" spans="20:22" x14ac:dyDescent="0.25">
      <c r="T1376" s="7" t="str">
        <f ca="1"/>
        <v>Z50</v>
      </c>
      <c r="U1376" s="7" t="str">
        <f ca="1"/>
        <v>0xD14E</v>
      </c>
      <c r="V1376" s="7" t="str">
        <f ca="1"/>
        <v>Active</v>
      </c>
    </row>
    <row r="1377" spans="20:22" x14ac:dyDescent="0.25">
      <c r="T1377" s="7" t="str">
        <f ca="1"/>
        <v>Z50</v>
      </c>
      <c r="U1377" s="7" t="str">
        <f ca="1"/>
        <v>0xD14F</v>
      </c>
      <c r="V1377" s="7" t="str">
        <f ca="1"/>
        <v>WbFluorescentType</v>
      </c>
    </row>
    <row r="1378" spans="20:22" x14ac:dyDescent="0.25">
      <c r="T1378" s="7" t="str">
        <f ca="1"/>
        <v>Z50</v>
      </c>
      <c r="U1378" s="7" t="str">
        <f ca="1"/>
        <v>0xD150</v>
      </c>
      <c r="V1378" s="7" t="str">
        <f ca="1"/>
        <v>WbTuneColorTemp</v>
      </c>
    </row>
    <row r="1379" spans="20:22" x14ac:dyDescent="0.25">
      <c r="T1379" s="7" t="str">
        <f ca="1"/>
        <v>Z50</v>
      </c>
      <c r="U1379" s="7" t="str">
        <f ca="1"/>
        <v>0xD152</v>
      </c>
      <c r="V1379" s="7" t="str">
        <f ca="1"/>
        <v>WbTunePreset1</v>
      </c>
    </row>
    <row r="1380" spans="20:22" x14ac:dyDescent="0.25">
      <c r="T1380" s="7" t="str">
        <f ca="1"/>
        <v>Z50</v>
      </c>
      <c r="U1380" s="7" t="str">
        <f ca="1"/>
        <v>0xD153</v>
      </c>
      <c r="V1380" s="7" t="str">
        <f ca="1"/>
        <v>WbTunePreset2</v>
      </c>
    </row>
    <row r="1381" spans="20:22" x14ac:dyDescent="0.25">
      <c r="T1381" s="7" t="str">
        <f ca="1"/>
        <v>Z50</v>
      </c>
      <c r="U1381" s="7" t="str">
        <f ca="1"/>
        <v>0xD154</v>
      </c>
      <c r="V1381" s="7" t="str">
        <f ca="1"/>
        <v>WbTunePreset3</v>
      </c>
    </row>
    <row r="1382" spans="20:22" x14ac:dyDescent="0.25">
      <c r="T1382" s="7" t="str">
        <f ca="1"/>
        <v>Z50</v>
      </c>
      <c r="U1382" s="7" t="str">
        <f ca="1"/>
        <v>0xD155</v>
      </c>
      <c r="V1382" s="7" t="str">
        <f ca="1"/>
        <v>WbTunePreset4</v>
      </c>
    </row>
    <row r="1383" spans="20:22" x14ac:dyDescent="0.25">
      <c r="T1383" s="7" t="str">
        <f ca="1"/>
        <v>Z50</v>
      </c>
      <c r="U1383" s="7" t="str">
        <f ca="1"/>
        <v>0xD158</v>
      </c>
      <c r="V1383" s="7" t="str">
        <f ca="1"/>
        <v>WbPresetProtect1</v>
      </c>
    </row>
    <row r="1384" spans="20:22" x14ac:dyDescent="0.25">
      <c r="T1384" s="7" t="str">
        <f ca="1"/>
        <v>Z50</v>
      </c>
      <c r="U1384" s="7" t="str">
        <f ca="1"/>
        <v>0xD159</v>
      </c>
      <c r="V1384" s="7" t="str">
        <f ca="1"/>
        <v>WbPresetProtect2</v>
      </c>
    </row>
    <row r="1385" spans="20:22" x14ac:dyDescent="0.25">
      <c r="T1385" s="7" t="str">
        <f ca="1"/>
        <v>Z50</v>
      </c>
      <c r="U1385" s="7" t="str">
        <f ca="1"/>
        <v>0xD15A</v>
      </c>
      <c r="V1385" s="7" t="str">
        <f ca="1"/>
        <v>WbPresetProtect3</v>
      </c>
    </row>
    <row r="1386" spans="20:22" x14ac:dyDescent="0.25">
      <c r="T1386" s="7" t="str">
        <f ca="1"/>
        <v>Z50</v>
      </c>
      <c r="U1386" s="7" t="str">
        <f ca="1"/>
        <v>0xD15B</v>
      </c>
      <c r="V1386" s="7" t="str">
        <f ca="1"/>
        <v>ActiveFolder</v>
      </c>
    </row>
    <row r="1387" spans="20:22" x14ac:dyDescent="0.25">
      <c r="T1387" s="7" t="str">
        <f ca="1"/>
        <v>Z50</v>
      </c>
      <c r="U1387" s="7" t="str">
        <f ca="1"/>
        <v>0xD15C</v>
      </c>
      <c r="V1387" s="7" t="str">
        <f ca="1"/>
        <v>WbPresetProtect4</v>
      </c>
    </row>
    <row r="1388" spans="20:22" x14ac:dyDescent="0.25">
      <c r="T1388" s="7" t="str">
        <f ca="1"/>
        <v>Z50</v>
      </c>
      <c r="U1388" s="7" t="str">
        <f ca="1"/>
        <v>0xD15D</v>
      </c>
      <c r="V1388" s="7" t="str">
        <f ca="1"/>
        <v>WhiteBalanceReset</v>
      </c>
    </row>
    <row r="1389" spans="20:22" x14ac:dyDescent="0.25">
      <c r="T1389" s="7" t="str">
        <f ca="1"/>
        <v>Z50</v>
      </c>
      <c r="U1389" s="7" t="str">
        <f ca="1"/>
        <v>0xD15E</v>
      </c>
      <c r="V1389" s="7" t="str">
        <f ca="1"/>
        <v>WbTuneNatural</v>
      </c>
    </row>
    <row r="1390" spans="20:22" x14ac:dyDescent="0.25">
      <c r="T1390" s="7" t="str">
        <f ca="1"/>
        <v>Z50</v>
      </c>
      <c r="U1390" s="7" t="str">
        <f ca="1"/>
        <v>0xD164</v>
      </c>
      <c r="V1390" s="7" t="str">
        <f ca="1"/>
        <v>ISOAutoShutterTime</v>
      </c>
    </row>
    <row r="1391" spans="20:22" x14ac:dyDescent="0.25">
      <c r="T1391" s="7" t="str">
        <f ca="1"/>
        <v>Z50</v>
      </c>
      <c r="U1391" s="7" t="str">
        <f ca="1"/>
        <v>0xD167</v>
      </c>
      <c r="V1391" s="7" t="str">
        <f ca="1"/>
        <v>InternalFlashMode</v>
      </c>
    </row>
    <row r="1392" spans="20:22" x14ac:dyDescent="0.25">
      <c r="T1392" s="7" t="str">
        <f ca="1"/>
        <v>Z50</v>
      </c>
      <c r="U1392" s="7" t="str">
        <f ca="1"/>
        <v>0xD16A</v>
      </c>
      <c r="V1392" s="7" t="str">
        <f ca="1"/>
        <v>ISOAutoSetting</v>
      </c>
    </row>
    <row r="1393" spans="20:22" x14ac:dyDescent="0.25">
      <c r="T1393" s="7" t="str">
        <f ca="1"/>
        <v>Z50</v>
      </c>
      <c r="U1393" s="7" t="str">
        <f ca="1"/>
        <v>0xD17A</v>
      </c>
      <c r="V1393" s="7" t="str">
        <f ca="1"/>
        <v>LowLightAF</v>
      </c>
    </row>
    <row r="1394" spans="20:22" x14ac:dyDescent="0.25">
      <c r="T1394" s="7" t="str">
        <f ca="1"/>
        <v>Z50</v>
      </c>
      <c r="U1394" s="7" t="str">
        <f ca="1"/>
        <v>0xD17B</v>
      </c>
      <c r="V1394" s="7" t="str">
        <f ca="1"/>
        <v>ApplyLiveViewSetting</v>
      </c>
    </row>
    <row r="1395" spans="20:22" x14ac:dyDescent="0.25">
      <c r="T1395" s="7" t="str">
        <f ca="1"/>
        <v>Z50</v>
      </c>
      <c r="U1395" s="7" t="str">
        <f ca="1"/>
        <v>0xD17C</v>
      </c>
      <c r="V1395" s="7" t="str">
        <f ca="1"/>
        <v>MovieAfSpeed</v>
      </c>
    </row>
    <row r="1396" spans="20:22" x14ac:dyDescent="0.25">
      <c r="T1396" s="7" t="str">
        <f ca="1"/>
        <v>Z50</v>
      </c>
      <c r="U1396" s="7" t="str">
        <f ca="1"/>
        <v>0xD17D</v>
      </c>
      <c r="V1396" s="7" t="str">
        <f ca="1"/>
        <v>MovieAfSpeedWhenToApply</v>
      </c>
    </row>
    <row r="1397" spans="20:22" x14ac:dyDescent="0.25">
      <c r="T1397" s="7" t="str">
        <f ca="1"/>
        <v>Z50</v>
      </c>
      <c r="U1397" s="7" t="str">
        <f ca="1"/>
        <v>0xD17E</v>
      </c>
      <c r="V1397" s="7" t="str">
        <f ca="1"/>
        <v>MovieAfTrackingSensitivity</v>
      </c>
    </row>
    <row r="1398" spans="20:22" x14ac:dyDescent="0.25">
      <c r="T1398" s="7" t="str">
        <f ca="1"/>
        <v>Z50</v>
      </c>
      <c r="U1398" s="7" t="str">
        <f ca="1"/>
        <v>0xD183</v>
      </c>
      <c r="V1398" s="7" t="str">
        <f ca="1"/>
        <v>ISOAutoHighLimit</v>
      </c>
    </row>
    <row r="1399" spans="20:22" x14ac:dyDescent="0.25">
      <c r="T1399" s="7" t="str">
        <f ca="1"/>
        <v>Z50</v>
      </c>
      <c r="U1399" s="7" t="str">
        <f ca="1"/>
        <v>0xD199</v>
      </c>
      <c r="V1399" s="7" t="str">
        <f ca="1"/>
        <v>FlashISOAutoHighLimit</v>
      </c>
    </row>
    <row r="1400" spans="20:22" x14ac:dyDescent="0.25">
      <c r="T1400" s="7" t="str">
        <f ca="1"/>
        <v>Z50</v>
      </c>
      <c r="U1400" s="7" t="str">
        <f ca="1"/>
        <v>0xD1A2</v>
      </c>
      <c r="V1400" s="7" t="str">
        <f ca="1"/>
        <v>RemoteLiveViewStatus</v>
      </c>
    </row>
    <row r="1401" spans="20:22" x14ac:dyDescent="0.25">
      <c r="T1401" s="7" t="str">
        <f ca="1"/>
        <v>Z50</v>
      </c>
      <c r="U1401" s="7" t="str">
        <f ca="1"/>
        <v>0xD1A4</v>
      </c>
      <c r="V1401" s="7" t="str">
        <f ca="1"/>
        <v>LiveViewProhibitionCondition</v>
      </c>
    </row>
    <row r="1402" spans="20:22" x14ac:dyDescent="0.25">
      <c r="T1402" s="7" t="str">
        <f ca="1"/>
        <v>Z50</v>
      </c>
      <c r="U1402" s="7" t="str">
        <f ca="1"/>
        <v>0xD1A6</v>
      </c>
      <c r="V1402" s="7" t="str">
        <f ca="1"/>
        <v>LiveViewSelector</v>
      </c>
    </row>
    <row r="1403" spans="20:22" x14ac:dyDescent="0.25">
      <c r="T1403" s="7" t="str">
        <f ca="1"/>
        <v>Z50</v>
      </c>
      <c r="U1403" s="7" t="str">
        <f ca="1"/>
        <v>0xD1A8</v>
      </c>
      <c r="V1403" s="7" t="str">
        <f ca="1"/>
        <v>MovieShutterSpeed</v>
      </c>
    </row>
    <row r="1404" spans="20:22" x14ac:dyDescent="0.25">
      <c r="T1404" s="7" t="str">
        <f ca="1"/>
        <v>Z50</v>
      </c>
      <c r="U1404" s="7" t="str">
        <f ca="1"/>
        <v>0xD1A9</v>
      </c>
      <c r="V1404" s="7" t="str">
        <f ca="1"/>
        <v>MovieFnumber</v>
      </c>
    </row>
    <row r="1405" spans="20:22" x14ac:dyDescent="0.25">
      <c r="T1405" s="7" t="str">
        <f ca="1"/>
        <v>Z50</v>
      </c>
      <c r="U1405" s="7" t="str">
        <f ca="1"/>
        <v>0xD1AA</v>
      </c>
      <c r="V1405" s="7" t="str">
        <f ca="1"/>
        <v>MovieExposureIndex</v>
      </c>
    </row>
    <row r="1406" spans="20:22" x14ac:dyDescent="0.25">
      <c r="T1406" s="7" t="str">
        <f ca="1"/>
        <v>Z50</v>
      </c>
      <c r="U1406" s="7" t="str">
        <f ca="1"/>
        <v>0xD1AB</v>
      </c>
      <c r="V1406" s="7" t="str">
        <f ca="1"/>
        <v>MovieExposureBiasCompensation</v>
      </c>
    </row>
    <row r="1407" spans="20:22" x14ac:dyDescent="0.25">
      <c r="T1407" s="7" t="str">
        <f ca="1"/>
        <v>Z50</v>
      </c>
      <c r="U1407" s="7" t="str">
        <f ca="1"/>
        <v>0xD1AC</v>
      </c>
      <c r="V1407" s="7" t="str">
        <f ca="1"/>
        <v>LiveViewImageSize</v>
      </c>
    </row>
    <row r="1408" spans="20:22" x14ac:dyDescent="0.25">
      <c r="T1408" s="7" t="str">
        <f ca="1"/>
        <v>Z50</v>
      </c>
      <c r="U1408" s="7" t="str">
        <f ca="1"/>
        <v>0xD1AD</v>
      </c>
      <c r="V1408" s="7" t="str">
        <f ca="1"/>
        <v>LiveViewPhotography</v>
      </c>
    </row>
    <row r="1409" spans="20:22" x14ac:dyDescent="0.25">
      <c r="T1409" s="7" t="str">
        <f ca="1"/>
        <v>Z50</v>
      </c>
      <c r="U1409" s="7" t="str">
        <f ca="1"/>
        <v>0xD1AF</v>
      </c>
      <c r="V1409" s="7" t="str">
        <f ca="1"/>
        <v>MovieExposureMeteringMode</v>
      </c>
    </row>
    <row r="1410" spans="20:22" x14ac:dyDescent="0.25">
      <c r="T1410" s="7" t="str">
        <f ca="1"/>
        <v>Z50</v>
      </c>
      <c r="U1410" s="7" t="str">
        <f ca="1"/>
        <v>0xD1B0</v>
      </c>
      <c r="V1410" s="7" t="str">
        <f ca="1"/>
        <v>ExposureDisplayStatus</v>
      </c>
    </row>
    <row r="1411" spans="20:22" x14ac:dyDescent="0.25">
      <c r="T1411" s="7" t="str">
        <f ca="1"/>
        <v>Z50</v>
      </c>
      <c r="U1411" s="7" t="str">
        <f ca="1"/>
        <v>0xD1B1</v>
      </c>
      <c r="V1411" s="7" t="str">
        <f ca="1"/>
        <v>ExposureIndicateStatus</v>
      </c>
    </row>
    <row r="1412" spans="20:22" x14ac:dyDescent="0.25">
      <c r="T1412" s="7" t="str">
        <f ca="1"/>
        <v>Z50</v>
      </c>
      <c r="U1412" s="7" t="str">
        <f ca="1"/>
        <v>0xD1B2</v>
      </c>
      <c r="V1412" s="7" t="str">
        <f ca="1"/>
        <v>InfoDisplayErrorStatus</v>
      </c>
    </row>
    <row r="1413" spans="20:22" x14ac:dyDescent="0.25">
      <c r="T1413" s="7" t="str">
        <f ca="1"/>
        <v>Z50</v>
      </c>
      <c r="U1413" s="7" t="str">
        <f ca="1"/>
        <v>0xD1B3</v>
      </c>
      <c r="V1413" s="7" t="str">
        <f ca="1"/>
        <v>ExposureIndicateLightup</v>
      </c>
    </row>
    <row r="1414" spans="20:22" x14ac:dyDescent="0.25">
      <c r="T1414" s="7" t="str">
        <f ca="1"/>
        <v>Z50</v>
      </c>
      <c r="U1414" s="7" t="str">
        <f ca="1"/>
        <v>0xD1B4</v>
      </c>
      <c r="V1414" s="7" t="str">
        <f ca="1"/>
        <v>ContinuousShootingCount</v>
      </c>
    </row>
    <row r="1415" spans="20:22" x14ac:dyDescent="0.25">
      <c r="T1415" s="7" t="str">
        <f ca="1"/>
        <v>Z50</v>
      </c>
      <c r="U1415" s="7" t="str">
        <f ca="1"/>
        <v>0xD1B7</v>
      </c>
      <c r="V1415" s="7" t="str">
        <f ca="1"/>
        <v>MovieRecFrameCount</v>
      </c>
    </row>
    <row r="1416" spans="20:22" x14ac:dyDescent="0.25">
      <c r="T1416" s="7" t="str">
        <f ca="1"/>
        <v>Z50</v>
      </c>
      <c r="U1416" s="7" t="str">
        <f ca="1"/>
        <v>0xD1B8</v>
      </c>
      <c r="V1416" s="7" t="str">
        <f ca="1"/>
        <v>CameraLiveViewStatus</v>
      </c>
    </row>
    <row r="1417" spans="20:22" x14ac:dyDescent="0.25">
      <c r="T1417" s="7" t="str">
        <f ca="1"/>
        <v>Z50</v>
      </c>
      <c r="U1417" s="7" t="str">
        <f ca="1"/>
        <v>0xD1B9</v>
      </c>
      <c r="V1417" s="7" t="str">
        <f ca="1"/>
        <v>DetectionPeaking</v>
      </c>
    </row>
    <row r="1418" spans="20:22" x14ac:dyDescent="0.25">
      <c r="T1418" s="7" t="str">
        <f ca="1"/>
        <v>Z50</v>
      </c>
      <c r="U1418" s="7" t="str">
        <f ca="1"/>
        <v>0xD1BB</v>
      </c>
      <c r="V1418" s="7" t="str">
        <f ca="1"/>
        <v>LiveViewImageStatus</v>
      </c>
    </row>
    <row r="1419" spans="20:22" x14ac:dyDescent="0.25">
      <c r="T1419" s="7" t="str">
        <f ca="1"/>
        <v>Z50</v>
      </c>
      <c r="U1419" s="7" t="str">
        <f ca="1"/>
        <v>0xD1BC</v>
      </c>
      <c r="V1419" s="7" t="str">
        <f ca="1"/>
        <v>LiveViewImageCompression</v>
      </c>
    </row>
    <row r="1420" spans="20:22" x14ac:dyDescent="0.25">
      <c r="T1420" s="7" t="str">
        <f ca="1"/>
        <v>Z50</v>
      </c>
      <c r="U1420" s="7" t="str">
        <f ca="1"/>
        <v>0xD1BD</v>
      </c>
      <c r="V1420" s="7" t="str">
        <f ca="1"/>
        <v>LiveViewZoomArea</v>
      </c>
    </row>
    <row r="1421" spans="20:22" x14ac:dyDescent="0.25">
      <c r="T1421" s="7" t="str">
        <f ca="1"/>
        <v>Z50</v>
      </c>
      <c r="U1421" s="7" t="str">
        <f ca="1"/>
        <v>0xD1C0</v>
      </c>
      <c r="V1421" s="7" t="str">
        <f ca="1"/>
        <v>InternalFlashPopup</v>
      </c>
    </row>
    <row r="1422" spans="20:22" x14ac:dyDescent="0.25">
      <c r="T1422" s="7" t="str">
        <f ca="1"/>
        <v>Z50</v>
      </c>
      <c r="U1422" s="7" t="str">
        <f ca="1"/>
        <v>0xD1C1</v>
      </c>
      <c r="V1422" s="7" t="str">
        <f ca="1"/>
        <v>InternalFlashStatus</v>
      </c>
    </row>
    <row r="1423" spans="20:22" x14ac:dyDescent="0.25">
      <c r="T1423" s="7" t="str">
        <f ca="1"/>
        <v>Z50</v>
      </c>
      <c r="U1423" s="7" t="str">
        <f ca="1"/>
        <v>0xD1DF</v>
      </c>
      <c r="V1423" s="7" t="str">
        <f ca="1"/>
        <v>HighlightBrightness</v>
      </c>
    </row>
    <row r="1424" spans="20:22" x14ac:dyDescent="0.25">
      <c r="T1424" s="7" t="str">
        <f ca="1"/>
        <v>Z50</v>
      </c>
      <c r="U1424" s="7" t="str">
        <f ca="1"/>
        <v>0xD1ED</v>
      </c>
      <c r="V1424" s="7" t="str">
        <f ca="1"/>
        <v>SBIntegrationFlashReady</v>
      </c>
    </row>
    <row r="1425" spans="20:22" x14ac:dyDescent="0.25">
      <c r="T1425" s="7" t="str">
        <f ca="1"/>
        <v>Z50</v>
      </c>
      <c r="U1425" s="7" t="str">
        <f ca="1"/>
        <v>0xD1F0</v>
      </c>
      <c r="V1425" s="7" t="str">
        <f ca="1"/>
        <v>ApplicationMode</v>
      </c>
    </row>
    <row r="1426" spans="20:22" x14ac:dyDescent="0.25">
      <c r="T1426" s="7" t="str">
        <f ca="1"/>
        <v>Z50</v>
      </c>
      <c r="U1426" s="7" t="str">
        <f ca="1"/>
        <v>0xD1F1</v>
      </c>
      <c r="V1426" s="7" t="str">
        <f ca="1"/>
        <v>ExposureRemaining</v>
      </c>
    </row>
    <row r="1427" spans="20:22" x14ac:dyDescent="0.25">
      <c r="T1427" s="7" t="str">
        <f ca="1"/>
        <v>Z50</v>
      </c>
      <c r="U1427" s="7" t="str">
        <f ca="1"/>
        <v>0xD1F4</v>
      </c>
      <c r="V1427" s="7" t="str">
        <f ca="1"/>
        <v>ISOAutoShutterTimeCorrectionValue</v>
      </c>
    </row>
    <row r="1428" spans="20:22" x14ac:dyDescent="0.25">
      <c r="T1428" s="7" t="str">
        <f ca="1"/>
        <v>Z50</v>
      </c>
      <c r="U1428" s="7" t="str">
        <f ca="1"/>
        <v>0xD1F8</v>
      </c>
      <c r="V1428" s="7" t="str">
        <f ca="1"/>
        <v>MovieAfAreaMode</v>
      </c>
    </row>
    <row r="1429" spans="20:22" x14ac:dyDescent="0.25">
      <c r="T1429" s="7" t="str">
        <f ca="1"/>
        <v>Z50</v>
      </c>
      <c r="U1429" s="7" t="str">
        <f ca="1"/>
        <v>0xD1F9</v>
      </c>
      <c r="V1429" s="7" t="str">
        <f ca="1"/>
        <v>MovieVibrationReduction</v>
      </c>
    </row>
    <row r="1430" spans="20:22" x14ac:dyDescent="0.25">
      <c r="T1430" s="7" t="str">
        <f ca="1"/>
        <v>Z50</v>
      </c>
      <c r="U1430" s="7" t="str">
        <f ca="1"/>
        <v>0xD1FA</v>
      </c>
      <c r="V1430" s="7" t="str">
        <f ca="1"/>
        <v>MovieFocusMode</v>
      </c>
    </row>
    <row r="1431" spans="20:22" x14ac:dyDescent="0.25">
      <c r="T1431" s="7" t="str">
        <f ca="1"/>
        <v>Z50</v>
      </c>
      <c r="U1431" s="7" t="str">
        <f ca="1"/>
        <v>0xD1FF</v>
      </c>
      <c r="V1431" s="7" t="str">
        <f ca="1"/>
        <v>StillCaptureModeSaveFrame</v>
      </c>
    </row>
    <row r="1432" spans="20:22" x14ac:dyDescent="0.25">
      <c r="T1432" s="7" t="str">
        <f ca="1"/>
        <v>Z50</v>
      </c>
      <c r="U1432" s="7" t="str">
        <f ca="1"/>
        <v>0xD200</v>
      </c>
      <c r="V1432" s="7" t="str">
        <f ca="1"/>
        <v>ActivePicCtrlItem</v>
      </c>
    </row>
    <row r="1433" spans="20:22" x14ac:dyDescent="0.25">
      <c r="T1433" s="7" t="str">
        <f ca="1"/>
        <v>Z50</v>
      </c>
      <c r="U1433" s="7" t="str">
        <f ca="1"/>
        <v>0xD20D</v>
      </c>
      <c r="V1433" s="7" t="str">
        <f ca="1"/>
        <v>ElectronicFrontCurtainShutter</v>
      </c>
    </row>
    <row r="1434" spans="20:22" x14ac:dyDescent="0.25">
      <c r="T1434" s="7" t="str">
        <f ca="1"/>
        <v>Z50</v>
      </c>
      <c r="U1434" s="7" t="str">
        <f ca="1"/>
        <v>0xD20E</v>
      </c>
      <c r="V1434" s="7" t="str">
        <f ca="1"/>
        <v>MovieResetShootingMenu</v>
      </c>
    </row>
    <row r="1435" spans="20:22" x14ac:dyDescent="0.25">
      <c r="T1435" s="7" t="str">
        <f ca="1"/>
        <v>Z50</v>
      </c>
      <c r="U1435" s="7" t="str">
        <f ca="1"/>
        <v>0xD211</v>
      </c>
      <c r="V1435" s="7" t="str">
        <f ca="1"/>
        <v>MovieWbAutoType</v>
      </c>
    </row>
    <row r="1436" spans="20:22" x14ac:dyDescent="0.25">
      <c r="T1436" s="7" t="str">
        <f ca="1"/>
        <v>Z50</v>
      </c>
      <c r="U1436" s="7" t="str">
        <f ca="1"/>
        <v>0xD212</v>
      </c>
      <c r="V1436" s="7" t="str">
        <f ca="1"/>
        <v>MovieWbTuneAuto</v>
      </c>
    </row>
    <row r="1437" spans="20:22" x14ac:dyDescent="0.25">
      <c r="T1437" s="7" t="str">
        <f ca="1"/>
        <v>Z50</v>
      </c>
      <c r="U1437" s="7" t="str">
        <f ca="1"/>
        <v>0xD213</v>
      </c>
      <c r="V1437" s="7" t="str">
        <f ca="1"/>
        <v>MovieWbTuneIncandescent</v>
      </c>
    </row>
    <row r="1438" spans="20:22" x14ac:dyDescent="0.25">
      <c r="T1438" s="7" t="str">
        <f ca="1"/>
        <v>Z50</v>
      </c>
      <c r="U1438" s="7" t="str">
        <f ca="1"/>
        <v>0xD214</v>
      </c>
      <c r="V1438" s="7" t="str">
        <f ca="1"/>
        <v>MovieWbFluorescentType</v>
      </c>
    </row>
    <row r="1439" spans="20:22" x14ac:dyDescent="0.25">
      <c r="T1439" s="7" t="str">
        <f ca="1"/>
        <v>Z50</v>
      </c>
      <c r="U1439" s="7" t="str">
        <f ca="1"/>
        <v>0xD215</v>
      </c>
      <c r="V1439" s="7" t="str">
        <f ca="1"/>
        <v>MovieWbTuneFluorescent</v>
      </c>
    </row>
    <row r="1440" spans="20:22" x14ac:dyDescent="0.25">
      <c r="T1440" s="7" t="str">
        <f ca="1"/>
        <v>Z50</v>
      </c>
      <c r="U1440" s="7" t="str">
        <f ca="1"/>
        <v>0xD216</v>
      </c>
      <c r="V1440" s="7" t="str">
        <f ca="1"/>
        <v>MovieWbTuneSunny</v>
      </c>
    </row>
    <row r="1441" spans="20:22" x14ac:dyDescent="0.25">
      <c r="T1441" s="7" t="str">
        <f ca="1"/>
        <v>Z50</v>
      </c>
      <c r="U1441" s="7" t="str">
        <f ca="1"/>
        <v>0xD218</v>
      </c>
      <c r="V1441" s="7" t="str">
        <f ca="1"/>
        <v>MovieWbTuneCloudy</v>
      </c>
    </row>
    <row r="1442" spans="20:22" x14ac:dyDescent="0.25">
      <c r="T1442" s="7" t="str">
        <f ca="1"/>
        <v>Z50</v>
      </c>
      <c r="U1442" s="7" t="str">
        <f ca="1"/>
        <v>0xD219</v>
      </c>
      <c r="V1442" s="7" t="str">
        <f ca="1"/>
        <v>MovieWbTuneShade</v>
      </c>
    </row>
    <row r="1443" spans="20:22" x14ac:dyDescent="0.25">
      <c r="T1443" s="7" t="str">
        <f ca="1"/>
        <v>Z50</v>
      </c>
      <c r="U1443" s="7" t="str">
        <f ca="1"/>
        <v>0xD21A</v>
      </c>
      <c r="V1443" s="7" t="str">
        <f ca="1"/>
        <v>MovieWbColorTemp</v>
      </c>
    </row>
    <row r="1444" spans="20:22" x14ac:dyDescent="0.25">
      <c r="T1444" s="7" t="str">
        <f ca="1"/>
        <v>Z50</v>
      </c>
      <c r="U1444" s="7" t="str">
        <f ca="1"/>
        <v>0xD21B</v>
      </c>
      <c r="V1444" s="7" t="str">
        <f ca="1"/>
        <v>MovieWbTuneColorTemp</v>
      </c>
    </row>
    <row r="1445" spans="20:22" x14ac:dyDescent="0.25">
      <c r="T1445" s="7" t="str">
        <f ca="1"/>
        <v>Z50</v>
      </c>
      <c r="U1445" s="7" t="str">
        <f ca="1"/>
        <v>0xD21C</v>
      </c>
      <c r="V1445" s="7" t="str">
        <f ca="1"/>
        <v>MovieWbPresetDataNo</v>
      </c>
    </row>
    <row r="1446" spans="20:22" x14ac:dyDescent="0.25">
      <c r="T1446" s="7" t="str">
        <f ca="1"/>
        <v>Z50</v>
      </c>
      <c r="U1446" s="7" t="str">
        <f ca="1"/>
        <v>0xD21D</v>
      </c>
      <c r="V1446" s="7" t="str">
        <f ca="1"/>
        <v>MovieWbPresetDataComment1</v>
      </c>
    </row>
    <row r="1447" spans="20:22" x14ac:dyDescent="0.25">
      <c r="T1447" s="7" t="str">
        <f ca="1"/>
        <v>Z50</v>
      </c>
      <c r="U1447" s="7" t="str">
        <f ca="1"/>
        <v>0xD21E</v>
      </c>
      <c r="V1447" s="7" t="str">
        <f ca="1"/>
        <v>MovieWbPresetDataComment2</v>
      </c>
    </row>
    <row r="1448" spans="20:22" x14ac:dyDescent="0.25">
      <c r="T1448" s="7" t="str">
        <f ca="1"/>
        <v>Z50</v>
      </c>
      <c r="U1448" s="7" t="str">
        <f ca="1"/>
        <v>0xD21F</v>
      </c>
      <c r="V1448" s="7" t="str">
        <f ca="1"/>
        <v>MovieWbPresetDataComment3</v>
      </c>
    </row>
    <row r="1449" spans="20:22" x14ac:dyDescent="0.25">
      <c r="T1449" s="7" t="str">
        <f ca="1"/>
        <v>Z50</v>
      </c>
      <c r="U1449" s="7" t="str">
        <f ca="1"/>
        <v>0xD220</v>
      </c>
      <c r="V1449" s="7" t="str">
        <f ca="1"/>
        <v>MovieWbPresetDataComment4</v>
      </c>
    </row>
    <row r="1450" spans="20:22" x14ac:dyDescent="0.25">
      <c r="T1450" s="7" t="str">
        <f ca="1"/>
        <v>Z50</v>
      </c>
      <c r="U1450" s="7" t="str">
        <f ca="1"/>
        <v>0xD221</v>
      </c>
      <c r="V1450" s="7" t="str">
        <f ca="1"/>
        <v>MovieWbPresetDataComment5</v>
      </c>
    </row>
    <row r="1451" spans="20:22" x14ac:dyDescent="0.25">
      <c r="T1451" s="7" t="str">
        <f ca="1"/>
        <v>Z50</v>
      </c>
      <c r="U1451" s="7" t="str">
        <f ca="1"/>
        <v>0xD222</v>
      </c>
      <c r="V1451" s="7" t="str">
        <f ca="1"/>
        <v>MovieWbPresetDataComment6</v>
      </c>
    </row>
    <row r="1452" spans="20:22" x14ac:dyDescent="0.25">
      <c r="T1452" s="7" t="str">
        <f ca="1"/>
        <v>Z50</v>
      </c>
      <c r="U1452" s="7" t="str">
        <f ca="1"/>
        <v>0xD223</v>
      </c>
      <c r="V1452" s="7" t="str">
        <f ca="1"/>
        <v>MovieWbPresetDataValue1</v>
      </c>
    </row>
    <row r="1453" spans="20:22" x14ac:dyDescent="0.25">
      <c r="T1453" s="7" t="str">
        <f ca="1"/>
        <v>Z50</v>
      </c>
      <c r="U1453" s="7" t="str">
        <f ca="1"/>
        <v>0xD224</v>
      </c>
      <c r="V1453" s="7" t="str">
        <f ca="1"/>
        <v>MovieWbPresetDataValue2</v>
      </c>
    </row>
    <row r="1454" spans="20:22" x14ac:dyDescent="0.25">
      <c r="T1454" s="7" t="str">
        <f ca="1"/>
        <v>Z50</v>
      </c>
      <c r="U1454" s="7" t="str">
        <f ca="1"/>
        <v>0xD225</v>
      </c>
      <c r="V1454" s="7" t="str">
        <f ca="1"/>
        <v>MovieWbPresetDataValue3</v>
      </c>
    </row>
    <row r="1455" spans="20:22" x14ac:dyDescent="0.25">
      <c r="T1455" s="7" t="str">
        <f ca="1"/>
        <v>Z50</v>
      </c>
      <c r="U1455" s="7" t="str">
        <f ca="1"/>
        <v>0xD226</v>
      </c>
      <c r="V1455" s="7" t="str">
        <f ca="1"/>
        <v>MovieWbPresetDataValue4</v>
      </c>
    </row>
    <row r="1456" spans="20:22" x14ac:dyDescent="0.25">
      <c r="T1456" s="7" t="str">
        <f ca="1"/>
        <v>Z50</v>
      </c>
      <c r="U1456" s="7" t="str">
        <f ca="1"/>
        <v>0xD227</v>
      </c>
      <c r="V1456" s="7" t="str">
        <f ca="1"/>
        <v>MovieWbPresetDataValue5</v>
      </c>
    </row>
    <row r="1457" spans="20:22" x14ac:dyDescent="0.25">
      <c r="T1457" s="7" t="str">
        <f ca="1"/>
        <v>Z50</v>
      </c>
      <c r="U1457" s="7" t="str">
        <f ca="1"/>
        <v>0xD228</v>
      </c>
      <c r="V1457" s="7" t="str">
        <f ca="1"/>
        <v>MovieWbPresetDataValue6</v>
      </c>
    </row>
    <row r="1458" spans="20:22" x14ac:dyDescent="0.25">
      <c r="T1458" s="7" t="str">
        <f ca="1"/>
        <v>Z50</v>
      </c>
      <c r="U1458" s="7" t="str">
        <f ca="1"/>
        <v>0xD229</v>
      </c>
      <c r="V1458" s="7" t="str">
        <f ca="1"/>
        <v>MovieWbTunePreset1</v>
      </c>
    </row>
    <row r="1459" spans="20:22" x14ac:dyDescent="0.25">
      <c r="T1459" s="7" t="str">
        <f ca="1"/>
        <v>Z50</v>
      </c>
      <c r="U1459" s="7" t="str">
        <f ca="1"/>
        <v>0xD22A</v>
      </c>
      <c r="V1459" s="7" t="str">
        <f ca="1"/>
        <v>MovieWbTunePreset2</v>
      </c>
    </row>
    <row r="1460" spans="20:22" x14ac:dyDescent="0.25">
      <c r="T1460" s="7" t="str">
        <f ca="1"/>
        <v>Z50</v>
      </c>
      <c r="U1460" s="7" t="str">
        <f ca="1"/>
        <v>0xD22B</v>
      </c>
      <c r="V1460" s="7" t="str">
        <f ca="1"/>
        <v>MovieWbTunePreset3</v>
      </c>
    </row>
    <row r="1461" spans="20:22" x14ac:dyDescent="0.25">
      <c r="T1461" s="7" t="str">
        <f ca="1"/>
        <v>Z50</v>
      </c>
      <c r="U1461" s="7" t="str">
        <f ca="1"/>
        <v>0xD22C</v>
      </c>
      <c r="V1461" s="7" t="str">
        <f ca="1"/>
        <v>MovieWbTunePreset4</v>
      </c>
    </row>
    <row r="1462" spans="20:22" x14ac:dyDescent="0.25">
      <c r="T1462" s="7" t="str">
        <f ca="1"/>
        <v>Z50</v>
      </c>
      <c r="U1462" s="7" t="str">
        <f ca="1"/>
        <v>0xD22D</v>
      </c>
      <c r="V1462" s="7" t="str">
        <f ca="1"/>
        <v>MovieWbTunePreset5</v>
      </c>
    </row>
    <row r="1463" spans="20:22" x14ac:dyDescent="0.25">
      <c r="T1463" s="7" t="str">
        <f ca="1"/>
        <v>Z50</v>
      </c>
      <c r="U1463" s="7" t="str">
        <f ca="1"/>
        <v>0xD22E</v>
      </c>
      <c r="V1463" s="7" t="str">
        <f ca="1"/>
        <v>MovieWbTunePreset6</v>
      </c>
    </row>
    <row r="1464" spans="20:22" x14ac:dyDescent="0.25">
      <c r="T1464" s="7" t="str">
        <f ca="1"/>
        <v>Z50</v>
      </c>
      <c r="U1464" s="7" t="str">
        <f ca="1"/>
        <v>0xD22F</v>
      </c>
      <c r="V1464" s="7" t="str">
        <f ca="1"/>
        <v>MovieWbPresetProtect1</v>
      </c>
    </row>
    <row r="1465" spans="20:22" x14ac:dyDescent="0.25">
      <c r="T1465" s="7" t="str">
        <f ca="1"/>
        <v>Z50</v>
      </c>
      <c r="U1465" s="7" t="str">
        <f ca="1"/>
        <v>0xD230</v>
      </c>
      <c r="V1465" s="7" t="str">
        <f ca="1"/>
        <v>MovieWbPresetProtect2</v>
      </c>
    </row>
    <row r="1466" spans="20:22" x14ac:dyDescent="0.25">
      <c r="T1466" s="7" t="str">
        <f ca="1"/>
        <v>Z50</v>
      </c>
      <c r="U1466" s="7" t="str">
        <f ca="1"/>
        <v>0xD231</v>
      </c>
      <c r="V1466" s="7" t="str">
        <f ca="1"/>
        <v>MovieWbPresetProtect3</v>
      </c>
    </row>
    <row r="1467" spans="20:22" x14ac:dyDescent="0.25">
      <c r="T1467" s="7" t="str">
        <f ca="1"/>
        <v>Z50</v>
      </c>
      <c r="U1467" s="7" t="str">
        <f ca="1"/>
        <v>0xD232</v>
      </c>
      <c r="V1467" s="7" t="str">
        <f ca="1"/>
        <v>MovieWbPresetProtect4</v>
      </c>
    </row>
    <row r="1468" spans="20:22" x14ac:dyDescent="0.25">
      <c r="T1468" s="7" t="str">
        <f ca="1"/>
        <v>Z50</v>
      </c>
      <c r="U1468" s="7" t="str">
        <f ca="1"/>
        <v>0xD233</v>
      </c>
      <c r="V1468" s="7" t="str">
        <f ca="1"/>
        <v>MovieWbPresetProtect5</v>
      </c>
    </row>
    <row r="1469" spans="20:22" x14ac:dyDescent="0.25">
      <c r="T1469" s="7" t="str">
        <f ca="1"/>
        <v>Z50</v>
      </c>
      <c r="U1469" s="7" t="str">
        <f ca="1"/>
        <v>0xD234</v>
      </c>
      <c r="V1469" s="7" t="str">
        <f ca="1"/>
        <v>MovieWbPresetProtect6</v>
      </c>
    </row>
    <row r="1470" spans="20:22" x14ac:dyDescent="0.25">
      <c r="T1470" s="7" t="str">
        <f ca="1"/>
        <v>Z50</v>
      </c>
      <c r="U1470" s="7" t="str">
        <f ca="1"/>
        <v>0xD235</v>
      </c>
      <c r="V1470" s="7" t="str">
        <f ca="1"/>
        <v>MovieWhiteBalanceReset</v>
      </c>
    </row>
    <row r="1471" spans="20:22" x14ac:dyDescent="0.25">
      <c r="T1471" s="7" t="str">
        <f ca="1"/>
        <v>Z50</v>
      </c>
      <c r="U1471" s="7" t="str">
        <f ca="1"/>
        <v>0xD236</v>
      </c>
      <c r="V1471" s="7" t="str">
        <f ca="1"/>
        <v>MovieNoiseReductionHiIso</v>
      </c>
    </row>
    <row r="1472" spans="20:22" x14ac:dyDescent="0.25">
      <c r="T1472" s="7" t="str">
        <f ca="1"/>
        <v>Z50</v>
      </c>
      <c r="U1472" s="7" t="str">
        <f ca="1"/>
        <v>0xD237</v>
      </c>
      <c r="V1472" s="7" t="str">
        <f ca="1"/>
        <v>MovieActivePicCtrlItem</v>
      </c>
    </row>
    <row r="1473" spans="20:22" x14ac:dyDescent="0.25">
      <c r="T1473" s="7" t="str">
        <f ca="1"/>
        <v>Z50</v>
      </c>
      <c r="U1473" s="7" t="str">
        <f ca="1"/>
        <v>0xD239</v>
      </c>
      <c r="V1473" s="7" t="str">
        <f ca="1"/>
        <v>ExposureBaseCompHighlight</v>
      </c>
    </row>
    <row r="1474" spans="20:22" x14ac:dyDescent="0.25">
      <c r="T1474" s="7" t="str">
        <f ca="1"/>
        <v>Z50</v>
      </c>
      <c r="U1474" s="7" t="str">
        <f ca="1"/>
        <v>0xD23A</v>
      </c>
      <c r="V1474" s="7" t="str">
        <f ca="1"/>
        <v>MovieWhiteBalance</v>
      </c>
    </row>
    <row r="1475" spans="20:22" x14ac:dyDescent="0.25">
      <c r="T1475" s="7" t="str">
        <f ca="1"/>
        <v>Z50</v>
      </c>
      <c r="U1475" s="7" t="str">
        <f ca="1"/>
        <v>0xD23B</v>
      </c>
      <c r="V1475" s="7" t="str">
        <f ca="1"/>
        <v>MovieActive</v>
      </c>
    </row>
    <row r="1476" spans="20:22" x14ac:dyDescent="0.25">
      <c r="T1476" s="7" t="str">
        <f ca="1"/>
        <v>Z50</v>
      </c>
      <c r="U1476" s="7" t="str">
        <f ca="1"/>
        <v>0xD23C</v>
      </c>
      <c r="V1476" s="7" t="str">
        <f ca="1"/>
        <v>MovieWbTuneNatural</v>
      </c>
    </row>
    <row r="1477" spans="20:22" x14ac:dyDescent="0.25">
      <c r="T1477" s="7" t="str">
        <f ca="1"/>
        <v>Z50</v>
      </c>
      <c r="U1477" s="7" t="str">
        <f ca="1"/>
        <v>0xD23D</v>
      </c>
      <c r="V1477" s="7" t="str">
        <f ca="1"/>
        <v>MovieAttenuator</v>
      </c>
    </row>
    <row r="1478" spans="20:22" x14ac:dyDescent="0.25">
      <c r="T1478" s="7" t="str">
        <f ca="1"/>
        <v>Z50</v>
      </c>
      <c r="U1478" s="7" t="str">
        <f ca="1"/>
        <v>0xD23E</v>
      </c>
      <c r="V1478" s="7" t="str">
        <f ca="1"/>
        <v>MovieVignetteControl</v>
      </c>
    </row>
    <row r="1479" spans="20:22" x14ac:dyDescent="0.25">
      <c r="T1479" s="7" t="str">
        <f ca="1"/>
        <v>Z50</v>
      </c>
      <c r="U1479" s="7" t="str">
        <f ca="1"/>
        <v>0xD23F</v>
      </c>
      <c r="V1479" s="7" t="str">
        <f ca="1"/>
        <v>MovieDiffractionCompensation</v>
      </c>
    </row>
    <row r="1480" spans="20:22" x14ac:dyDescent="0.25">
      <c r="T1480" s="7" t="str">
        <f ca="1"/>
        <v>Z50</v>
      </c>
      <c r="U1480" s="7" t="str">
        <f ca="1"/>
        <v>0xD303</v>
      </c>
      <c r="V1480" s="7" t="str">
        <f ca="1"/>
        <v>UseDeviceStageFlag</v>
      </c>
    </row>
    <row r="1481" spans="20:22" x14ac:dyDescent="0.25">
      <c r="T1481" s="7" t="str">
        <f ca="1"/>
        <v>Z50</v>
      </c>
      <c r="U1481" s="7" t="str">
        <f ca="1"/>
        <v>0xD314</v>
      </c>
      <c r="V1481" s="7" t="str">
        <f ca="1"/>
        <v>ElectronicVR</v>
      </c>
    </row>
    <row r="1482" spans="20:22" x14ac:dyDescent="0.25">
      <c r="T1482" s="7" t="str">
        <f ca="1"/>
        <v>Z50</v>
      </c>
      <c r="U1482" s="7" t="str">
        <f ca="1"/>
        <v>0xD406</v>
      </c>
      <c r="V1482" s="7" t="str">
        <f ca="1"/>
        <v>SessionInitiatorVersionInfo</v>
      </c>
    </row>
    <row r="1483" spans="20:22" x14ac:dyDescent="0.25">
      <c r="T1483" s="7" t="str">
        <f ca="1"/>
        <v>Z50</v>
      </c>
      <c r="U1483" s="7" t="str">
        <f ca="1"/>
        <v>0xD407</v>
      </c>
      <c r="V1483" s="7" t="str">
        <f ca="1"/>
        <v>PerceivedDeviceType</v>
      </c>
    </row>
    <row r="1484" spans="20:22" x14ac:dyDescent="0.25">
      <c r="T1484" s="7" t="str">
        <f ca="1"/>
        <v>Z6</v>
      </c>
      <c r="U1484" s="7" t="str">
        <f ca="1"/>
        <v>0x5001</v>
      </c>
      <c r="V1484" s="7" t="str">
        <f ca="1"/>
        <v>BatteryLevel</v>
      </c>
    </row>
    <row r="1485" spans="20:22" x14ac:dyDescent="0.25">
      <c r="T1485" s="7" t="str">
        <f ca="1"/>
        <v>Z6</v>
      </c>
      <c r="U1485" s="7" t="str">
        <f ca="1"/>
        <v>0x5003</v>
      </c>
      <c r="V1485" s="7" t="str">
        <f ca="1"/>
        <v>ImageSize</v>
      </c>
    </row>
    <row r="1486" spans="20:22" x14ac:dyDescent="0.25">
      <c r="T1486" s="7" t="str">
        <f ca="1"/>
        <v>Z6</v>
      </c>
      <c r="U1486" s="7" t="str">
        <f ca="1"/>
        <v>0x5004</v>
      </c>
      <c r="V1486" s="7" t="str">
        <f ca="1"/>
        <v>CompressionSetting</v>
      </c>
    </row>
    <row r="1487" spans="20:22" x14ac:dyDescent="0.25">
      <c r="T1487" s="7" t="str">
        <f ca="1"/>
        <v>Z6</v>
      </c>
      <c r="U1487" s="7" t="str">
        <f ca="1"/>
        <v>0x5005</v>
      </c>
      <c r="V1487" s="7" t="str">
        <f ca="1"/>
        <v>WhiteBalance</v>
      </c>
    </row>
    <row r="1488" spans="20:22" x14ac:dyDescent="0.25">
      <c r="T1488" s="7" t="str">
        <f ca="1"/>
        <v>Z6</v>
      </c>
      <c r="U1488" s="7" t="str">
        <f ca="1"/>
        <v>0x5007</v>
      </c>
      <c r="V1488" s="7" t="str">
        <f ca="1"/>
        <v>Fnumber</v>
      </c>
    </row>
    <row r="1489" spans="20:22" x14ac:dyDescent="0.25">
      <c r="T1489" s="7" t="str">
        <f ca="1"/>
        <v>Z6</v>
      </c>
      <c r="U1489" s="7" t="str">
        <f ca="1"/>
        <v>0x5008</v>
      </c>
      <c r="V1489" s="7" t="str">
        <f ca="1"/>
        <v>FocalLength</v>
      </c>
    </row>
    <row r="1490" spans="20:22" x14ac:dyDescent="0.25">
      <c r="T1490" s="7" t="str">
        <f ca="1"/>
        <v>Z6</v>
      </c>
      <c r="U1490" s="7" t="str">
        <f ca="1"/>
        <v>0x500A</v>
      </c>
      <c r="V1490" s="7" t="str">
        <f ca="1"/>
        <v>FocusMode</v>
      </c>
    </row>
    <row r="1491" spans="20:22" x14ac:dyDescent="0.25">
      <c r="T1491" s="7" t="str">
        <f ca="1"/>
        <v>Z6</v>
      </c>
      <c r="U1491" s="7" t="str">
        <f ca="1"/>
        <v>0x500B</v>
      </c>
      <c r="V1491" s="7" t="str">
        <f ca="1"/>
        <v>ExposureMeteringMode</v>
      </c>
    </row>
    <row r="1492" spans="20:22" x14ac:dyDescent="0.25">
      <c r="T1492" s="7" t="str">
        <f ca="1"/>
        <v>Z6</v>
      </c>
      <c r="U1492" s="7" t="str">
        <f ca="1"/>
        <v>0x500C</v>
      </c>
      <c r="V1492" s="7" t="str">
        <f ca="1"/>
        <v>FlashMode</v>
      </c>
    </row>
    <row r="1493" spans="20:22" x14ac:dyDescent="0.25">
      <c r="T1493" s="7" t="str">
        <f ca="1"/>
        <v>Z6</v>
      </c>
      <c r="U1493" s="7" t="str">
        <f ca="1"/>
        <v>0x500D</v>
      </c>
      <c r="V1493" s="7" t="str">
        <f ca="1"/>
        <v>ExposureTime</v>
      </c>
    </row>
    <row r="1494" spans="20:22" x14ac:dyDescent="0.25">
      <c r="T1494" s="7" t="str">
        <f ca="1"/>
        <v>Z6</v>
      </c>
      <c r="U1494" s="7" t="str">
        <f ca="1"/>
        <v>0x500E</v>
      </c>
      <c r="V1494" s="7" t="str">
        <f ca="1"/>
        <v>ExposureProgramMode</v>
      </c>
    </row>
    <row r="1495" spans="20:22" x14ac:dyDescent="0.25">
      <c r="T1495" s="7" t="str">
        <f ca="1"/>
        <v>Z6</v>
      </c>
      <c r="U1495" s="7" t="str">
        <f ca="1"/>
        <v>0x500F</v>
      </c>
      <c r="V1495" s="7" t="str">
        <f ca="1"/>
        <v>ExposureIndex</v>
      </c>
    </row>
    <row r="1496" spans="20:22" x14ac:dyDescent="0.25">
      <c r="T1496" s="7" t="str">
        <f ca="1"/>
        <v>Z6</v>
      </c>
      <c r="U1496" s="7" t="str">
        <f ca="1"/>
        <v>0x5010</v>
      </c>
      <c r="V1496" s="7" t="str">
        <f ca="1"/>
        <v>ExposureBiasCompensation</v>
      </c>
    </row>
    <row r="1497" spans="20:22" x14ac:dyDescent="0.25">
      <c r="T1497" s="7" t="str">
        <f ca="1"/>
        <v>Z6</v>
      </c>
      <c r="U1497" s="7" t="str">
        <f ca="1"/>
        <v>0x5011</v>
      </c>
      <c r="V1497" s="7" t="str">
        <f ca="1"/>
        <v>DateTime</v>
      </c>
    </row>
    <row r="1498" spans="20:22" x14ac:dyDescent="0.25">
      <c r="T1498" s="7" t="str">
        <f ca="1"/>
        <v>Z6</v>
      </c>
      <c r="U1498" s="7" t="str">
        <f ca="1"/>
        <v>0x5013</v>
      </c>
      <c r="V1498" s="7" t="str">
        <f ca="1"/>
        <v>StillCaptureMode</v>
      </c>
    </row>
    <row r="1499" spans="20:22" x14ac:dyDescent="0.25">
      <c r="T1499" s="7" t="str">
        <f ca="1"/>
        <v>Z6</v>
      </c>
      <c r="U1499" s="7" t="str">
        <f ca="1"/>
        <v>0x5018</v>
      </c>
      <c r="V1499" s="7" t="str">
        <f ca="1"/>
        <v>BurstNumber</v>
      </c>
    </row>
    <row r="1500" spans="20:22" x14ac:dyDescent="0.25">
      <c r="T1500" s="7" t="str">
        <f ca="1"/>
        <v>Z6</v>
      </c>
      <c r="U1500" s="7" t="str">
        <f ca="1"/>
        <v>0x501C</v>
      </c>
      <c r="V1500" s="7" t="str">
        <f ca="1"/>
        <v>FocusMeteringMode</v>
      </c>
    </row>
    <row r="1501" spans="20:22" x14ac:dyDescent="0.25">
      <c r="T1501" s="7" t="str">
        <f ca="1"/>
        <v>Z6</v>
      </c>
      <c r="U1501" s="7" t="str">
        <f ca="1"/>
        <v>0x501E</v>
      </c>
      <c r="V1501" s="7" t="str">
        <f ca="1"/>
        <v>Artist</v>
      </c>
    </row>
    <row r="1502" spans="20:22" x14ac:dyDescent="0.25">
      <c r="T1502" s="7" t="str">
        <f ca="1"/>
        <v>Z6</v>
      </c>
      <c r="U1502" s="7" t="str">
        <f ca="1"/>
        <v>0x501F</v>
      </c>
      <c r="V1502" s="7" t="str">
        <f ca="1"/>
        <v>Copyright</v>
      </c>
    </row>
    <row r="1503" spans="20:22" x14ac:dyDescent="0.25">
      <c r="T1503" s="7" t="str">
        <f ca="1"/>
        <v>Z6</v>
      </c>
      <c r="U1503" s="7" t="str">
        <f ca="1"/>
        <v>0xD015</v>
      </c>
      <c r="V1503" s="7" t="str">
        <f ca="1"/>
        <v>ResetShootingMenu</v>
      </c>
    </row>
    <row r="1504" spans="20:22" x14ac:dyDescent="0.25">
      <c r="T1504" s="7" t="str">
        <f ca="1"/>
        <v>Z6</v>
      </c>
      <c r="U1504" s="7" t="str">
        <f ca="1"/>
        <v>0xD016</v>
      </c>
      <c r="V1504" s="7" t="str">
        <f ca="1"/>
        <v>RawCompressionType</v>
      </c>
    </row>
    <row r="1505" spans="20:22" x14ac:dyDescent="0.25">
      <c r="T1505" s="7" t="str">
        <f ca="1"/>
        <v>Z6</v>
      </c>
      <c r="U1505" s="7" t="str">
        <f ca="1"/>
        <v>0xD017</v>
      </c>
      <c r="V1505" s="7" t="str">
        <f ca="1"/>
        <v>WbTuneAuto</v>
      </c>
    </row>
    <row r="1506" spans="20:22" x14ac:dyDescent="0.25">
      <c r="T1506" s="7" t="str">
        <f ca="1"/>
        <v>Z6</v>
      </c>
      <c r="U1506" s="7" t="str">
        <f ca="1"/>
        <v>0xD018</v>
      </c>
      <c r="V1506" s="7" t="str">
        <f ca="1"/>
        <v>WbTuneIncandescent</v>
      </c>
    </row>
    <row r="1507" spans="20:22" x14ac:dyDescent="0.25">
      <c r="T1507" s="7" t="str">
        <f ca="1"/>
        <v>Z6</v>
      </c>
      <c r="U1507" s="7" t="str">
        <f ca="1"/>
        <v>0xD019</v>
      </c>
      <c r="V1507" s="7" t="str">
        <f ca="1"/>
        <v>WbTuneFluorescent</v>
      </c>
    </row>
    <row r="1508" spans="20:22" x14ac:dyDescent="0.25">
      <c r="T1508" s="7" t="str">
        <f ca="1"/>
        <v>Z6</v>
      </c>
      <c r="U1508" s="7" t="str">
        <f ca="1"/>
        <v>0xD01A</v>
      </c>
      <c r="V1508" s="7" t="str">
        <f ca="1"/>
        <v>WbTuneSunny</v>
      </c>
    </row>
    <row r="1509" spans="20:22" x14ac:dyDescent="0.25">
      <c r="T1509" s="7" t="str">
        <f ca="1"/>
        <v>Z6</v>
      </c>
      <c r="U1509" s="7" t="str">
        <f ca="1"/>
        <v>0xD01B</v>
      </c>
      <c r="V1509" s="7" t="str">
        <f ca="1"/>
        <v>WbTuneFlash</v>
      </c>
    </row>
    <row r="1510" spans="20:22" x14ac:dyDescent="0.25">
      <c r="T1510" s="7" t="str">
        <f ca="1"/>
        <v>Z6</v>
      </c>
      <c r="U1510" s="7" t="str">
        <f ca="1"/>
        <v>0xD01C</v>
      </c>
      <c r="V1510" s="7" t="str">
        <f ca="1"/>
        <v>WbTuneCloudy</v>
      </c>
    </row>
    <row r="1511" spans="20:22" x14ac:dyDescent="0.25">
      <c r="T1511" s="7" t="str">
        <f ca="1"/>
        <v>Z6</v>
      </c>
      <c r="U1511" s="7" t="str">
        <f ca="1"/>
        <v>0xD01D</v>
      </c>
      <c r="V1511" s="7" t="str">
        <f ca="1"/>
        <v>WbTuneShade</v>
      </c>
    </row>
    <row r="1512" spans="20:22" x14ac:dyDescent="0.25">
      <c r="T1512" s="7" t="str">
        <f ca="1"/>
        <v>Z6</v>
      </c>
      <c r="U1512" s="7" t="str">
        <f ca="1"/>
        <v>0xD01E</v>
      </c>
      <c r="V1512" s="7" t="str">
        <f ca="1"/>
        <v>WbColorTemp</v>
      </c>
    </row>
    <row r="1513" spans="20:22" x14ac:dyDescent="0.25">
      <c r="T1513" s="7" t="str">
        <f ca="1"/>
        <v>Z6</v>
      </c>
      <c r="U1513" s="7" t="str">
        <f ca="1"/>
        <v>0xD01F</v>
      </c>
      <c r="V1513" s="7" t="str">
        <f ca="1"/>
        <v>WbPresetDataNo</v>
      </c>
    </row>
    <row r="1514" spans="20:22" x14ac:dyDescent="0.25">
      <c r="T1514" s="7" t="str">
        <f ca="1"/>
        <v>Z6</v>
      </c>
      <c r="U1514" s="7" t="str">
        <f ca="1"/>
        <v>0xD021</v>
      </c>
      <c r="V1514" s="7" t="str">
        <f ca="1"/>
        <v>WbPresetDataComment1</v>
      </c>
    </row>
    <row r="1515" spans="20:22" x14ac:dyDescent="0.25">
      <c r="T1515" s="7" t="str">
        <f ca="1"/>
        <v>Z6</v>
      </c>
      <c r="U1515" s="7" t="str">
        <f ca="1"/>
        <v>0xD022</v>
      </c>
      <c r="V1515" s="7" t="str">
        <f ca="1"/>
        <v>WbPresetDataComment2</v>
      </c>
    </row>
    <row r="1516" spans="20:22" x14ac:dyDescent="0.25">
      <c r="T1516" s="7" t="str">
        <f ca="1"/>
        <v>Z6</v>
      </c>
      <c r="U1516" s="7" t="str">
        <f ca="1"/>
        <v>0xD023</v>
      </c>
      <c r="V1516" s="7" t="str">
        <f ca="1"/>
        <v>WbPresetDataComment3</v>
      </c>
    </row>
    <row r="1517" spans="20:22" x14ac:dyDescent="0.25">
      <c r="T1517" s="7" t="str">
        <f ca="1"/>
        <v>Z6</v>
      </c>
      <c r="U1517" s="7" t="str">
        <f ca="1"/>
        <v>0xD024</v>
      </c>
      <c r="V1517" s="7" t="str">
        <f ca="1"/>
        <v>WbPresetDataComment4</v>
      </c>
    </row>
    <row r="1518" spans="20:22" x14ac:dyDescent="0.25">
      <c r="T1518" s="7" t="str">
        <f ca="1"/>
        <v>Z6</v>
      </c>
      <c r="U1518" s="7" t="str">
        <f ca="1"/>
        <v>0xD026</v>
      </c>
      <c r="V1518" s="7" t="str">
        <f ca="1"/>
        <v>WbPresetDataValue1</v>
      </c>
    </row>
    <row r="1519" spans="20:22" x14ac:dyDescent="0.25">
      <c r="T1519" s="7" t="str">
        <f ca="1"/>
        <v>Z6</v>
      </c>
      <c r="U1519" s="7" t="str">
        <f ca="1"/>
        <v>0xD027</v>
      </c>
      <c r="V1519" s="7" t="str">
        <f ca="1"/>
        <v>WbPresetDataValue2</v>
      </c>
    </row>
    <row r="1520" spans="20:22" x14ac:dyDescent="0.25">
      <c r="T1520" s="7" t="str">
        <f ca="1"/>
        <v>Z6</v>
      </c>
      <c r="U1520" s="7" t="str">
        <f ca="1"/>
        <v>0xD028</v>
      </c>
      <c r="V1520" s="7" t="str">
        <f ca="1"/>
        <v>WbPresetDataValue3</v>
      </c>
    </row>
    <row r="1521" spans="20:22" x14ac:dyDescent="0.25">
      <c r="T1521" s="7" t="str">
        <f ca="1"/>
        <v>Z6</v>
      </c>
      <c r="U1521" s="7" t="str">
        <f ca="1"/>
        <v>0xD029</v>
      </c>
      <c r="V1521" s="7" t="str">
        <f ca="1"/>
        <v>WbPresetDataValue4</v>
      </c>
    </row>
    <row r="1522" spans="20:22" x14ac:dyDescent="0.25">
      <c r="T1522" s="7" t="str">
        <f ca="1"/>
        <v>Z6</v>
      </c>
      <c r="U1522" s="7" t="str">
        <f ca="1"/>
        <v>0xD02E</v>
      </c>
      <c r="V1522" s="7" t="str">
        <f ca="1"/>
        <v>FmmManualSetting</v>
      </c>
    </row>
    <row r="1523" spans="20:22" x14ac:dyDescent="0.25">
      <c r="T1523" s="7" t="str">
        <f ca="1"/>
        <v>Z6</v>
      </c>
      <c r="U1523" s="7" t="str">
        <f ca="1"/>
        <v>0xD02F</v>
      </c>
      <c r="V1523" s="7" t="str">
        <f ca="1"/>
        <v>F0ManualSetting</v>
      </c>
    </row>
    <row r="1524" spans="20:22" x14ac:dyDescent="0.25">
      <c r="T1524" s="7" t="str">
        <f ca="1"/>
        <v>Z6</v>
      </c>
      <c r="U1524" s="7" t="str">
        <f ca="1"/>
        <v>0xD030</v>
      </c>
      <c r="V1524" s="7" t="str">
        <f ca="1"/>
        <v>CaptureAreaCrop</v>
      </c>
    </row>
    <row r="1525" spans="20:22" x14ac:dyDescent="0.25">
      <c r="T1525" s="7" t="str">
        <f ca="1"/>
        <v>Z6</v>
      </c>
      <c r="U1525" s="7" t="str">
        <f ca="1"/>
        <v>0xD032</v>
      </c>
      <c r="V1525" s="7" t="str">
        <f ca="1"/>
        <v>ColorSpace</v>
      </c>
    </row>
    <row r="1526" spans="20:22" x14ac:dyDescent="0.25">
      <c r="T1526" s="7" t="str">
        <f ca="1"/>
        <v>Z6</v>
      </c>
      <c r="U1526" s="7" t="str">
        <f ca="1"/>
        <v>0xD034</v>
      </c>
      <c r="V1526" s="7" t="str">
        <f ca="1"/>
        <v>DecreaseFlicker</v>
      </c>
    </row>
    <row r="1527" spans="20:22" x14ac:dyDescent="0.25">
      <c r="T1527" s="7" t="str">
        <f ca="1"/>
        <v>Z6</v>
      </c>
      <c r="U1527" s="7" t="str">
        <f ca="1"/>
        <v>0xD038</v>
      </c>
      <c r="V1527" s="7" t="str">
        <f ca="1"/>
        <v>WbPresetDataComment5</v>
      </c>
    </row>
    <row r="1528" spans="20:22" x14ac:dyDescent="0.25">
      <c r="T1528" s="7" t="str">
        <f ca="1"/>
        <v>Z6</v>
      </c>
      <c r="U1528" s="7" t="str">
        <f ca="1"/>
        <v>0xD039</v>
      </c>
      <c r="V1528" s="7" t="str">
        <f ca="1"/>
        <v>WbPresetDataComment6</v>
      </c>
    </row>
    <row r="1529" spans="20:22" x14ac:dyDescent="0.25">
      <c r="T1529" s="7" t="str">
        <f ca="1"/>
        <v>Z6</v>
      </c>
      <c r="U1529" s="7" t="str">
        <f ca="1"/>
        <v>0xD03A</v>
      </c>
      <c r="V1529" s="7" t="str">
        <f ca="1"/>
        <v>WbTunePreset5</v>
      </c>
    </row>
    <row r="1530" spans="20:22" x14ac:dyDescent="0.25">
      <c r="T1530" s="7" t="str">
        <f ca="1"/>
        <v>Z6</v>
      </c>
      <c r="U1530" s="7" t="str">
        <f ca="1"/>
        <v>0xD03B</v>
      </c>
      <c r="V1530" s="7" t="str">
        <f ca="1"/>
        <v>WbTunePreset6</v>
      </c>
    </row>
    <row r="1531" spans="20:22" x14ac:dyDescent="0.25">
      <c r="T1531" s="7" t="str">
        <f ca="1"/>
        <v>Z6</v>
      </c>
      <c r="U1531" s="7" t="str">
        <f ca="1"/>
        <v>0xD03C</v>
      </c>
      <c r="V1531" s="7" t="str">
        <f ca="1"/>
        <v>WbPresetProtect5</v>
      </c>
    </row>
    <row r="1532" spans="20:22" x14ac:dyDescent="0.25">
      <c r="T1532" s="7" t="str">
        <f ca="1"/>
        <v>Z6</v>
      </c>
      <c r="U1532" s="7" t="str">
        <f ca="1"/>
        <v>0xD03D</v>
      </c>
      <c r="V1532" s="7" t="str">
        <f ca="1"/>
        <v>WbPresetProtect6</v>
      </c>
    </row>
    <row r="1533" spans="20:22" x14ac:dyDescent="0.25">
      <c r="T1533" s="7" t="str">
        <f ca="1"/>
        <v>Z6</v>
      </c>
      <c r="U1533" s="7" t="str">
        <f ca="1"/>
        <v>0xD03E</v>
      </c>
      <c r="V1533" s="7" t="str">
        <f ca="1"/>
        <v>WbPresetDataValue5</v>
      </c>
    </row>
    <row r="1534" spans="20:22" x14ac:dyDescent="0.25">
      <c r="T1534" s="7" t="str">
        <f ca="1"/>
        <v>Z6</v>
      </c>
      <c r="U1534" s="7" t="str">
        <f ca="1"/>
        <v>0xD03F</v>
      </c>
      <c r="V1534" s="7" t="str">
        <f ca="1"/>
        <v>WbPresetDataValue6</v>
      </c>
    </row>
    <row r="1535" spans="20:22" x14ac:dyDescent="0.25">
      <c r="T1535" s="7" t="str">
        <f ca="1"/>
        <v>Z6</v>
      </c>
      <c r="U1535" s="7" t="str">
        <f ca="1"/>
        <v>0xD045</v>
      </c>
      <c r="V1535" s="7" t="str">
        <f ca="1"/>
        <v>ResetCustomSetting</v>
      </c>
    </row>
    <row r="1536" spans="20:22" x14ac:dyDescent="0.25">
      <c r="T1536" s="7" t="str">
        <f ca="1"/>
        <v>Z6</v>
      </c>
      <c r="U1536" s="7" t="str">
        <f ca="1"/>
        <v>0xD046</v>
      </c>
      <c r="V1536" s="7" t="str">
        <f ca="1"/>
        <v>AFStillLockOnAcross</v>
      </c>
    </row>
    <row r="1537" spans="20:22" x14ac:dyDescent="0.25">
      <c r="T1537" s="7" t="str">
        <f ca="1"/>
        <v>Z6</v>
      </c>
      <c r="U1537" s="7" t="str">
        <f ca="1"/>
        <v>0xD048</v>
      </c>
      <c r="V1537" s="7" t="str">
        <f ca="1"/>
        <v>DynamicAFonAFC</v>
      </c>
    </row>
    <row r="1538" spans="20:22" x14ac:dyDescent="0.25">
      <c r="T1538" s="7" t="str">
        <f ca="1"/>
        <v>Z6</v>
      </c>
      <c r="U1538" s="7" t="str">
        <f ca="1"/>
        <v>0xD049</v>
      </c>
      <c r="V1538" s="7" t="str">
        <f ca="1"/>
        <v>DynamicAFonAFS</v>
      </c>
    </row>
    <row r="1539" spans="20:22" x14ac:dyDescent="0.25">
      <c r="T1539" s="7" t="str">
        <f ca="1"/>
        <v>Z6</v>
      </c>
      <c r="U1539" s="7" t="str">
        <f ca="1"/>
        <v>0xD04F</v>
      </c>
      <c r="V1539" s="7" t="str">
        <f ca="1"/>
        <v>FocusAreaSelect</v>
      </c>
    </row>
    <row r="1540" spans="20:22" x14ac:dyDescent="0.25">
      <c r="T1540" s="7" t="str">
        <f ca="1"/>
        <v>Z6</v>
      </c>
      <c r="U1540" s="7" t="str">
        <f ca="1"/>
        <v>0xD053</v>
      </c>
      <c r="V1540" s="7" t="str">
        <f ca="1"/>
        <v>EnableCopyright</v>
      </c>
    </row>
    <row r="1541" spans="20:22" x14ac:dyDescent="0.25">
      <c r="T1541" s="7" t="str">
        <f ca="1"/>
        <v>Z6</v>
      </c>
      <c r="U1541" s="7" t="str">
        <f ca="1"/>
        <v>0xD054</v>
      </c>
      <c r="V1541" s="7" t="str">
        <f ca="1"/>
        <v>ISOAutoControl</v>
      </c>
    </row>
    <row r="1542" spans="20:22" x14ac:dyDescent="0.25">
      <c r="T1542" s="7" t="str">
        <f ca="1"/>
        <v>Z6</v>
      </c>
      <c r="U1542" s="7" t="str">
        <f ca="1"/>
        <v>0xD056</v>
      </c>
      <c r="V1542" s="7" t="str">
        <f ca="1"/>
        <v>ExposureEVStep</v>
      </c>
    </row>
    <row r="1543" spans="20:22" x14ac:dyDescent="0.25">
      <c r="T1543" s="7" t="str">
        <f ca="1"/>
        <v>Z6</v>
      </c>
      <c r="U1543" s="7" t="str">
        <f ca="1"/>
        <v>0xD059</v>
      </c>
      <c r="V1543" s="7" t="str">
        <f ca="1"/>
        <v>CenterWeightedExRange</v>
      </c>
    </row>
    <row r="1544" spans="20:22" x14ac:dyDescent="0.25">
      <c r="T1544" s="7" t="str">
        <f ca="1"/>
        <v>Z6</v>
      </c>
      <c r="U1544" s="7" t="str">
        <f ca="1"/>
        <v>0xD05A</v>
      </c>
      <c r="V1544" s="7" t="str">
        <f ca="1"/>
        <v>ExposureBaseCompMatrix</v>
      </c>
    </row>
    <row r="1545" spans="20:22" x14ac:dyDescent="0.25">
      <c r="T1545" s="7" t="str">
        <f ca="1"/>
        <v>Z6</v>
      </c>
      <c r="U1545" s="7" t="str">
        <f ca="1"/>
        <v>0xD05B</v>
      </c>
      <c r="V1545" s="7" t="str">
        <f ca="1"/>
        <v>ExposureBaseCompCenter</v>
      </c>
    </row>
    <row r="1546" spans="20:22" x14ac:dyDescent="0.25">
      <c r="T1546" s="7" t="str">
        <f ca="1"/>
        <v>Z6</v>
      </c>
      <c r="U1546" s="7" t="str">
        <f ca="1"/>
        <v>0xD05C</v>
      </c>
      <c r="V1546" s="7" t="str">
        <f ca="1"/>
        <v>ExposureBaseCompSpot</v>
      </c>
    </row>
    <row r="1547" spans="20:22" x14ac:dyDescent="0.25">
      <c r="T1547" s="7" t="str">
        <f ca="1"/>
        <v>Z6</v>
      </c>
      <c r="U1547" s="7" t="str">
        <f ca="1"/>
        <v>0xD061</v>
      </c>
      <c r="V1547" s="7" t="str">
        <f ca="1"/>
        <v>AfModeAtLiveView</v>
      </c>
    </row>
    <row r="1548" spans="20:22" x14ac:dyDescent="0.25">
      <c r="T1548" s="7" t="str">
        <f ca="1"/>
        <v>Z6</v>
      </c>
      <c r="U1548" s="7" t="str">
        <f ca="1"/>
        <v>0xD067</v>
      </c>
      <c r="V1548" s="7" t="str">
        <f ca="1"/>
        <v>AngleLevel</v>
      </c>
    </row>
    <row r="1549" spans="20:22" x14ac:dyDescent="0.25">
      <c r="T1549" s="7" t="str">
        <f ca="1"/>
        <v>Z6</v>
      </c>
      <c r="U1549" s="7" t="str">
        <f ca="1"/>
        <v>0xD068</v>
      </c>
      <c r="V1549" s="7" t="str">
        <f ca="1"/>
        <v>CSpeedLow</v>
      </c>
    </row>
    <row r="1550" spans="20:22" x14ac:dyDescent="0.25">
      <c r="T1550" s="7" t="str">
        <f ca="1"/>
        <v>Z6</v>
      </c>
      <c r="U1550" s="7" t="str">
        <f ca="1"/>
        <v>0xD069</v>
      </c>
      <c r="V1550" s="7" t="str">
        <f ca="1"/>
        <v>BurstMaxNumber</v>
      </c>
    </row>
    <row r="1551" spans="20:22" x14ac:dyDescent="0.25">
      <c r="T1551" s="7" t="str">
        <f ca="1"/>
        <v>Z6</v>
      </c>
      <c r="U1551" s="7" t="str">
        <f ca="1"/>
        <v>0xD06A</v>
      </c>
      <c r="V1551" s="7" t="str">
        <f ca="1"/>
        <v>ExposureDelay</v>
      </c>
    </row>
    <row r="1552" spans="20:22" x14ac:dyDescent="0.25">
      <c r="T1552" s="7" t="str">
        <f ca="1"/>
        <v>Z6</v>
      </c>
      <c r="U1552" s="7" t="str">
        <f ca="1"/>
        <v>0xD06B</v>
      </c>
      <c r="V1552" s="7" t="str">
        <f ca="1"/>
        <v>NoiseReduction</v>
      </c>
    </row>
    <row r="1553" spans="20:22" x14ac:dyDescent="0.25">
      <c r="T1553" s="7" t="str">
        <f ca="1"/>
        <v>Z6</v>
      </c>
      <c r="U1553" s="7" t="str">
        <f ca="1"/>
        <v>0xD06C</v>
      </c>
      <c r="V1553" s="7" t="str">
        <f ca="1"/>
        <v>NumberingMode</v>
      </c>
    </row>
    <row r="1554" spans="20:22" x14ac:dyDescent="0.25">
      <c r="T1554" s="7" t="str">
        <f ca="1"/>
        <v>Z6</v>
      </c>
      <c r="U1554" s="7" t="str">
        <f ca="1"/>
        <v>0xD070</v>
      </c>
      <c r="V1554" s="7" t="str">
        <f ca="1"/>
        <v>NoiseReductionHiIso</v>
      </c>
    </row>
    <row r="1555" spans="20:22" x14ac:dyDescent="0.25">
      <c r="T1555" s="7" t="str">
        <f ca="1"/>
        <v>Z6</v>
      </c>
      <c r="U1555" s="7" t="str">
        <f ca="1"/>
        <v>0xD072</v>
      </c>
      <c r="V1555" s="7" t="str">
        <f ca="1"/>
        <v>ArtistV</v>
      </c>
    </row>
    <row r="1556" spans="20:22" x14ac:dyDescent="0.25">
      <c r="T1556" s="7" t="str">
        <f ca="1"/>
        <v>Z6</v>
      </c>
      <c r="U1556" s="7" t="str">
        <f ca="1"/>
        <v>0xD073</v>
      </c>
      <c r="V1556" s="7" t="str">
        <f ca="1"/>
        <v>CopyrightV</v>
      </c>
    </row>
    <row r="1557" spans="20:22" x14ac:dyDescent="0.25">
      <c r="T1557" s="7" t="str">
        <f ca="1"/>
        <v>Z6</v>
      </c>
      <c r="U1557" s="7" t="str">
        <f ca="1"/>
        <v>0xD074</v>
      </c>
      <c r="V1557" s="7" t="str">
        <f ca="1"/>
        <v>FlashSyncSpeed</v>
      </c>
    </row>
    <row r="1558" spans="20:22" x14ac:dyDescent="0.25">
      <c r="T1558" s="7" t="str">
        <f ca="1"/>
        <v>Z6</v>
      </c>
      <c r="U1558" s="7" t="str">
        <f ca="1"/>
        <v>0xD075</v>
      </c>
      <c r="V1558" s="7" t="str">
        <f ca="1"/>
        <v>FlashSlowSpeedLimit</v>
      </c>
    </row>
    <row r="1559" spans="20:22" x14ac:dyDescent="0.25">
      <c r="T1559" s="7" t="str">
        <f ca="1"/>
        <v>Z6</v>
      </c>
      <c r="U1559" s="7" t="str">
        <f ca="1"/>
        <v>0xD078</v>
      </c>
      <c r="V1559" s="7" t="str">
        <f ca="1"/>
        <v>BracketingType</v>
      </c>
    </row>
    <row r="1560" spans="20:22" x14ac:dyDescent="0.25">
      <c r="T1560" s="7" t="str">
        <f ca="1"/>
        <v>Z6</v>
      </c>
      <c r="U1560" s="7" t="str">
        <f ca="1"/>
        <v>0xD079</v>
      </c>
      <c r="V1560" s="7" t="str">
        <f ca="1"/>
        <v>SelectBracketChangeFactor</v>
      </c>
    </row>
    <row r="1561" spans="20:22" x14ac:dyDescent="0.25">
      <c r="T1561" s="7" t="str">
        <f ca="1"/>
        <v>Z6</v>
      </c>
      <c r="U1561" s="7" t="str">
        <f ca="1"/>
        <v>0xD07A</v>
      </c>
      <c r="V1561" s="7" t="str">
        <f ca="1"/>
        <v>BracketingOrder</v>
      </c>
    </row>
    <row r="1562" spans="20:22" x14ac:dyDescent="0.25">
      <c r="T1562" s="7" t="str">
        <f ca="1"/>
        <v>Z6</v>
      </c>
      <c r="U1562" s="7" t="str">
        <f ca="1"/>
        <v>0xD07D</v>
      </c>
      <c r="V1562" s="7" t="str">
        <f ca="1"/>
        <v>AngleLevelPitching</v>
      </c>
    </row>
    <row r="1563" spans="20:22" x14ac:dyDescent="0.25">
      <c r="T1563" s="7" t="str">
        <f ca="1"/>
        <v>Z6</v>
      </c>
      <c r="U1563" s="7" t="str">
        <f ca="1"/>
        <v>0xD07E</v>
      </c>
      <c r="V1563" s="7" t="str">
        <f ca="1"/>
        <v>AngleLevelYawing</v>
      </c>
    </row>
    <row r="1564" spans="20:22" x14ac:dyDescent="0.25">
      <c r="T1564" s="7" t="str">
        <f ca="1"/>
        <v>Z6</v>
      </c>
      <c r="U1564" s="7" t="str">
        <f ca="1"/>
        <v>0xD08A</v>
      </c>
      <c r="V1564" s="7" t="str">
        <f ca="1"/>
        <v>EnableShutter</v>
      </c>
    </row>
    <row r="1565" spans="20:22" x14ac:dyDescent="0.25">
      <c r="T1565" s="7" t="str">
        <f ca="1"/>
        <v>Z6</v>
      </c>
      <c r="U1565" s="7" t="str">
        <f ca="1"/>
        <v>0xD08D</v>
      </c>
      <c r="V1565" s="7" t="str">
        <f ca="1"/>
        <v>EnableAFAreaPoint</v>
      </c>
    </row>
    <row r="1566" spans="20:22" x14ac:dyDescent="0.25">
      <c r="T1566" s="7" t="str">
        <f ca="1"/>
        <v>Z6</v>
      </c>
      <c r="U1566" s="7" t="str">
        <f ca="1"/>
        <v>0xD08F</v>
      </c>
      <c r="V1566" s="7" t="str">
        <f ca="1"/>
        <v>ImageSensorCleaning</v>
      </c>
    </row>
    <row r="1567" spans="20:22" x14ac:dyDescent="0.25">
      <c r="T1567" s="7" t="str">
        <f ca="1"/>
        <v>Z6</v>
      </c>
      <c r="U1567" s="7" t="str">
        <f ca="1"/>
        <v>0xD090</v>
      </c>
      <c r="V1567" s="7" t="str">
        <f ca="1"/>
        <v>CommentString</v>
      </c>
    </row>
    <row r="1568" spans="20:22" x14ac:dyDescent="0.25">
      <c r="T1568" s="7" t="str">
        <f ca="1"/>
        <v>Z6</v>
      </c>
      <c r="U1568" s="7" t="str">
        <f ca="1"/>
        <v>0xD091</v>
      </c>
      <c r="V1568" s="7" t="str">
        <f ca="1"/>
        <v>EnableComment</v>
      </c>
    </row>
    <row r="1569" spans="20:22" x14ac:dyDescent="0.25">
      <c r="T1569" s="7" t="str">
        <f ca="1"/>
        <v>Z6</v>
      </c>
      <c r="U1569" s="7" t="str">
        <f ca="1"/>
        <v>0xD093</v>
      </c>
      <c r="V1569" s="7" t="str">
        <f ca="1"/>
        <v>ManualSettingLensNo</v>
      </c>
    </row>
    <row r="1570" spans="20:22" x14ac:dyDescent="0.25">
      <c r="T1570" s="7" t="str">
        <f ca="1"/>
        <v>Z6</v>
      </c>
      <c r="U1570" s="7" t="str">
        <f ca="1"/>
        <v>0xD09C</v>
      </c>
      <c r="V1570" s="7" t="str">
        <f ca="1"/>
        <v>RetractableLensWarning</v>
      </c>
    </row>
    <row r="1571" spans="20:22" x14ac:dyDescent="0.25">
      <c r="T1571" s="7" t="str">
        <f ca="1"/>
        <v>Z6</v>
      </c>
      <c r="U1571" s="7" t="str">
        <f ca="1"/>
        <v>0xD09D</v>
      </c>
      <c r="V1571" s="7" t="str">
        <f ca="1"/>
        <v>FaceDetection</v>
      </c>
    </row>
    <row r="1572" spans="20:22" x14ac:dyDescent="0.25">
      <c r="T1572" s="7" t="str">
        <f ca="1"/>
        <v>Z6</v>
      </c>
      <c r="U1572" s="7" t="str">
        <f ca="1"/>
        <v>0xD0A0</v>
      </c>
      <c r="V1572" s="7" t="str">
        <f ca="1"/>
        <v>MovieRecordScreenSize</v>
      </c>
    </row>
    <row r="1573" spans="20:22" x14ac:dyDescent="0.25">
      <c r="T1573" s="7" t="str">
        <f ca="1"/>
        <v>Z6</v>
      </c>
      <c r="U1573" s="7" t="str">
        <f ca="1"/>
        <v>0xD0A2</v>
      </c>
      <c r="V1573" s="7" t="str">
        <f ca="1"/>
        <v>MovieRecordMicrophoneLevel</v>
      </c>
    </row>
    <row r="1574" spans="20:22" x14ac:dyDescent="0.25">
      <c r="T1574" s="7" t="str">
        <f ca="1"/>
        <v>Z6</v>
      </c>
      <c r="U1574" s="7" t="str">
        <f ca="1"/>
        <v>0xD0A4</v>
      </c>
      <c r="V1574" s="7" t="str">
        <f ca="1"/>
        <v>MovieRecProhibitionCondition</v>
      </c>
    </row>
    <row r="1575" spans="20:22" x14ac:dyDescent="0.25">
      <c r="T1575" s="7" t="str">
        <f ca="1"/>
        <v>Z6</v>
      </c>
      <c r="U1575" s="7" t="str">
        <f ca="1"/>
        <v>0xD0A7</v>
      </c>
      <c r="V1575" s="7" t="str">
        <f ca="1"/>
        <v>MovieRecordQuality</v>
      </c>
    </row>
    <row r="1576" spans="20:22" x14ac:dyDescent="0.25">
      <c r="T1576" s="7" t="str">
        <f ca="1"/>
        <v>Z6</v>
      </c>
      <c r="U1576" s="7" t="str">
        <f ca="1"/>
        <v>0xD0A8</v>
      </c>
      <c r="V1576" s="7" t="str">
        <f ca="1"/>
        <v>MovieRecordMicrophoneLevelValue</v>
      </c>
    </row>
    <row r="1577" spans="20:22" x14ac:dyDescent="0.25">
      <c r="T1577" s="7" t="str">
        <f ca="1"/>
        <v>Z6</v>
      </c>
      <c r="U1577" s="7" t="str">
        <f ca="1"/>
        <v>0xD0AA</v>
      </c>
      <c r="V1577" s="7" t="str">
        <f ca="1"/>
        <v>MovieWindNoiseReduction</v>
      </c>
    </row>
    <row r="1578" spans="20:22" x14ac:dyDescent="0.25">
      <c r="T1578" s="7" t="str">
        <f ca="1"/>
        <v>Z6</v>
      </c>
      <c r="U1578" s="7" t="str">
        <f ca="1"/>
        <v>0xD0AC</v>
      </c>
      <c r="V1578" s="7" t="str">
        <f ca="1"/>
        <v>MovieRecordingZone</v>
      </c>
    </row>
    <row r="1579" spans="20:22" x14ac:dyDescent="0.25">
      <c r="T1579" s="7" t="str">
        <f ca="1"/>
        <v>Z6</v>
      </c>
      <c r="U1579" s="7" t="str">
        <f ca="1"/>
        <v>0xD0AD</v>
      </c>
      <c r="V1579" s="7" t="str">
        <f ca="1"/>
        <v>MovieISOAutoControl</v>
      </c>
    </row>
    <row r="1580" spans="20:22" x14ac:dyDescent="0.25">
      <c r="T1580" s="7" t="str">
        <f ca="1"/>
        <v>Z6</v>
      </c>
      <c r="U1580" s="7" t="str">
        <f ca="1"/>
        <v>0xD0AE</v>
      </c>
      <c r="V1580" s="7" t="str">
        <f ca="1"/>
        <v>MovieISOAutoHighLimit</v>
      </c>
    </row>
    <row r="1581" spans="20:22" x14ac:dyDescent="0.25">
      <c r="T1581" s="7" t="str">
        <f ca="1"/>
        <v>Z6</v>
      </c>
      <c r="U1581" s="7" t="str">
        <f ca="1"/>
        <v>0xD0AF</v>
      </c>
      <c r="V1581" s="7" t="str">
        <f ca="1"/>
        <v>MovieFileType</v>
      </c>
    </row>
    <row r="1582" spans="20:22" x14ac:dyDescent="0.25">
      <c r="T1582" s="7" t="str">
        <f ca="1"/>
        <v>Z6</v>
      </c>
      <c r="U1582" s="7" t="str">
        <f ca="1"/>
        <v>0xD0B4</v>
      </c>
      <c r="V1582" s="7" t="str">
        <f ca="1"/>
        <v>ExposureIndexEx</v>
      </c>
    </row>
    <row r="1583" spans="20:22" x14ac:dyDescent="0.25">
      <c r="T1583" s="7" t="str">
        <f ca="1"/>
        <v>Z6</v>
      </c>
      <c r="U1583" s="7" t="str">
        <f ca="1"/>
        <v>0xD0B5</v>
      </c>
      <c r="V1583" s="7" t="str">
        <f ca="1"/>
        <v>ISOControlSensitivity</v>
      </c>
    </row>
    <row r="1584" spans="20:22" x14ac:dyDescent="0.25">
      <c r="T1584" s="7" t="str">
        <f ca="1"/>
        <v>Z6</v>
      </c>
      <c r="U1584" s="7" t="str">
        <f ca="1"/>
        <v>0xD0B6</v>
      </c>
      <c r="V1584" s="7" t="str">
        <f ca="1"/>
        <v>RawImageSize</v>
      </c>
    </row>
    <row r="1585" spans="20:22" x14ac:dyDescent="0.25">
      <c r="T1585" s="7" t="str">
        <f ca="1"/>
        <v>Z6</v>
      </c>
      <c r="U1585" s="7" t="str">
        <f ca="1"/>
        <v>0xD0B7</v>
      </c>
      <c r="V1585" s="7" t="str">
        <f ca="1"/>
        <v>FlickerReductionSetting</v>
      </c>
    </row>
    <row r="1586" spans="20:22" x14ac:dyDescent="0.25">
      <c r="T1586" s="7" t="str">
        <f ca="1"/>
        <v>Z6</v>
      </c>
      <c r="U1586" s="7" t="str">
        <f ca="1"/>
        <v>0xD0BA</v>
      </c>
      <c r="V1586" s="7" t="str">
        <f ca="1"/>
        <v>DiffractionCompensation</v>
      </c>
    </row>
    <row r="1587" spans="20:22" x14ac:dyDescent="0.25">
      <c r="T1587" s="7" t="str">
        <f ca="1"/>
        <v>Z6</v>
      </c>
      <c r="U1587" s="7" t="str">
        <f ca="1"/>
        <v>0xD0BB</v>
      </c>
      <c r="V1587" s="7" t="str">
        <f ca="1"/>
        <v>MovieLogOutput</v>
      </c>
    </row>
    <row r="1588" spans="20:22" x14ac:dyDescent="0.25">
      <c r="T1588" s="7" t="str">
        <f ca="1"/>
        <v>Z6</v>
      </c>
      <c r="U1588" s="7" t="str">
        <f ca="1"/>
        <v>0xD0BC</v>
      </c>
      <c r="V1588" s="7" t="str">
        <f ca="1"/>
        <v>MovieAutoDistortion</v>
      </c>
    </row>
    <row r="1589" spans="20:22" x14ac:dyDescent="0.25">
      <c r="T1589" s="7" t="str">
        <f ca="1"/>
        <v>Z6</v>
      </c>
      <c r="U1589" s="7" t="str">
        <f ca="1"/>
        <v>0xD0BF</v>
      </c>
      <c r="V1589" s="7" t="str">
        <f ca="1"/>
        <v>MovieLogSetting</v>
      </c>
    </row>
    <row r="1590" spans="20:22" x14ac:dyDescent="0.25">
      <c r="T1590" s="7" t="str">
        <f ca="1"/>
        <v>Z6</v>
      </c>
      <c r="U1590" s="7" t="str">
        <f ca="1"/>
        <v>0xD0C0</v>
      </c>
      <c r="V1590" s="7" t="str">
        <f ca="1"/>
        <v>EnableBracketing</v>
      </c>
    </row>
    <row r="1591" spans="20:22" x14ac:dyDescent="0.25">
      <c r="T1591" s="7" t="str">
        <f ca="1"/>
        <v>Z6</v>
      </c>
      <c r="U1591" s="7" t="str">
        <f ca="1"/>
        <v>0xD0C1</v>
      </c>
      <c r="V1591" s="7" t="str">
        <f ca="1"/>
        <v>AEBracketingStep</v>
      </c>
    </row>
    <row r="1592" spans="20:22" x14ac:dyDescent="0.25">
      <c r="T1592" s="7" t="str">
        <f ca="1"/>
        <v>Z6</v>
      </c>
      <c r="U1592" s="7" t="str">
        <f ca="1"/>
        <v>0xD0C2</v>
      </c>
      <c r="V1592" s="7" t="str">
        <f ca="1"/>
        <v>AEBracketingPattern</v>
      </c>
    </row>
    <row r="1593" spans="20:22" x14ac:dyDescent="0.25">
      <c r="T1593" s="7" t="str">
        <f ca="1"/>
        <v>Z6</v>
      </c>
      <c r="U1593" s="7" t="str">
        <f ca="1"/>
        <v>0xD0C3</v>
      </c>
      <c r="V1593" s="7" t="str">
        <f ca="1"/>
        <v>AEBracketingCount</v>
      </c>
    </row>
    <row r="1594" spans="20:22" x14ac:dyDescent="0.25">
      <c r="T1594" s="7" t="str">
        <f ca="1"/>
        <v>Z6</v>
      </c>
      <c r="U1594" s="7" t="str">
        <f ca="1"/>
        <v>0xD0C4</v>
      </c>
      <c r="V1594" s="7" t="str">
        <f ca="1"/>
        <v>WBBracketingStep</v>
      </c>
    </row>
    <row r="1595" spans="20:22" x14ac:dyDescent="0.25">
      <c r="T1595" s="7" t="str">
        <f ca="1"/>
        <v>Z6</v>
      </c>
      <c r="U1595" s="7" t="str">
        <f ca="1"/>
        <v>0xD0C5</v>
      </c>
      <c r="V1595" s="7" t="str">
        <f ca="1"/>
        <v>WBBracketingPattern</v>
      </c>
    </row>
    <row r="1596" spans="20:22" x14ac:dyDescent="0.25">
      <c r="T1596" s="7" t="str">
        <f ca="1"/>
        <v>Z6</v>
      </c>
      <c r="U1596" s="7" t="str">
        <f ca="1"/>
        <v>0xD0C6</v>
      </c>
      <c r="V1596" s="7" t="str">
        <f ca="1"/>
        <v>ADLBracketingPattern</v>
      </c>
    </row>
    <row r="1597" spans="20:22" x14ac:dyDescent="0.25">
      <c r="T1597" s="7" t="str">
        <f ca="1"/>
        <v>Z6</v>
      </c>
      <c r="U1597" s="7" t="str">
        <f ca="1"/>
        <v>0xD0C7</v>
      </c>
      <c r="V1597" s="7" t="str">
        <f ca="1"/>
        <v>ADLBracketingStep</v>
      </c>
    </row>
    <row r="1598" spans="20:22" x14ac:dyDescent="0.25">
      <c r="T1598" s="7" t="str">
        <f ca="1"/>
        <v>Z6</v>
      </c>
      <c r="U1598" s="7" t="str">
        <f ca="1"/>
        <v>0xD0CC</v>
      </c>
      <c r="V1598" s="7" t="str">
        <f ca="1"/>
        <v>HDMIOutputDataDepth</v>
      </c>
    </row>
    <row r="1599" spans="20:22" x14ac:dyDescent="0.25">
      <c r="T1599" s="7" t="str">
        <f ca="1"/>
        <v>Z6</v>
      </c>
      <c r="U1599" s="7" t="str">
        <f ca="1"/>
        <v>0xD0CD</v>
      </c>
      <c r="V1599" s="7" t="str">
        <f ca="1"/>
        <v>SaveFocusPosition</v>
      </c>
    </row>
    <row r="1600" spans="20:22" x14ac:dyDescent="0.25">
      <c r="T1600" s="7" t="str">
        <f ca="1"/>
        <v>Z6</v>
      </c>
      <c r="U1600" s="7" t="str">
        <f ca="1"/>
        <v>0xD0E0</v>
      </c>
      <c r="V1600" s="7" t="str">
        <f ca="1"/>
        <v>LensID</v>
      </c>
    </row>
    <row r="1601" spans="20:22" x14ac:dyDescent="0.25">
      <c r="T1601" s="7" t="str">
        <f ca="1"/>
        <v>Z6</v>
      </c>
      <c r="U1601" s="7" t="str">
        <f ca="1"/>
        <v>0xD0E1</v>
      </c>
      <c r="V1601" s="7" t="str">
        <f ca="1"/>
        <v>LensSort</v>
      </c>
    </row>
    <row r="1602" spans="20:22" x14ac:dyDescent="0.25">
      <c r="T1602" s="7" t="str">
        <f ca="1"/>
        <v>Z6</v>
      </c>
      <c r="U1602" s="7" t="str">
        <f ca="1"/>
        <v>0xD0E2</v>
      </c>
      <c r="V1602" s="7" t="str">
        <f ca="1"/>
        <v>LensTypeF</v>
      </c>
    </row>
    <row r="1603" spans="20:22" x14ac:dyDescent="0.25">
      <c r="T1603" s="7" t="str">
        <f ca="1"/>
        <v>Z6</v>
      </c>
      <c r="U1603" s="7" t="str">
        <f ca="1"/>
        <v>0xD0E3</v>
      </c>
      <c r="V1603" s="7" t="str">
        <f ca="1"/>
        <v>LensFocalMin</v>
      </c>
    </row>
    <row r="1604" spans="20:22" x14ac:dyDescent="0.25">
      <c r="T1604" s="7" t="str">
        <f ca="1"/>
        <v>Z6</v>
      </c>
      <c r="U1604" s="7" t="str">
        <f ca="1"/>
        <v>0xD0E4</v>
      </c>
      <c r="V1604" s="7" t="str">
        <f ca="1"/>
        <v>LensFocalMax</v>
      </c>
    </row>
    <row r="1605" spans="20:22" x14ac:dyDescent="0.25">
      <c r="T1605" s="7" t="str">
        <f ca="1"/>
        <v>Z6</v>
      </c>
      <c r="U1605" s="7" t="str">
        <f ca="1"/>
        <v>0xD0E5</v>
      </c>
      <c r="V1605" s="7" t="str">
        <f ca="1"/>
        <v>LensApatureMin</v>
      </c>
    </row>
    <row r="1606" spans="20:22" x14ac:dyDescent="0.25">
      <c r="T1606" s="7" t="str">
        <f ca="1"/>
        <v>Z6</v>
      </c>
      <c r="U1606" s="7" t="str">
        <f ca="1"/>
        <v>0xD0E6</v>
      </c>
      <c r="V1606" s="7" t="str">
        <f ca="1"/>
        <v>LensApatureMax</v>
      </c>
    </row>
    <row r="1607" spans="20:22" x14ac:dyDescent="0.25">
      <c r="T1607" s="7" t="str">
        <f ca="1"/>
        <v>Z6</v>
      </c>
      <c r="U1607" s="7" t="str">
        <f ca="1"/>
        <v>0xD0E7</v>
      </c>
      <c r="V1607" s="7" t="str">
        <f ca="1"/>
        <v>LensTypeML</v>
      </c>
    </row>
    <row r="1608" spans="20:22" x14ac:dyDescent="0.25">
      <c r="T1608" s="7" t="str">
        <f ca="1"/>
        <v>Z6</v>
      </c>
      <c r="U1608" s="7" t="str">
        <f ca="1"/>
        <v>0xD0F7</v>
      </c>
      <c r="V1608" s="7" t="str">
        <f ca="1"/>
        <v>VignetteControl</v>
      </c>
    </row>
    <row r="1609" spans="20:22" x14ac:dyDescent="0.25">
      <c r="T1609" s="7" t="str">
        <f ca="1"/>
        <v>Z6</v>
      </c>
      <c r="U1609" s="7" t="str">
        <f ca="1"/>
        <v>0xD0F8</v>
      </c>
      <c r="V1609" s="7" t="str">
        <f ca="1"/>
        <v>AutoDistortion</v>
      </c>
    </row>
    <row r="1610" spans="20:22" x14ac:dyDescent="0.25">
      <c r="T1610" s="7" t="str">
        <f ca="1"/>
        <v>Z6</v>
      </c>
      <c r="U1610" s="7" t="str">
        <f ca="1"/>
        <v>0xD0FC</v>
      </c>
      <c r="V1610" s="7" t="str">
        <f ca="1"/>
        <v>UserMode</v>
      </c>
    </row>
    <row r="1611" spans="20:22" x14ac:dyDescent="0.25">
      <c r="T1611" s="7" t="str">
        <f ca="1"/>
        <v>Z6</v>
      </c>
      <c r="U1611" s="7" t="str">
        <f ca="1"/>
        <v>0xD100</v>
      </c>
      <c r="V1611" s="7" t="str">
        <f ca="1"/>
        <v>ShutterSpeed</v>
      </c>
    </row>
    <row r="1612" spans="20:22" x14ac:dyDescent="0.25">
      <c r="T1612" s="7" t="str">
        <f ca="1"/>
        <v>Z6</v>
      </c>
      <c r="U1612" s="7" t="str">
        <f ca="1"/>
        <v>0xD101</v>
      </c>
      <c r="V1612" s="7" t="str">
        <f ca="1"/>
        <v>ExternalDC</v>
      </c>
    </row>
    <row r="1613" spans="20:22" x14ac:dyDescent="0.25">
      <c r="T1613" s="7" t="str">
        <f ca="1"/>
        <v>Z6</v>
      </c>
      <c r="U1613" s="7" t="str">
        <f ca="1"/>
        <v>0xD102</v>
      </c>
      <c r="V1613" s="7" t="str">
        <f ca="1"/>
        <v>WarningStatus</v>
      </c>
    </row>
    <row r="1614" spans="20:22" x14ac:dyDescent="0.25">
      <c r="T1614" s="7" t="str">
        <f ca="1"/>
        <v>Z6</v>
      </c>
      <c r="U1614" s="7" t="str">
        <f ca="1"/>
        <v>0xD104</v>
      </c>
      <c r="V1614" s="7" t="str">
        <f ca="1"/>
        <v>AFLockStatus</v>
      </c>
    </row>
    <row r="1615" spans="20:22" x14ac:dyDescent="0.25">
      <c r="T1615" s="7" t="str">
        <f ca="1"/>
        <v>Z6</v>
      </c>
      <c r="U1615" s="7" t="str">
        <f ca="1"/>
        <v>0xD105</v>
      </c>
      <c r="V1615" s="7" t="str">
        <f ca="1"/>
        <v>AELockStatus</v>
      </c>
    </row>
    <row r="1616" spans="20:22" x14ac:dyDescent="0.25">
      <c r="T1616" s="7" t="str">
        <f ca="1"/>
        <v>Z6</v>
      </c>
      <c r="U1616" s="7" t="str">
        <f ca="1"/>
        <v>0xD106</v>
      </c>
      <c r="V1616" s="7" t="str">
        <f ca="1"/>
        <v>FVLockStatus</v>
      </c>
    </row>
    <row r="1617" spans="20:22" x14ac:dyDescent="0.25">
      <c r="T1617" s="7" t="str">
        <f ca="1"/>
        <v>Z6</v>
      </c>
      <c r="U1617" s="7" t="str">
        <f ca="1"/>
        <v>0xD109</v>
      </c>
      <c r="V1617" s="7" t="str">
        <f ca="1"/>
        <v>FlexibleProgram</v>
      </c>
    </row>
    <row r="1618" spans="20:22" x14ac:dyDescent="0.25">
      <c r="T1618" s="7" t="str">
        <f ca="1"/>
        <v>Z6</v>
      </c>
      <c r="U1618" s="7" t="str">
        <f ca="1"/>
        <v>0xD10B</v>
      </c>
      <c r="V1618" s="7" t="str">
        <f ca="1"/>
        <v>RecordingMedia</v>
      </c>
    </row>
    <row r="1619" spans="20:22" x14ac:dyDescent="0.25">
      <c r="T1619" s="7" t="str">
        <f ca="1"/>
        <v>Z6</v>
      </c>
      <c r="U1619" s="7" t="str">
        <f ca="1"/>
        <v>0xD10C</v>
      </c>
      <c r="V1619" s="7" t="str">
        <f ca="1"/>
        <v>USBSpeed</v>
      </c>
    </row>
    <row r="1620" spans="20:22" x14ac:dyDescent="0.25">
      <c r="T1620" s="7" t="str">
        <f ca="1"/>
        <v>Z6</v>
      </c>
      <c r="U1620" s="7" t="str">
        <f ca="1"/>
        <v>0xD10E</v>
      </c>
      <c r="V1620" s="7" t="str">
        <f ca="1"/>
        <v>Orientation</v>
      </c>
    </row>
    <row r="1621" spans="20:22" x14ac:dyDescent="0.25">
      <c r="T1621" s="7" t="str">
        <f ca="1"/>
        <v>Z6</v>
      </c>
      <c r="U1621" s="7" t="str">
        <f ca="1"/>
        <v>0xD112</v>
      </c>
      <c r="V1621" s="7" t="str">
        <f ca="1"/>
        <v>TVLockSetting</v>
      </c>
    </row>
    <row r="1622" spans="20:22" x14ac:dyDescent="0.25">
      <c r="T1622" s="7" t="str">
        <f ca="1"/>
        <v>Z6</v>
      </c>
      <c r="U1622" s="7" t="str">
        <f ca="1"/>
        <v>0xD113</v>
      </c>
      <c r="V1622" s="7" t="str">
        <f ca="1"/>
        <v>AVLockSetting</v>
      </c>
    </row>
    <row r="1623" spans="20:22" x14ac:dyDescent="0.25">
      <c r="T1623" s="7" t="str">
        <f ca="1"/>
        <v>Z6</v>
      </c>
      <c r="U1623" s="7" t="str">
        <f ca="1"/>
        <v>0xD118</v>
      </c>
      <c r="V1623" s="7" t="str">
        <f ca="1"/>
        <v>ExposureCompFlashUsed</v>
      </c>
    </row>
    <row r="1624" spans="20:22" x14ac:dyDescent="0.25">
      <c r="T1624" s="7" t="str">
        <f ca="1"/>
        <v>Z6</v>
      </c>
      <c r="U1624" s="7" t="str">
        <f ca="1"/>
        <v>0xD120</v>
      </c>
      <c r="V1624" s="7" t="str">
        <f ca="1"/>
        <v>ExternalSpeedLightExist</v>
      </c>
    </row>
    <row r="1625" spans="20:22" x14ac:dyDescent="0.25">
      <c r="T1625" s="7" t="str">
        <f ca="1"/>
        <v>Z6</v>
      </c>
      <c r="U1625" s="7" t="str">
        <f ca="1"/>
        <v>0xD121</v>
      </c>
      <c r="V1625" s="7" t="str">
        <f ca="1"/>
        <v>ExternalSpeedLightStatus</v>
      </c>
    </row>
    <row r="1626" spans="20:22" x14ac:dyDescent="0.25">
      <c r="T1626" s="7" t="str">
        <f ca="1"/>
        <v>Z6</v>
      </c>
      <c r="U1626" s="7" t="str">
        <f ca="1"/>
        <v>0xD122</v>
      </c>
      <c r="V1626" s="7" t="str">
        <f ca="1"/>
        <v>ExternalSpeedLightSort</v>
      </c>
    </row>
    <row r="1627" spans="20:22" x14ac:dyDescent="0.25">
      <c r="T1627" s="7" t="str">
        <f ca="1"/>
        <v>Z6</v>
      </c>
      <c r="U1627" s="7" t="str">
        <f ca="1"/>
        <v>0xD124</v>
      </c>
      <c r="V1627" s="7" t="str">
        <f ca="1"/>
        <v>FlashCompensation</v>
      </c>
    </row>
    <row r="1628" spans="20:22" x14ac:dyDescent="0.25">
      <c r="T1628" s="7" t="str">
        <f ca="1"/>
        <v>Z6</v>
      </c>
      <c r="U1628" s="7" t="str">
        <f ca="1"/>
        <v>0xD125</v>
      </c>
      <c r="V1628" s="7" t="str">
        <f ca="1"/>
        <v>NewExternalSpeedLightMode</v>
      </c>
    </row>
    <row r="1629" spans="20:22" x14ac:dyDescent="0.25">
      <c r="T1629" s="7" t="str">
        <f ca="1"/>
        <v>Z6</v>
      </c>
      <c r="U1629" s="7" t="str">
        <f ca="1"/>
        <v>0xD126</v>
      </c>
      <c r="V1629" s="7" t="str">
        <f ca="1"/>
        <v>InternalFlashCompensation</v>
      </c>
    </row>
    <row r="1630" spans="20:22" x14ac:dyDescent="0.25">
      <c r="T1630" s="7" t="str">
        <f ca="1"/>
        <v>Z6</v>
      </c>
      <c r="U1630" s="7" t="str">
        <f ca="1"/>
        <v>0xD12D</v>
      </c>
      <c r="V1630" s="7" t="str">
        <f ca="1"/>
        <v>ExternalSpeedLightMultiFlashMode</v>
      </c>
    </row>
    <row r="1631" spans="20:22" x14ac:dyDescent="0.25">
      <c r="T1631" s="7" t="str">
        <f ca="1"/>
        <v>Z6</v>
      </c>
      <c r="U1631" s="7" t="str">
        <f ca="1"/>
        <v>0xD12E</v>
      </c>
      <c r="V1631" s="7" t="str">
        <f ca="1"/>
        <v>ConnectionPath</v>
      </c>
    </row>
    <row r="1632" spans="20:22" x14ac:dyDescent="0.25">
      <c r="T1632" s="7" t="str">
        <f ca="1"/>
        <v>Z6</v>
      </c>
      <c r="U1632" s="7" t="str">
        <f ca="1"/>
        <v>0xD130</v>
      </c>
      <c r="V1632" s="7" t="str">
        <f ca="1"/>
        <v>HDRMode</v>
      </c>
    </row>
    <row r="1633" spans="20:22" x14ac:dyDescent="0.25">
      <c r="T1633" s="7" t="str">
        <f ca="1"/>
        <v>Z6</v>
      </c>
      <c r="U1633" s="7" t="str">
        <f ca="1"/>
        <v>0xD131</v>
      </c>
      <c r="V1633" s="7" t="str">
        <f ca="1"/>
        <v>HDREv</v>
      </c>
    </row>
    <row r="1634" spans="20:22" x14ac:dyDescent="0.25">
      <c r="T1634" s="7" t="str">
        <f ca="1"/>
        <v>Z6</v>
      </c>
      <c r="U1634" s="7" t="str">
        <f ca="1"/>
        <v>0xD132</v>
      </c>
      <c r="V1634" s="7" t="str">
        <f ca="1"/>
        <v>HDRSmoothing</v>
      </c>
    </row>
    <row r="1635" spans="20:22" x14ac:dyDescent="0.25">
      <c r="T1635" s="7" t="str">
        <f ca="1"/>
        <v>Z6</v>
      </c>
      <c r="U1635" s="7" t="str">
        <f ca="1"/>
        <v>0xD133</v>
      </c>
      <c r="V1635" s="7" t="str">
        <f ca="1"/>
        <v>HDRSaveIndividualImages</v>
      </c>
    </row>
    <row r="1636" spans="20:22" x14ac:dyDescent="0.25">
      <c r="T1636" s="7" t="str">
        <f ca="1"/>
        <v>Z6</v>
      </c>
      <c r="U1636" s="7" t="str">
        <f ca="1"/>
        <v>0xD138</v>
      </c>
      <c r="V1636" s="7" t="str">
        <f ca="1"/>
        <v>VibrationReduction</v>
      </c>
    </row>
    <row r="1637" spans="20:22" x14ac:dyDescent="0.25">
      <c r="T1637" s="7" t="str">
        <f ca="1"/>
        <v>Z6</v>
      </c>
      <c r="U1637" s="7" t="str">
        <f ca="1"/>
        <v>0xD141</v>
      </c>
      <c r="V1637" s="7" t="str">
        <f ca="1"/>
        <v>WbAutoType</v>
      </c>
    </row>
    <row r="1638" spans="20:22" x14ac:dyDescent="0.25">
      <c r="T1638" s="7" t="str">
        <f ca="1"/>
        <v>Z6</v>
      </c>
      <c r="U1638" s="7" t="str">
        <f ca="1"/>
        <v>0xD149</v>
      </c>
      <c r="V1638" s="7" t="str">
        <f ca="1"/>
        <v>RawCompressionBitMode</v>
      </c>
    </row>
    <row r="1639" spans="20:22" x14ac:dyDescent="0.25">
      <c r="T1639" s="7" t="str">
        <f ca="1"/>
        <v>Z6</v>
      </c>
      <c r="U1639" s="7" t="str">
        <f ca="1"/>
        <v>0xD14E</v>
      </c>
      <c r="V1639" s="7" t="str">
        <f ca="1"/>
        <v>Active</v>
      </c>
    </row>
    <row r="1640" spans="20:22" x14ac:dyDescent="0.25">
      <c r="T1640" s="7" t="str">
        <f ca="1"/>
        <v>Z6</v>
      </c>
      <c r="U1640" s="7" t="str">
        <f ca="1"/>
        <v>0xD14F</v>
      </c>
      <c r="V1640" s="7" t="str">
        <f ca="1"/>
        <v>WbFluorescentType</v>
      </c>
    </row>
    <row r="1641" spans="20:22" x14ac:dyDescent="0.25">
      <c r="T1641" s="7" t="str">
        <f ca="1"/>
        <v>Z6</v>
      </c>
      <c r="U1641" s="7" t="str">
        <f ca="1"/>
        <v>0xD150</v>
      </c>
      <c r="V1641" s="7" t="str">
        <f ca="1"/>
        <v>WbTuneColorTemp</v>
      </c>
    </row>
    <row r="1642" spans="20:22" x14ac:dyDescent="0.25">
      <c r="T1642" s="7" t="str">
        <f ca="1"/>
        <v>Z6</v>
      </c>
      <c r="U1642" s="7" t="str">
        <f ca="1"/>
        <v>0xD152</v>
      </c>
      <c r="V1642" s="7" t="str">
        <f ca="1"/>
        <v>WbTunePreset1</v>
      </c>
    </row>
    <row r="1643" spans="20:22" x14ac:dyDescent="0.25">
      <c r="T1643" s="7" t="str">
        <f ca="1"/>
        <v>Z6</v>
      </c>
      <c r="U1643" s="7" t="str">
        <f ca="1"/>
        <v>0xD153</v>
      </c>
      <c r="V1643" s="7" t="str">
        <f ca="1"/>
        <v>WbTunePreset2</v>
      </c>
    </row>
    <row r="1644" spans="20:22" x14ac:dyDescent="0.25">
      <c r="T1644" s="7" t="str">
        <f ca="1"/>
        <v>Z6</v>
      </c>
      <c r="U1644" s="7" t="str">
        <f ca="1"/>
        <v>0xD154</v>
      </c>
      <c r="V1644" s="7" t="str">
        <f ca="1"/>
        <v>WbTunePreset3</v>
      </c>
    </row>
    <row r="1645" spans="20:22" x14ac:dyDescent="0.25">
      <c r="T1645" s="7" t="str">
        <f ca="1"/>
        <v>Z6</v>
      </c>
      <c r="U1645" s="7" t="str">
        <f ca="1"/>
        <v>0xD155</v>
      </c>
      <c r="V1645" s="7" t="str">
        <f ca="1"/>
        <v>WbTunePreset4</v>
      </c>
    </row>
    <row r="1646" spans="20:22" x14ac:dyDescent="0.25">
      <c r="T1646" s="7" t="str">
        <f ca="1"/>
        <v>Z6</v>
      </c>
      <c r="U1646" s="7" t="str">
        <f ca="1"/>
        <v>0xD158</v>
      </c>
      <c r="V1646" s="7" t="str">
        <f ca="1"/>
        <v>WbPresetProtect1</v>
      </c>
    </row>
    <row r="1647" spans="20:22" x14ac:dyDescent="0.25">
      <c r="T1647" s="7" t="str">
        <f ca="1"/>
        <v>Z6</v>
      </c>
      <c r="U1647" s="7" t="str">
        <f ca="1"/>
        <v>0xD159</v>
      </c>
      <c r="V1647" s="7" t="str">
        <f ca="1"/>
        <v>WbPresetProtect2</v>
      </c>
    </row>
    <row r="1648" spans="20:22" x14ac:dyDescent="0.25">
      <c r="T1648" s="7" t="str">
        <f ca="1"/>
        <v>Z6</v>
      </c>
      <c r="U1648" s="7" t="str">
        <f ca="1"/>
        <v>0xD15A</v>
      </c>
      <c r="V1648" s="7" t="str">
        <f ca="1"/>
        <v>WbPresetProtect3</v>
      </c>
    </row>
    <row r="1649" spans="20:22" x14ac:dyDescent="0.25">
      <c r="T1649" s="7" t="str">
        <f ca="1"/>
        <v>Z6</v>
      </c>
      <c r="U1649" s="7" t="str">
        <f ca="1"/>
        <v>0xD15B</v>
      </c>
      <c r="V1649" s="7" t="str">
        <f ca="1"/>
        <v>ActiveFolder</v>
      </c>
    </row>
    <row r="1650" spans="20:22" x14ac:dyDescent="0.25">
      <c r="T1650" s="7" t="str">
        <f ca="1"/>
        <v>Z6</v>
      </c>
      <c r="U1650" s="7" t="str">
        <f ca="1"/>
        <v>0xD15C</v>
      </c>
      <c r="V1650" s="7" t="str">
        <f ca="1"/>
        <v>WbPresetProtect4</v>
      </c>
    </row>
    <row r="1651" spans="20:22" x14ac:dyDescent="0.25">
      <c r="T1651" s="7" t="str">
        <f ca="1"/>
        <v>Z6</v>
      </c>
      <c r="U1651" s="7" t="str">
        <f ca="1"/>
        <v>0xD15D</v>
      </c>
      <c r="V1651" s="7" t="str">
        <f ca="1"/>
        <v>WhiteBalanceReset</v>
      </c>
    </row>
    <row r="1652" spans="20:22" x14ac:dyDescent="0.25">
      <c r="T1652" s="7" t="str">
        <f ca="1"/>
        <v>Z6</v>
      </c>
      <c r="U1652" s="7" t="str">
        <f ca="1"/>
        <v>0xD15E</v>
      </c>
      <c r="V1652" s="7" t="str">
        <f ca="1"/>
        <v>WbTuneNatural</v>
      </c>
    </row>
    <row r="1653" spans="20:22" x14ac:dyDescent="0.25">
      <c r="T1653" s="7" t="str">
        <f ca="1"/>
        <v>Z6</v>
      </c>
      <c r="U1653" s="7" t="str">
        <f ca="1"/>
        <v>0xD164</v>
      </c>
      <c r="V1653" s="7" t="str">
        <f ca="1"/>
        <v>ISOAutoShutterTime</v>
      </c>
    </row>
    <row r="1654" spans="20:22" x14ac:dyDescent="0.25">
      <c r="T1654" s="7" t="str">
        <f ca="1"/>
        <v>Z6</v>
      </c>
      <c r="U1654" s="7" t="str">
        <f ca="1"/>
        <v>0xD16A</v>
      </c>
      <c r="V1654" s="7" t="str">
        <f ca="1"/>
        <v>ISOAutoSetting</v>
      </c>
    </row>
    <row r="1655" spans="20:22" x14ac:dyDescent="0.25">
      <c r="T1655" s="7" t="str">
        <f ca="1"/>
        <v>Z6</v>
      </c>
      <c r="U1655" s="7" t="str">
        <f ca="1"/>
        <v>0xD17A</v>
      </c>
      <c r="V1655" s="7" t="str">
        <f ca="1"/>
        <v>LowLightAF</v>
      </c>
    </row>
    <row r="1656" spans="20:22" x14ac:dyDescent="0.25">
      <c r="T1656" s="7" t="str">
        <f ca="1"/>
        <v>Z6</v>
      </c>
      <c r="U1656" s="7" t="str">
        <f ca="1"/>
        <v>0xD17B</v>
      </c>
      <c r="V1656" s="7" t="str">
        <f ca="1"/>
        <v>ApplyLiveViewSetting</v>
      </c>
    </row>
    <row r="1657" spans="20:22" x14ac:dyDescent="0.25">
      <c r="T1657" s="7" t="str">
        <f ca="1"/>
        <v>Z6</v>
      </c>
      <c r="U1657" s="7" t="str">
        <f ca="1"/>
        <v>0xD17C</v>
      </c>
      <c r="V1657" s="7" t="str">
        <f ca="1"/>
        <v>MovieAfSpeed</v>
      </c>
    </row>
    <row r="1658" spans="20:22" x14ac:dyDescent="0.25">
      <c r="T1658" s="7" t="str">
        <f ca="1"/>
        <v>Z6</v>
      </c>
      <c r="U1658" s="7" t="str">
        <f ca="1"/>
        <v>0xD17D</v>
      </c>
      <c r="V1658" s="7" t="str">
        <f ca="1"/>
        <v>MovieAfSpeedWhenToApply</v>
      </c>
    </row>
    <row r="1659" spans="20:22" x14ac:dyDescent="0.25">
      <c r="T1659" s="7" t="str">
        <f ca="1"/>
        <v>Z6</v>
      </c>
      <c r="U1659" s="7" t="str">
        <f ca="1"/>
        <v>0xD17E</v>
      </c>
      <c r="V1659" s="7" t="str">
        <f ca="1"/>
        <v>MovieAfTrackingSensitivity</v>
      </c>
    </row>
    <row r="1660" spans="20:22" x14ac:dyDescent="0.25">
      <c r="T1660" s="7" t="str">
        <f ca="1"/>
        <v>Z6</v>
      </c>
      <c r="U1660" s="7" t="str">
        <f ca="1"/>
        <v>0xD183</v>
      </c>
      <c r="V1660" s="7" t="str">
        <f ca="1"/>
        <v>ISOAutoHighLimit</v>
      </c>
    </row>
    <row r="1661" spans="20:22" x14ac:dyDescent="0.25">
      <c r="T1661" s="7" t="str">
        <f ca="1"/>
        <v>Z6</v>
      </c>
      <c r="U1661" s="7" t="str">
        <f ca="1"/>
        <v>0xD197</v>
      </c>
      <c r="V1661" s="7" t="str">
        <f ca="1"/>
        <v>MovieReleaseButton</v>
      </c>
    </row>
    <row r="1662" spans="20:22" x14ac:dyDescent="0.25">
      <c r="T1662" s="7" t="str">
        <f ca="1"/>
        <v>Z6</v>
      </c>
      <c r="U1662" s="7" t="str">
        <f ca="1"/>
        <v>0xD199</v>
      </c>
      <c r="V1662" s="7" t="str">
        <f ca="1"/>
        <v>FlashISOAutoHighLimit</v>
      </c>
    </row>
    <row r="1663" spans="20:22" x14ac:dyDescent="0.25">
      <c r="T1663" s="7" t="str">
        <f ca="1"/>
        <v>Z6</v>
      </c>
      <c r="U1663" s="7" t="str">
        <f ca="1"/>
        <v>0xD1A2</v>
      </c>
      <c r="V1663" s="7" t="str">
        <f ca="1"/>
        <v>RemoteLiveViewStatus</v>
      </c>
    </row>
    <row r="1664" spans="20:22" x14ac:dyDescent="0.25">
      <c r="T1664" s="7" t="str">
        <f ca="1"/>
        <v>Z6</v>
      </c>
      <c r="U1664" s="7" t="str">
        <f ca="1"/>
        <v>0xD1A4</v>
      </c>
      <c r="V1664" s="7" t="str">
        <f ca="1"/>
        <v>LiveViewProhibitionCondition</v>
      </c>
    </row>
    <row r="1665" spans="20:22" x14ac:dyDescent="0.25">
      <c r="T1665" s="7" t="str">
        <f ca="1"/>
        <v>Z6</v>
      </c>
      <c r="U1665" s="7" t="str">
        <f ca="1"/>
        <v>0xD1A6</v>
      </c>
      <c r="V1665" s="7" t="str">
        <f ca="1"/>
        <v>LiveViewSelector</v>
      </c>
    </row>
    <row r="1666" spans="20:22" x14ac:dyDescent="0.25">
      <c r="T1666" s="7" t="str">
        <f ca="1"/>
        <v>Z6</v>
      </c>
      <c r="U1666" s="7" t="str">
        <f ca="1"/>
        <v>0xD1A8</v>
      </c>
      <c r="V1666" s="7" t="str">
        <f ca="1"/>
        <v>MovieShutterSpeed</v>
      </c>
    </row>
    <row r="1667" spans="20:22" x14ac:dyDescent="0.25">
      <c r="T1667" s="7" t="str">
        <f ca="1"/>
        <v>Z6</v>
      </c>
      <c r="U1667" s="7" t="str">
        <f ca="1"/>
        <v>0xD1A9</v>
      </c>
      <c r="V1667" s="7" t="str">
        <f ca="1"/>
        <v>MovieFnumber</v>
      </c>
    </row>
    <row r="1668" spans="20:22" x14ac:dyDescent="0.25">
      <c r="T1668" s="7" t="str">
        <f ca="1"/>
        <v>Z6</v>
      </c>
      <c r="U1668" s="7" t="str">
        <f ca="1"/>
        <v>0xD1AA</v>
      </c>
      <c r="V1668" s="7" t="str">
        <f ca="1"/>
        <v>MovieExposureIndex</v>
      </c>
    </row>
    <row r="1669" spans="20:22" x14ac:dyDescent="0.25">
      <c r="T1669" s="7" t="str">
        <f ca="1"/>
        <v>Z6</v>
      </c>
      <c r="U1669" s="7" t="str">
        <f ca="1"/>
        <v>0xD1AB</v>
      </c>
      <c r="V1669" s="7" t="str">
        <f ca="1"/>
        <v>MovieExposureBiasCompensation</v>
      </c>
    </row>
    <row r="1670" spans="20:22" x14ac:dyDescent="0.25">
      <c r="T1670" s="7" t="str">
        <f ca="1"/>
        <v>Z6</v>
      </c>
      <c r="U1670" s="7" t="str">
        <f ca="1"/>
        <v>0xD1AC</v>
      </c>
      <c r="V1670" s="7" t="str">
        <f ca="1"/>
        <v>LiveViewImageSize</v>
      </c>
    </row>
    <row r="1671" spans="20:22" x14ac:dyDescent="0.25">
      <c r="T1671" s="7" t="str">
        <f ca="1"/>
        <v>Z6</v>
      </c>
      <c r="U1671" s="7" t="str">
        <f ca="1"/>
        <v>0xD1AD</v>
      </c>
      <c r="V1671" s="7" t="str">
        <f ca="1"/>
        <v>LiveViewPhotography</v>
      </c>
    </row>
    <row r="1672" spans="20:22" x14ac:dyDescent="0.25">
      <c r="T1672" s="7" t="str">
        <f ca="1"/>
        <v>Z6</v>
      </c>
      <c r="U1672" s="7" t="str">
        <f ca="1"/>
        <v>0xD1AF</v>
      </c>
      <c r="V1672" s="7" t="str">
        <f ca="1"/>
        <v>MovieExposureMeteringMode</v>
      </c>
    </row>
    <row r="1673" spans="20:22" x14ac:dyDescent="0.25">
      <c r="T1673" s="7" t="str">
        <f ca="1"/>
        <v>Z6</v>
      </c>
      <c r="U1673" s="7" t="str">
        <f ca="1"/>
        <v>0xD1B0</v>
      </c>
      <c r="V1673" s="7" t="str">
        <f ca="1"/>
        <v>ExposureDisplayStatus</v>
      </c>
    </row>
    <row r="1674" spans="20:22" x14ac:dyDescent="0.25">
      <c r="T1674" s="7" t="str">
        <f ca="1"/>
        <v>Z6</v>
      </c>
      <c r="U1674" s="7" t="str">
        <f ca="1"/>
        <v>0xD1B1</v>
      </c>
      <c r="V1674" s="7" t="str">
        <f ca="1"/>
        <v>ExposureIndicateStatus</v>
      </c>
    </row>
    <row r="1675" spans="20:22" x14ac:dyDescent="0.25">
      <c r="T1675" s="7" t="str">
        <f ca="1"/>
        <v>Z6</v>
      </c>
      <c r="U1675" s="7" t="str">
        <f ca="1"/>
        <v>0xD1B2</v>
      </c>
      <c r="V1675" s="7" t="str">
        <f ca="1"/>
        <v>InfoDisplayErrorStatus</v>
      </c>
    </row>
    <row r="1676" spans="20:22" x14ac:dyDescent="0.25">
      <c r="T1676" s="7" t="str">
        <f ca="1"/>
        <v>Z6</v>
      </c>
      <c r="U1676" s="7" t="str">
        <f ca="1"/>
        <v>0xD1B3</v>
      </c>
      <c r="V1676" s="7" t="str">
        <f ca="1"/>
        <v>ExposureIndicateLightup</v>
      </c>
    </row>
    <row r="1677" spans="20:22" x14ac:dyDescent="0.25">
      <c r="T1677" s="7" t="str">
        <f ca="1"/>
        <v>Z6</v>
      </c>
      <c r="U1677" s="7" t="str">
        <f ca="1"/>
        <v>0xD1B4</v>
      </c>
      <c r="V1677" s="7" t="str">
        <f ca="1"/>
        <v>ContinuousShootingCount</v>
      </c>
    </row>
    <row r="1678" spans="20:22" x14ac:dyDescent="0.25">
      <c r="T1678" s="7" t="str">
        <f ca="1"/>
        <v>Z6</v>
      </c>
      <c r="U1678" s="7" t="str">
        <f ca="1"/>
        <v>0xD1B7</v>
      </c>
      <c r="V1678" s="7" t="str">
        <f ca="1"/>
        <v>MovieRecFrameCount</v>
      </c>
    </row>
    <row r="1679" spans="20:22" x14ac:dyDescent="0.25">
      <c r="T1679" s="7" t="str">
        <f ca="1"/>
        <v>Z6</v>
      </c>
      <c r="U1679" s="7" t="str">
        <f ca="1"/>
        <v>0xD1B8</v>
      </c>
      <c r="V1679" s="7" t="str">
        <f ca="1"/>
        <v>CameraLiveViewStatus</v>
      </c>
    </row>
    <row r="1680" spans="20:22" x14ac:dyDescent="0.25">
      <c r="T1680" s="7" t="str">
        <f ca="1"/>
        <v>Z6</v>
      </c>
      <c r="U1680" s="7" t="str">
        <f ca="1"/>
        <v>0xD1B9</v>
      </c>
      <c r="V1680" s="7" t="str">
        <f ca="1"/>
        <v>DetectionPeaking</v>
      </c>
    </row>
    <row r="1681" spans="20:22" x14ac:dyDescent="0.25">
      <c r="T1681" s="7" t="str">
        <f ca="1"/>
        <v>Z6</v>
      </c>
      <c r="U1681" s="7" t="str">
        <f ca="1"/>
        <v>0xD1BB</v>
      </c>
      <c r="V1681" s="7" t="str">
        <f ca="1"/>
        <v>LiveViewImageStatus</v>
      </c>
    </row>
    <row r="1682" spans="20:22" x14ac:dyDescent="0.25">
      <c r="T1682" s="7" t="str">
        <f ca="1"/>
        <v>Z6</v>
      </c>
      <c r="U1682" s="7" t="str">
        <f ca="1"/>
        <v>0xD1BC</v>
      </c>
      <c r="V1682" s="7" t="str">
        <f ca="1"/>
        <v>LiveViewImageCompression</v>
      </c>
    </row>
    <row r="1683" spans="20:22" x14ac:dyDescent="0.25">
      <c r="T1683" s="7" t="str">
        <f ca="1"/>
        <v>Z6</v>
      </c>
      <c r="U1683" s="7" t="str">
        <f ca="1"/>
        <v>0xD1BD</v>
      </c>
      <c r="V1683" s="7" t="str">
        <f ca="1"/>
        <v>LiveViewZoomArea</v>
      </c>
    </row>
    <row r="1684" spans="20:22" x14ac:dyDescent="0.25">
      <c r="T1684" s="7" t="str">
        <f ca="1"/>
        <v>Z6</v>
      </c>
      <c r="U1684" s="7" t="str">
        <f ca="1"/>
        <v>0xD1DE</v>
      </c>
      <c r="V1684" s="7" t="str">
        <f ca="1"/>
        <v>ExternalRecordingControl</v>
      </c>
    </row>
    <row r="1685" spans="20:22" x14ac:dyDescent="0.25">
      <c r="T1685" s="7" t="str">
        <f ca="1"/>
        <v>Z6</v>
      </c>
      <c r="U1685" s="7" t="str">
        <f ca="1"/>
        <v>0xD1DF</v>
      </c>
      <c r="V1685" s="7" t="str">
        <f ca="1"/>
        <v>HighlightBrightness</v>
      </c>
    </row>
    <row r="1686" spans="20:22" x14ac:dyDescent="0.25">
      <c r="T1686" s="7" t="str">
        <f ca="1"/>
        <v>Z6</v>
      </c>
      <c r="U1686" s="7" t="str">
        <f ca="1"/>
        <v>0xD1E2</v>
      </c>
      <c r="V1686" s="7" t="str">
        <f ca="1"/>
        <v>SBWirelessMode</v>
      </c>
    </row>
    <row r="1687" spans="20:22" x14ac:dyDescent="0.25">
      <c r="T1687" s="7" t="str">
        <f ca="1"/>
        <v>Z6</v>
      </c>
      <c r="U1687" s="7" t="str">
        <f ca="1"/>
        <v>0xD1E3</v>
      </c>
      <c r="V1687" s="7" t="str">
        <f ca="1"/>
        <v>SBWirelessMultipleFlashMode</v>
      </c>
    </row>
    <row r="1688" spans="20:22" x14ac:dyDescent="0.25">
      <c r="T1688" s="7" t="str">
        <f ca="1"/>
        <v>Z6</v>
      </c>
      <c r="U1688" s="7" t="str">
        <f ca="1"/>
        <v>0xD1E4</v>
      </c>
      <c r="V1688" s="7" t="str">
        <f ca="1"/>
        <v>SBUsableGroup</v>
      </c>
    </row>
    <row r="1689" spans="20:22" x14ac:dyDescent="0.25">
      <c r="T1689" s="7" t="str">
        <f ca="1"/>
        <v>Z6</v>
      </c>
      <c r="U1689" s="7" t="str">
        <f ca="1"/>
        <v>0xD1E5</v>
      </c>
      <c r="V1689" s="7" t="str">
        <f ca="1"/>
        <v>WirelessCLSEntryMode</v>
      </c>
    </row>
    <row r="1690" spans="20:22" x14ac:dyDescent="0.25">
      <c r="T1690" s="7" t="str">
        <f ca="1"/>
        <v>Z6</v>
      </c>
      <c r="U1690" s="7" t="str">
        <f ca="1"/>
        <v>0xD1E6</v>
      </c>
      <c r="V1690" s="7" t="str">
        <f ca="1"/>
        <v>SBPINCode</v>
      </c>
    </row>
    <row r="1691" spans="20:22" x14ac:dyDescent="0.25">
      <c r="T1691" s="7" t="str">
        <f ca="1"/>
        <v>Z6</v>
      </c>
      <c r="U1691" s="7" t="str">
        <f ca="1"/>
        <v>0xD1E7</v>
      </c>
      <c r="V1691" s="7" t="str">
        <f ca="1"/>
        <v>RadioMultipleFlashChannel</v>
      </c>
    </row>
    <row r="1692" spans="20:22" x14ac:dyDescent="0.25">
      <c r="T1692" s="7" t="str">
        <f ca="1"/>
        <v>Z6</v>
      </c>
      <c r="U1692" s="7" t="str">
        <f ca="1"/>
        <v>0xD1E8</v>
      </c>
      <c r="V1692" s="7" t="str">
        <f ca="1"/>
        <v>OpticalMultipleFlashChannel</v>
      </c>
    </row>
    <row r="1693" spans="20:22" x14ac:dyDescent="0.25">
      <c r="T1693" s="7" t="str">
        <f ca="1"/>
        <v>Z6</v>
      </c>
      <c r="U1693" s="7" t="str">
        <f ca="1"/>
        <v>0xD1E9</v>
      </c>
      <c r="V1693" s="7" t="str">
        <f ca="1"/>
        <v>FlashRangeDisplay</v>
      </c>
    </row>
    <row r="1694" spans="20:22" x14ac:dyDescent="0.25">
      <c r="T1694" s="7" t="str">
        <f ca="1"/>
        <v>Z6</v>
      </c>
      <c r="U1694" s="7" t="str">
        <f ca="1"/>
        <v>0xD1EA</v>
      </c>
      <c r="V1694" s="7" t="str">
        <f ca="1"/>
        <v>AllTestFiringDisable</v>
      </c>
    </row>
    <row r="1695" spans="20:22" x14ac:dyDescent="0.25">
      <c r="T1695" s="7" t="str">
        <f ca="1"/>
        <v>Z6</v>
      </c>
      <c r="U1695" s="7" t="str">
        <f ca="1"/>
        <v>0xD1EC</v>
      </c>
      <c r="V1695" s="7" t="str">
        <f ca="1"/>
        <v>SBSettingMemberLock</v>
      </c>
    </row>
    <row r="1696" spans="20:22" x14ac:dyDescent="0.25">
      <c r="T1696" s="7" t="str">
        <f ca="1"/>
        <v>Z6</v>
      </c>
      <c r="U1696" s="7" t="str">
        <f ca="1"/>
        <v>0xD1ED</v>
      </c>
      <c r="V1696" s="7" t="str">
        <f ca="1"/>
        <v>SBIntegrationFlashReady</v>
      </c>
    </row>
    <row r="1697" spans="20:22" x14ac:dyDescent="0.25">
      <c r="T1697" s="7" t="str">
        <f ca="1"/>
        <v>Z6</v>
      </c>
      <c r="U1697" s="7" t="str">
        <f ca="1"/>
        <v>0xD1F0</v>
      </c>
      <c r="V1697" s="7" t="str">
        <f ca="1"/>
        <v>ApplicationMode</v>
      </c>
    </row>
    <row r="1698" spans="20:22" x14ac:dyDescent="0.25">
      <c r="T1698" s="7" t="str">
        <f ca="1"/>
        <v>Z6</v>
      </c>
      <c r="U1698" s="7" t="str">
        <f ca="1"/>
        <v>0xD1F1</v>
      </c>
      <c r="V1698" s="7" t="str">
        <f ca="1"/>
        <v>ExposureRemaining</v>
      </c>
    </row>
    <row r="1699" spans="20:22" x14ac:dyDescent="0.25">
      <c r="T1699" s="7" t="str">
        <f ca="1"/>
        <v>Z6</v>
      </c>
      <c r="U1699" s="7" t="str">
        <f ca="1"/>
        <v>0xD1F4</v>
      </c>
      <c r="V1699" s="7" t="str">
        <f ca="1"/>
        <v>ISOAutoShutterTimeCorrectionValue</v>
      </c>
    </row>
    <row r="1700" spans="20:22" x14ac:dyDescent="0.25">
      <c r="T1700" s="7" t="str">
        <f ca="1"/>
        <v>Z6</v>
      </c>
      <c r="U1700" s="7" t="str">
        <f ca="1"/>
        <v>0xD1F8</v>
      </c>
      <c r="V1700" s="7" t="str">
        <f ca="1"/>
        <v>MovieAfAreaMode</v>
      </c>
    </row>
    <row r="1701" spans="20:22" x14ac:dyDescent="0.25">
      <c r="T1701" s="7" t="str">
        <f ca="1"/>
        <v>Z6</v>
      </c>
      <c r="U1701" s="7" t="str">
        <f ca="1"/>
        <v>0xD1F9</v>
      </c>
      <c r="V1701" s="7" t="str">
        <f ca="1"/>
        <v>MovieVibrationReduction</v>
      </c>
    </row>
    <row r="1702" spans="20:22" x14ac:dyDescent="0.25">
      <c r="T1702" s="7" t="str">
        <f ca="1"/>
        <v>Z6</v>
      </c>
      <c r="U1702" s="7" t="str">
        <f ca="1"/>
        <v>0xD1FA</v>
      </c>
      <c r="V1702" s="7" t="str">
        <f ca="1"/>
        <v>MovieFocusMode</v>
      </c>
    </row>
    <row r="1703" spans="20:22" x14ac:dyDescent="0.25">
      <c r="T1703" s="7" t="str">
        <f ca="1"/>
        <v>Z6</v>
      </c>
      <c r="U1703" s="7" t="str">
        <f ca="1"/>
        <v>0xD1FB</v>
      </c>
      <c r="V1703" s="7" t="str">
        <f ca="1"/>
        <v>RecordTimeCodes</v>
      </c>
    </row>
    <row r="1704" spans="20:22" x14ac:dyDescent="0.25">
      <c r="T1704" s="7" t="str">
        <f ca="1"/>
        <v>Z6</v>
      </c>
      <c r="U1704" s="7" t="str">
        <f ca="1"/>
        <v>0xD1FC</v>
      </c>
      <c r="V1704" s="7" t="str">
        <f ca="1"/>
        <v>CountUpMethod</v>
      </c>
    </row>
    <row r="1705" spans="20:22" x14ac:dyDescent="0.25">
      <c r="T1705" s="7" t="str">
        <f ca="1"/>
        <v>Z6</v>
      </c>
      <c r="U1705" s="7" t="str">
        <f ca="1"/>
        <v>0xD1FD</v>
      </c>
      <c r="V1705" s="7" t="str">
        <f ca="1"/>
        <v>TimeCodeOrigin</v>
      </c>
    </row>
    <row r="1706" spans="20:22" x14ac:dyDescent="0.25">
      <c r="T1706" s="7" t="str">
        <f ca="1"/>
        <v>Z6</v>
      </c>
      <c r="U1706" s="7" t="str">
        <f ca="1"/>
        <v>0xD1FE</v>
      </c>
      <c r="V1706" s="7" t="str">
        <f ca="1"/>
        <v>DropFrame</v>
      </c>
    </row>
    <row r="1707" spans="20:22" x14ac:dyDescent="0.25">
      <c r="T1707" s="7" t="str">
        <f ca="1"/>
        <v>Z6</v>
      </c>
      <c r="U1707" s="7" t="str">
        <f ca="1"/>
        <v>0xD200</v>
      </c>
      <c r="V1707" s="7" t="str">
        <f ca="1"/>
        <v>ActivePicCtrlItem</v>
      </c>
    </row>
    <row r="1708" spans="20:22" x14ac:dyDescent="0.25">
      <c r="T1708" s="7" t="str">
        <f ca="1"/>
        <v>Z6</v>
      </c>
      <c r="U1708" s="7" t="str">
        <f ca="1"/>
        <v>0xD20D</v>
      </c>
      <c r="V1708" s="7" t="str">
        <f ca="1"/>
        <v>ElectronicFrontCurtainShutter</v>
      </c>
    </row>
    <row r="1709" spans="20:22" x14ac:dyDescent="0.25">
      <c r="T1709" s="7" t="str">
        <f ca="1"/>
        <v>Z6</v>
      </c>
      <c r="U1709" s="7" t="str">
        <f ca="1"/>
        <v>0xD20E</v>
      </c>
      <c r="V1709" s="7" t="str">
        <f ca="1"/>
        <v>MovieResetShootingMenu</v>
      </c>
    </row>
    <row r="1710" spans="20:22" x14ac:dyDescent="0.25">
      <c r="T1710" s="7" t="str">
        <f ca="1"/>
        <v>Z6</v>
      </c>
      <c r="U1710" s="7" t="str">
        <f ca="1"/>
        <v>0xD20F</v>
      </c>
      <c r="V1710" s="7" t="str">
        <f ca="1"/>
        <v>MovieCaptureAreaCrop</v>
      </c>
    </row>
    <row r="1711" spans="20:22" x14ac:dyDescent="0.25">
      <c r="T1711" s="7" t="str">
        <f ca="1"/>
        <v>Z6</v>
      </c>
      <c r="U1711" s="7" t="str">
        <f ca="1"/>
        <v>0xD211</v>
      </c>
      <c r="V1711" s="7" t="str">
        <f ca="1"/>
        <v>MovieWbAutoType</v>
      </c>
    </row>
    <row r="1712" spans="20:22" x14ac:dyDescent="0.25">
      <c r="T1712" s="7" t="str">
        <f ca="1"/>
        <v>Z6</v>
      </c>
      <c r="U1712" s="7" t="str">
        <f ca="1"/>
        <v>0xD212</v>
      </c>
      <c r="V1712" s="7" t="str">
        <f ca="1"/>
        <v>MovieWbTuneAuto</v>
      </c>
    </row>
    <row r="1713" spans="20:22" x14ac:dyDescent="0.25">
      <c r="T1713" s="7" t="str">
        <f ca="1"/>
        <v>Z6</v>
      </c>
      <c r="U1713" s="7" t="str">
        <f ca="1"/>
        <v>0xD213</v>
      </c>
      <c r="V1713" s="7" t="str">
        <f ca="1"/>
        <v>MovieWbTuneIncandescent</v>
      </c>
    </row>
    <row r="1714" spans="20:22" x14ac:dyDescent="0.25">
      <c r="T1714" s="7" t="str">
        <f ca="1"/>
        <v>Z6</v>
      </c>
      <c r="U1714" s="7" t="str">
        <f ca="1"/>
        <v>0xD214</v>
      </c>
      <c r="V1714" s="7" t="str">
        <f ca="1"/>
        <v>MovieWbFluorescentType</v>
      </c>
    </row>
    <row r="1715" spans="20:22" x14ac:dyDescent="0.25">
      <c r="T1715" s="7" t="str">
        <f ca="1"/>
        <v>Z6</v>
      </c>
      <c r="U1715" s="7" t="str">
        <f ca="1"/>
        <v>0xD215</v>
      </c>
      <c r="V1715" s="7" t="str">
        <f ca="1"/>
        <v>MovieWbTuneFluorescent</v>
      </c>
    </row>
    <row r="1716" spans="20:22" x14ac:dyDescent="0.25">
      <c r="T1716" s="7" t="str">
        <f ca="1"/>
        <v>Z6</v>
      </c>
      <c r="U1716" s="7" t="str">
        <f ca="1"/>
        <v>0xD216</v>
      </c>
      <c r="V1716" s="7" t="str">
        <f ca="1"/>
        <v>MovieWbTuneSunny</v>
      </c>
    </row>
    <row r="1717" spans="20:22" x14ac:dyDescent="0.25">
      <c r="T1717" s="7" t="str">
        <f ca="1"/>
        <v>Z6</v>
      </c>
      <c r="U1717" s="7" t="str">
        <f ca="1"/>
        <v>0xD218</v>
      </c>
      <c r="V1717" s="7" t="str">
        <f ca="1"/>
        <v>MovieWbTuneCloudy</v>
      </c>
    </row>
    <row r="1718" spans="20:22" x14ac:dyDescent="0.25">
      <c r="T1718" s="7" t="str">
        <f ca="1"/>
        <v>Z6</v>
      </c>
      <c r="U1718" s="7" t="str">
        <f ca="1"/>
        <v>0xD219</v>
      </c>
      <c r="V1718" s="7" t="str">
        <f ca="1"/>
        <v>MovieWbTuneShade</v>
      </c>
    </row>
    <row r="1719" spans="20:22" x14ac:dyDescent="0.25">
      <c r="T1719" s="7" t="str">
        <f ca="1"/>
        <v>Z6</v>
      </c>
      <c r="U1719" s="7" t="str">
        <f ca="1"/>
        <v>0xD21A</v>
      </c>
      <c r="V1719" s="7" t="str">
        <f ca="1"/>
        <v>MovieWbColorTemp</v>
      </c>
    </row>
    <row r="1720" spans="20:22" x14ac:dyDescent="0.25">
      <c r="T1720" s="7" t="str">
        <f ca="1"/>
        <v>Z6</v>
      </c>
      <c r="U1720" s="7" t="str">
        <f ca="1"/>
        <v>0xD21B</v>
      </c>
      <c r="V1720" s="7" t="str">
        <f ca="1"/>
        <v>MovieWbTuneColorTemp</v>
      </c>
    </row>
    <row r="1721" spans="20:22" x14ac:dyDescent="0.25">
      <c r="T1721" s="7" t="str">
        <f ca="1"/>
        <v>Z6</v>
      </c>
      <c r="U1721" s="7" t="str">
        <f ca="1"/>
        <v>0xD21C</v>
      </c>
      <c r="V1721" s="7" t="str">
        <f ca="1"/>
        <v>MovieWbPresetDataNo</v>
      </c>
    </row>
    <row r="1722" spans="20:22" x14ac:dyDescent="0.25">
      <c r="T1722" s="7" t="str">
        <f ca="1"/>
        <v>Z6</v>
      </c>
      <c r="U1722" s="7" t="str">
        <f ca="1"/>
        <v>0xD21D</v>
      </c>
      <c r="V1722" s="7" t="str">
        <f ca="1"/>
        <v>MovieWbPresetDataComment1</v>
      </c>
    </row>
    <row r="1723" spans="20:22" x14ac:dyDescent="0.25">
      <c r="T1723" s="7" t="str">
        <f ca="1"/>
        <v>Z6</v>
      </c>
      <c r="U1723" s="7" t="str">
        <f ca="1"/>
        <v>0xD21E</v>
      </c>
      <c r="V1723" s="7" t="str">
        <f ca="1"/>
        <v>MovieWbPresetDataComment2</v>
      </c>
    </row>
    <row r="1724" spans="20:22" x14ac:dyDescent="0.25">
      <c r="T1724" s="7" t="str">
        <f ca="1"/>
        <v>Z6</v>
      </c>
      <c r="U1724" s="7" t="str">
        <f ca="1"/>
        <v>0xD21F</v>
      </c>
      <c r="V1724" s="7" t="str">
        <f ca="1"/>
        <v>MovieWbPresetDataComment3</v>
      </c>
    </row>
    <row r="1725" spans="20:22" x14ac:dyDescent="0.25">
      <c r="T1725" s="7" t="str">
        <f ca="1"/>
        <v>Z6</v>
      </c>
      <c r="U1725" s="7" t="str">
        <f ca="1"/>
        <v>0xD220</v>
      </c>
      <c r="V1725" s="7" t="str">
        <f ca="1"/>
        <v>MovieWbPresetDataComment4</v>
      </c>
    </row>
    <row r="1726" spans="20:22" x14ac:dyDescent="0.25">
      <c r="T1726" s="7" t="str">
        <f ca="1"/>
        <v>Z6</v>
      </c>
      <c r="U1726" s="7" t="str">
        <f ca="1"/>
        <v>0xD221</v>
      </c>
      <c r="V1726" s="7" t="str">
        <f ca="1"/>
        <v>MovieWbPresetDataComment5</v>
      </c>
    </row>
    <row r="1727" spans="20:22" x14ac:dyDescent="0.25">
      <c r="T1727" s="7" t="str">
        <f ca="1"/>
        <v>Z6</v>
      </c>
      <c r="U1727" s="7" t="str">
        <f ca="1"/>
        <v>0xD222</v>
      </c>
      <c r="V1727" s="7" t="str">
        <f ca="1"/>
        <v>MovieWbPresetDataComment6</v>
      </c>
    </row>
    <row r="1728" spans="20:22" x14ac:dyDescent="0.25">
      <c r="T1728" s="7" t="str">
        <f ca="1"/>
        <v>Z6</v>
      </c>
      <c r="U1728" s="7" t="str">
        <f ca="1"/>
        <v>0xD223</v>
      </c>
      <c r="V1728" s="7" t="str">
        <f ca="1"/>
        <v>MovieWbPresetDataValue1</v>
      </c>
    </row>
    <row r="1729" spans="20:22" x14ac:dyDescent="0.25">
      <c r="T1729" s="7" t="str">
        <f ca="1"/>
        <v>Z6</v>
      </c>
      <c r="U1729" s="7" t="str">
        <f ca="1"/>
        <v>0xD224</v>
      </c>
      <c r="V1729" s="7" t="str">
        <f ca="1"/>
        <v>MovieWbPresetDataValue2</v>
      </c>
    </row>
    <row r="1730" spans="20:22" x14ac:dyDescent="0.25">
      <c r="T1730" s="7" t="str">
        <f ca="1"/>
        <v>Z6</v>
      </c>
      <c r="U1730" s="7" t="str">
        <f ca="1"/>
        <v>0xD225</v>
      </c>
      <c r="V1730" s="7" t="str">
        <f ca="1"/>
        <v>MovieWbPresetDataValue3</v>
      </c>
    </row>
    <row r="1731" spans="20:22" x14ac:dyDescent="0.25">
      <c r="T1731" s="7" t="str">
        <f ca="1"/>
        <v>Z6</v>
      </c>
      <c r="U1731" s="7" t="str">
        <f ca="1"/>
        <v>0xD226</v>
      </c>
      <c r="V1731" s="7" t="str">
        <f ca="1"/>
        <v>MovieWbPresetDataValue4</v>
      </c>
    </row>
    <row r="1732" spans="20:22" x14ac:dyDescent="0.25">
      <c r="T1732" s="7" t="str">
        <f ca="1"/>
        <v>Z6</v>
      </c>
      <c r="U1732" s="7" t="str">
        <f ca="1"/>
        <v>0xD227</v>
      </c>
      <c r="V1732" s="7" t="str">
        <f ca="1"/>
        <v>MovieWbPresetDataValue5</v>
      </c>
    </row>
    <row r="1733" spans="20:22" x14ac:dyDescent="0.25">
      <c r="T1733" s="7" t="str">
        <f ca="1"/>
        <v>Z6</v>
      </c>
      <c r="U1733" s="7" t="str">
        <f ca="1"/>
        <v>0xD228</v>
      </c>
      <c r="V1733" s="7" t="str">
        <f ca="1"/>
        <v>MovieWbPresetDataValue6</v>
      </c>
    </row>
    <row r="1734" spans="20:22" x14ac:dyDescent="0.25">
      <c r="T1734" s="7" t="str">
        <f ca="1"/>
        <v>Z6</v>
      </c>
      <c r="U1734" s="7" t="str">
        <f ca="1"/>
        <v>0xD229</v>
      </c>
      <c r="V1734" s="7" t="str">
        <f ca="1"/>
        <v>MovieWbTunePreset1</v>
      </c>
    </row>
    <row r="1735" spans="20:22" x14ac:dyDescent="0.25">
      <c r="T1735" s="7" t="str">
        <f ca="1"/>
        <v>Z6</v>
      </c>
      <c r="U1735" s="7" t="str">
        <f ca="1"/>
        <v>0xD22A</v>
      </c>
      <c r="V1735" s="7" t="str">
        <f ca="1"/>
        <v>MovieWbTunePreset2</v>
      </c>
    </row>
    <row r="1736" spans="20:22" x14ac:dyDescent="0.25">
      <c r="T1736" s="7" t="str">
        <f ca="1"/>
        <v>Z6</v>
      </c>
      <c r="U1736" s="7" t="str">
        <f ca="1"/>
        <v>0xD22B</v>
      </c>
      <c r="V1736" s="7" t="str">
        <f ca="1"/>
        <v>MovieWbTunePreset3</v>
      </c>
    </row>
    <row r="1737" spans="20:22" x14ac:dyDescent="0.25">
      <c r="T1737" s="7" t="str">
        <f ca="1"/>
        <v>Z6</v>
      </c>
      <c r="U1737" s="7" t="str">
        <f ca="1"/>
        <v>0xD22C</v>
      </c>
      <c r="V1737" s="7" t="str">
        <f ca="1"/>
        <v>MovieWbTunePreset4</v>
      </c>
    </row>
    <row r="1738" spans="20:22" x14ac:dyDescent="0.25">
      <c r="T1738" s="7" t="str">
        <f ca="1"/>
        <v>Z6</v>
      </c>
      <c r="U1738" s="7" t="str">
        <f ca="1"/>
        <v>0xD22D</v>
      </c>
      <c r="V1738" s="7" t="str">
        <f ca="1"/>
        <v>MovieWbTunePreset5</v>
      </c>
    </row>
    <row r="1739" spans="20:22" x14ac:dyDescent="0.25">
      <c r="T1739" s="7" t="str">
        <f ca="1"/>
        <v>Z6</v>
      </c>
      <c r="U1739" s="7" t="str">
        <f ca="1"/>
        <v>0xD22E</v>
      </c>
      <c r="V1739" s="7" t="str">
        <f ca="1"/>
        <v>MovieWbTunePreset6</v>
      </c>
    </row>
    <row r="1740" spans="20:22" x14ac:dyDescent="0.25">
      <c r="T1740" s="7" t="str">
        <f ca="1"/>
        <v>Z6</v>
      </c>
      <c r="U1740" s="7" t="str">
        <f ca="1"/>
        <v>0xD22F</v>
      </c>
      <c r="V1740" s="7" t="str">
        <f ca="1"/>
        <v>MovieWbPresetProtect1</v>
      </c>
    </row>
    <row r="1741" spans="20:22" x14ac:dyDescent="0.25">
      <c r="T1741" s="7" t="str">
        <f ca="1"/>
        <v>Z6</v>
      </c>
      <c r="U1741" s="7" t="str">
        <f ca="1"/>
        <v>0xD230</v>
      </c>
      <c r="V1741" s="7" t="str">
        <f ca="1"/>
        <v>MovieWbPresetProtect2</v>
      </c>
    </row>
    <row r="1742" spans="20:22" x14ac:dyDescent="0.25">
      <c r="T1742" s="7" t="str">
        <f ca="1"/>
        <v>Z6</v>
      </c>
      <c r="U1742" s="7" t="str">
        <f ca="1"/>
        <v>0xD231</v>
      </c>
      <c r="V1742" s="7" t="str">
        <f ca="1"/>
        <v>MovieWbPresetProtect3</v>
      </c>
    </row>
    <row r="1743" spans="20:22" x14ac:dyDescent="0.25">
      <c r="T1743" s="7" t="str">
        <f ca="1"/>
        <v>Z6</v>
      </c>
      <c r="U1743" s="7" t="str">
        <f ca="1"/>
        <v>0xD232</v>
      </c>
      <c r="V1743" s="7" t="str">
        <f ca="1"/>
        <v>MovieWbPresetProtect4</v>
      </c>
    </row>
    <row r="1744" spans="20:22" x14ac:dyDescent="0.25">
      <c r="T1744" s="7" t="str">
        <f ca="1"/>
        <v>Z6</v>
      </c>
      <c r="U1744" s="7" t="str">
        <f ca="1"/>
        <v>0xD233</v>
      </c>
      <c r="V1744" s="7" t="str">
        <f ca="1"/>
        <v>MovieWbPresetProtect5</v>
      </c>
    </row>
    <row r="1745" spans="20:22" x14ac:dyDescent="0.25">
      <c r="T1745" s="7" t="str">
        <f ca="1"/>
        <v>Z6</v>
      </c>
      <c r="U1745" s="7" t="str">
        <f ca="1"/>
        <v>0xD234</v>
      </c>
      <c r="V1745" s="7" t="str">
        <f ca="1"/>
        <v>MovieWbPresetProtect6</v>
      </c>
    </row>
    <row r="1746" spans="20:22" x14ac:dyDescent="0.25">
      <c r="T1746" s="7" t="str">
        <f ca="1"/>
        <v>Z6</v>
      </c>
      <c r="U1746" s="7" t="str">
        <f ca="1"/>
        <v>0xD235</v>
      </c>
      <c r="V1746" s="7" t="str">
        <f ca="1"/>
        <v>MovieWhiteBalanceReset</v>
      </c>
    </row>
    <row r="1747" spans="20:22" x14ac:dyDescent="0.25">
      <c r="T1747" s="7" t="str">
        <f ca="1"/>
        <v>Z6</v>
      </c>
      <c r="U1747" s="7" t="str">
        <f ca="1"/>
        <v>0xD236</v>
      </c>
      <c r="V1747" s="7" t="str">
        <f ca="1"/>
        <v>MovieNoiseReductionHiIso</v>
      </c>
    </row>
    <row r="1748" spans="20:22" x14ac:dyDescent="0.25">
      <c r="T1748" s="7" t="str">
        <f ca="1"/>
        <v>Z6</v>
      </c>
      <c r="U1748" s="7" t="str">
        <f ca="1"/>
        <v>0xD237</v>
      </c>
      <c r="V1748" s="7" t="str">
        <f ca="1"/>
        <v>MovieActivePicCtrlItem</v>
      </c>
    </row>
    <row r="1749" spans="20:22" x14ac:dyDescent="0.25">
      <c r="T1749" s="7" t="str">
        <f ca="1"/>
        <v>Z6</v>
      </c>
      <c r="U1749" s="7" t="str">
        <f ca="1"/>
        <v>0xD239</v>
      </c>
      <c r="V1749" s="7" t="str">
        <f ca="1"/>
        <v>ExposureBaseCompHighlight</v>
      </c>
    </row>
    <row r="1750" spans="20:22" x14ac:dyDescent="0.25">
      <c r="T1750" s="7" t="str">
        <f ca="1"/>
        <v>Z6</v>
      </c>
      <c r="U1750" s="7" t="str">
        <f ca="1"/>
        <v>0xD23A</v>
      </c>
      <c r="V1750" s="7" t="str">
        <f ca="1"/>
        <v>MovieWhiteBalance</v>
      </c>
    </row>
    <row r="1751" spans="20:22" x14ac:dyDescent="0.25">
      <c r="T1751" s="7" t="str">
        <f ca="1"/>
        <v>Z6</v>
      </c>
      <c r="U1751" s="7" t="str">
        <f ca="1"/>
        <v>0xD23B</v>
      </c>
      <c r="V1751" s="7" t="str">
        <f ca="1"/>
        <v>MovieActive</v>
      </c>
    </row>
    <row r="1752" spans="20:22" x14ac:dyDescent="0.25">
      <c r="T1752" s="7" t="str">
        <f ca="1"/>
        <v>Z6</v>
      </c>
      <c r="U1752" s="7" t="str">
        <f ca="1"/>
        <v>0xD23C</v>
      </c>
      <c r="V1752" s="7" t="str">
        <f ca="1"/>
        <v>MovieWbTuneNatural</v>
      </c>
    </row>
    <row r="1753" spans="20:22" x14ac:dyDescent="0.25">
      <c r="T1753" s="7" t="str">
        <f ca="1"/>
        <v>Z6</v>
      </c>
      <c r="U1753" s="7" t="str">
        <f ca="1"/>
        <v>0xD23D</v>
      </c>
      <c r="V1753" s="7" t="str">
        <f ca="1"/>
        <v>MovieAttenuator</v>
      </c>
    </row>
    <row r="1754" spans="20:22" x14ac:dyDescent="0.25">
      <c r="T1754" s="7" t="str">
        <f ca="1"/>
        <v>Z6</v>
      </c>
      <c r="U1754" s="7" t="str">
        <f ca="1"/>
        <v>0xD23E</v>
      </c>
      <c r="V1754" s="7" t="str">
        <f ca="1"/>
        <v>MovieVignetteControl</v>
      </c>
    </row>
    <row r="1755" spans="20:22" x14ac:dyDescent="0.25">
      <c r="T1755" s="7" t="str">
        <f ca="1"/>
        <v>Z6</v>
      </c>
      <c r="U1755" s="7" t="str">
        <f ca="1"/>
        <v>0xD23F</v>
      </c>
      <c r="V1755" s="7" t="str">
        <f ca="1"/>
        <v>MovieDiffractionCompensation</v>
      </c>
    </row>
    <row r="1756" spans="20:22" x14ac:dyDescent="0.25">
      <c r="T1756" s="7" t="str">
        <f ca="1"/>
        <v>Z6</v>
      </c>
      <c r="U1756" s="7" t="str">
        <f ca="1"/>
        <v>0xD303</v>
      </c>
      <c r="V1756" s="7" t="str">
        <f ca="1"/>
        <v>UseDeviceStageFlag</v>
      </c>
    </row>
    <row r="1757" spans="20:22" x14ac:dyDescent="0.25">
      <c r="T1757" s="7" t="str">
        <f ca="1"/>
        <v>Z6</v>
      </c>
      <c r="U1757" s="7" t="str">
        <f ca="1"/>
        <v>0xD314</v>
      </c>
      <c r="V1757" s="7" t="str">
        <f ca="1"/>
        <v>ElectronicVR</v>
      </c>
    </row>
    <row r="1758" spans="20:22" x14ac:dyDescent="0.25">
      <c r="T1758" s="7" t="str">
        <f ca="1"/>
        <v>Z6</v>
      </c>
      <c r="U1758" s="7" t="str">
        <f ca="1"/>
        <v>0xD406</v>
      </c>
      <c r="V1758" s="7" t="str">
        <f ca="1"/>
        <v>SessionInitiatorVersionInfo</v>
      </c>
    </row>
    <row r="1759" spans="20:22" x14ac:dyDescent="0.25">
      <c r="T1759" s="7" t="str">
        <f ca="1"/>
        <v>Z6</v>
      </c>
      <c r="U1759" s="7" t="str">
        <f ca="1"/>
        <v>0xD407</v>
      </c>
      <c r="V1759" s="7" t="str">
        <f ca="1"/>
        <v>PerceivedDeviceType</v>
      </c>
    </row>
    <row r="1760" spans="20:22" x14ac:dyDescent="0.25">
      <c r="T1760" s="7" t="str">
        <f ca="1"/>
        <v>Z7</v>
      </c>
      <c r="U1760" s="7" t="str">
        <f ca="1"/>
        <v>0x5001</v>
      </c>
      <c r="V1760" s="7" t="str">
        <f ca="1"/>
        <v>BatteryLevel</v>
      </c>
    </row>
    <row r="1761" spans="20:22" x14ac:dyDescent="0.25">
      <c r="T1761" s="7" t="str">
        <f ca="1"/>
        <v>Z7</v>
      </c>
      <c r="U1761" s="7" t="str">
        <f ca="1"/>
        <v>0x5003</v>
      </c>
      <c r="V1761" s="7" t="str">
        <f ca="1"/>
        <v>ImageSize</v>
      </c>
    </row>
    <row r="1762" spans="20:22" x14ac:dyDescent="0.25">
      <c r="T1762" s="7" t="str">
        <f ca="1"/>
        <v>Z7</v>
      </c>
      <c r="U1762" s="7" t="str">
        <f ca="1"/>
        <v>0x5004</v>
      </c>
      <c r="V1762" s="7" t="str">
        <f ca="1"/>
        <v>CompressionSetting</v>
      </c>
    </row>
    <row r="1763" spans="20:22" x14ac:dyDescent="0.25">
      <c r="T1763" s="7" t="str">
        <f ca="1"/>
        <v>Z7</v>
      </c>
      <c r="U1763" s="7" t="str">
        <f ca="1"/>
        <v>0x5005</v>
      </c>
      <c r="V1763" s="7" t="str">
        <f ca="1"/>
        <v>WhiteBalance</v>
      </c>
    </row>
    <row r="1764" spans="20:22" x14ac:dyDescent="0.25">
      <c r="T1764" s="7" t="str">
        <f ca="1"/>
        <v>Z7</v>
      </c>
      <c r="U1764" s="7" t="str">
        <f ca="1"/>
        <v>0x5007</v>
      </c>
      <c r="V1764" s="7" t="str">
        <f ca="1"/>
        <v>Fnumber</v>
      </c>
    </row>
    <row r="1765" spans="20:22" x14ac:dyDescent="0.25">
      <c r="T1765" s="7" t="str">
        <f ca="1"/>
        <v>Z7</v>
      </c>
      <c r="U1765" s="7" t="str">
        <f ca="1"/>
        <v>0x5008</v>
      </c>
      <c r="V1765" s="7" t="str">
        <f ca="1"/>
        <v>FocalLength</v>
      </c>
    </row>
    <row r="1766" spans="20:22" x14ac:dyDescent="0.25">
      <c r="T1766" s="7" t="str">
        <f ca="1"/>
        <v>Z7</v>
      </c>
      <c r="U1766" s="7" t="str">
        <f ca="1"/>
        <v>0x500A</v>
      </c>
      <c r="V1766" s="7" t="str">
        <f ca="1"/>
        <v>FocusMode</v>
      </c>
    </row>
    <row r="1767" spans="20:22" x14ac:dyDescent="0.25">
      <c r="T1767" s="7" t="str">
        <f ca="1"/>
        <v>Z7</v>
      </c>
      <c r="U1767" s="7" t="str">
        <f ca="1"/>
        <v>0x500B</v>
      </c>
      <c r="V1767" s="7" t="str">
        <f ca="1"/>
        <v>ExposureMeteringMode</v>
      </c>
    </row>
    <row r="1768" spans="20:22" x14ac:dyDescent="0.25">
      <c r="T1768" s="7" t="str">
        <f ca="1"/>
        <v>Z7</v>
      </c>
      <c r="U1768" s="7" t="str">
        <f ca="1"/>
        <v>0x500C</v>
      </c>
      <c r="V1768" s="7" t="str">
        <f ca="1"/>
        <v>FlashMode</v>
      </c>
    </row>
    <row r="1769" spans="20:22" x14ac:dyDescent="0.25">
      <c r="T1769" s="7" t="str">
        <f ca="1"/>
        <v>Z7</v>
      </c>
      <c r="U1769" s="7" t="str">
        <f ca="1"/>
        <v>0x500D</v>
      </c>
      <c r="V1769" s="7" t="str">
        <f ca="1"/>
        <v>ExposureTime</v>
      </c>
    </row>
    <row r="1770" spans="20:22" x14ac:dyDescent="0.25">
      <c r="T1770" s="7" t="str">
        <f ca="1"/>
        <v>Z7</v>
      </c>
      <c r="U1770" s="7" t="str">
        <f ca="1"/>
        <v>0x500E</v>
      </c>
      <c r="V1770" s="7" t="str">
        <f ca="1"/>
        <v>ExposureProgramMode</v>
      </c>
    </row>
    <row r="1771" spans="20:22" x14ac:dyDescent="0.25">
      <c r="T1771" s="7" t="str">
        <f ca="1"/>
        <v>Z7</v>
      </c>
      <c r="U1771" s="7" t="str">
        <f ca="1"/>
        <v>0x500F</v>
      </c>
      <c r="V1771" s="7" t="str">
        <f ca="1"/>
        <v>ExposureIndex</v>
      </c>
    </row>
    <row r="1772" spans="20:22" x14ac:dyDescent="0.25">
      <c r="T1772" s="7" t="str">
        <f ca="1"/>
        <v>Z7</v>
      </c>
      <c r="U1772" s="7" t="str">
        <f ca="1"/>
        <v>0x5010</v>
      </c>
      <c r="V1772" s="7" t="str">
        <f ca="1"/>
        <v>ExposureBiasCompensation</v>
      </c>
    </row>
    <row r="1773" spans="20:22" x14ac:dyDescent="0.25">
      <c r="T1773" s="7" t="str">
        <f ca="1"/>
        <v>Z7</v>
      </c>
      <c r="U1773" s="7" t="str">
        <f ca="1"/>
        <v>0x5011</v>
      </c>
      <c r="V1773" s="7" t="str">
        <f ca="1"/>
        <v>DateTime</v>
      </c>
    </row>
    <row r="1774" spans="20:22" x14ac:dyDescent="0.25">
      <c r="T1774" s="7" t="str">
        <f ca="1"/>
        <v>Z7</v>
      </c>
      <c r="U1774" s="7" t="str">
        <f ca="1"/>
        <v>0x5013</v>
      </c>
      <c r="V1774" s="7" t="str">
        <f ca="1"/>
        <v>StillCaptureMode</v>
      </c>
    </row>
    <row r="1775" spans="20:22" x14ac:dyDescent="0.25">
      <c r="T1775" s="7" t="str">
        <f ca="1"/>
        <v>Z7</v>
      </c>
      <c r="U1775" s="7" t="str">
        <f ca="1"/>
        <v>0x5018</v>
      </c>
      <c r="V1775" s="7" t="str">
        <f ca="1"/>
        <v>BurstNumber</v>
      </c>
    </row>
    <row r="1776" spans="20:22" x14ac:dyDescent="0.25">
      <c r="T1776" s="7" t="str">
        <f ca="1"/>
        <v>Z7</v>
      </c>
      <c r="U1776" s="7" t="str">
        <f ca="1"/>
        <v>0x501C</v>
      </c>
      <c r="V1776" s="7" t="str">
        <f ca="1"/>
        <v>FocusMeteringMode</v>
      </c>
    </row>
    <row r="1777" spans="20:22" x14ac:dyDescent="0.25">
      <c r="T1777" s="7" t="str">
        <f ca="1"/>
        <v>Z7</v>
      </c>
      <c r="U1777" s="7" t="str">
        <f ca="1"/>
        <v>0x501E</v>
      </c>
      <c r="V1777" s="7" t="str">
        <f ca="1"/>
        <v>Artist</v>
      </c>
    </row>
    <row r="1778" spans="20:22" x14ac:dyDescent="0.25">
      <c r="T1778" s="7" t="str">
        <f ca="1"/>
        <v>Z7</v>
      </c>
      <c r="U1778" s="7" t="str">
        <f ca="1"/>
        <v>0x501F</v>
      </c>
      <c r="V1778" s="7" t="str">
        <f ca="1"/>
        <v>Copyright</v>
      </c>
    </row>
    <row r="1779" spans="20:22" x14ac:dyDescent="0.25">
      <c r="T1779" s="7" t="str">
        <f ca="1"/>
        <v>Z7</v>
      </c>
      <c r="U1779" s="7" t="str">
        <f ca="1"/>
        <v>0xD015</v>
      </c>
      <c r="V1779" s="7" t="str">
        <f ca="1"/>
        <v>ResetShootingMenu</v>
      </c>
    </row>
    <row r="1780" spans="20:22" x14ac:dyDescent="0.25">
      <c r="T1780" s="7" t="str">
        <f ca="1"/>
        <v>Z7</v>
      </c>
      <c r="U1780" s="7" t="str">
        <f ca="1"/>
        <v>0xD016</v>
      </c>
      <c r="V1780" s="7" t="str">
        <f ca="1"/>
        <v>RawCompressionType</v>
      </c>
    </row>
    <row r="1781" spans="20:22" x14ac:dyDescent="0.25">
      <c r="T1781" s="7" t="str">
        <f ca="1"/>
        <v>Z7</v>
      </c>
      <c r="U1781" s="7" t="str">
        <f ca="1"/>
        <v>0xD017</v>
      </c>
      <c r="V1781" s="7" t="str">
        <f ca="1"/>
        <v>WbTuneAuto</v>
      </c>
    </row>
    <row r="1782" spans="20:22" x14ac:dyDescent="0.25">
      <c r="T1782" s="7" t="str">
        <f ca="1"/>
        <v>Z7</v>
      </c>
      <c r="U1782" s="7" t="str">
        <f ca="1"/>
        <v>0xD018</v>
      </c>
      <c r="V1782" s="7" t="str">
        <f ca="1"/>
        <v>WbTuneIncandescent</v>
      </c>
    </row>
    <row r="1783" spans="20:22" x14ac:dyDescent="0.25">
      <c r="T1783" s="7" t="str">
        <f ca="1"/>
        <v>Z7</v>
      </c>
      <c r="U1783" s="7" t="str">
        <f ca="1"/>
        <v>0xD019</v>
      </c>
      <c r="V1783" s="7" t="str">
        <f ca="1"/>
        <v>WbTuneFluorescent</v>
      </c>
    </row>
    <row r="1784" spans="20:22" x14ac:dyDescent="0.25">
      <c r="T1784" s="7" t="str">
        <f ca="1"/>
        <v>Z7</v>
      </c>
      <c r="U1784" s="7" t="str">
        <f ca="1"/>
        <v>0xD01A</v>
      </c>
      <c r="V1784" s="7" t="str">
        <f ca="1"/>
        <v>WbTuneSunny</v>
      </c>
    </row>
    <row r="1785" spans="20:22" x14ac:dyDescent="0.25">
      <c r="T1785" s="7" t="str">
        <f ca="1"/>
        <v>Z7</v>
      </c>
      <c r="U1785" s="7" t="str">
        <f ca="1"/>
        <v>0xD01B</v>
      </c>
      <c r="V1785" s="7" t="str">
        <f ca="1"/>
        <v>WbTuneFlash</v>
      </c>
    </row>
    <row r="1786" spans="20:22" x14ac:dyDescent="0.25">
      <c r="T1786" s="7" t="str">
        <f ca="1"/>
        <v>Z7</v>
      </c>
      <c r="U1786" s="7" t="str">
        <f ca="1"/>
        <v>0xD01C</v>
      </c>
      <c r="V1786" s="7" t="str">
        <f ca="1"/>
        <v>WbTuneCloudy</v>
      </c>
    </row>
    <row r="1787" spans="20:22" x14ac:dyDescent="0.25">
      <c r="T1787" s="7" t="str">
        <f ca="1"/>
        <v>Z7</v>
      </c>
      <c r="U1787" s="7" t="str">
        <f ca="1"/>
        <v>0xD01D</v>
      </c>
      <c r="V1787" s="7" t="str">
        <f ca="1"/>
        <v>WbTuneShade</v>
      </c>
    </row>
    <row r="1788" spans="20:22" x14ac:dyDescent="0.25">
      <c r="T1788" s="7" t="str">
        <f ca="1"/>
        <v>Z7</v>
      </c>
      <c r="U1788" s="7" t="str">
        <f ca="1"/>
        <v>0xD01E</v>
      </c>
      <c r="V1788" s="7" t="str">
        <f ca="1"/>
        <v>WbColorTemp</v>
      </c>
    </row>
    <row r="1789" spans="20:22" x14ac:dyDescent="0.25">
      <c r="T1789" s="7" t="str">
        <f ca="1"/>
        <v>Z7</v>
      </c>
      <c r="U1789" s="7" t="str">
        <f ca="1"/>
        <v>0xD01F</v>
      </c>
      <c r="V1789" s="7" t="str">
        <f ca="1"/>
        <v>WbPresetDataNo</v>
      </c>
    </row>
    <row r="1790" spans="20:22" x14ac:dyDescent="0.25">
      <c r="T1790" s="7" t="str">
        <f ca="1"/>
        <v>Z7</v>
      </c>
      <c r="U1790" s="7" t="str">
        <f ca="1"/>
        <v>0xD021</v>
      </c>
      <c r="V1790" s="7" t="str">
        <f ca="1"/>
        <v>WbPresetDataComment1</v>
      </c>
    </row>
    <row r="1791" spans="20:22" x14ac:dyDescent="0.25">
      <c r="T1791" s="7" t="str">
        <f ca="1"/>
        <v>Z7</v>
      </c>
      <c r="U1791" s="7" t="str">
        <f ca="1"/>
        <v>0xD022</v>
      </c>
      <c r="V1791" s="7" t="str">
        <f ca="1"/>
        <v>WbPresetDataComment2</v>
      </c>
    </row>
    <row r="1792" spans="20:22" x14ac:dyDescent="0.25">
      <c r="T1792" s="7" t="str">
        <f ca="1"/>
        <v>Z7</v>
      </c>
      <c r="U1792" s="7" t="str">
        <f ca="1"/>
        <v>0xD023</v>
      </c>
      <c r="V1792" s="7" t="str">
        <f ca="1"/>
        <v>WbPresetDataComment3</v>
      </c>
    </row>
    <row r="1793" spans="20:22" x14ac:dyDescent="0.25">
      <c r="T1793" s="7" t="str">
        <f ca="1"/>
        <v>Z7</v>
      </c>
      <c r="U1793" s="7" t="str">
        <f ca="1"/>
        <v>0xD024</v>
      </c>
      <c r="V1793" s="7" t="str">
        <f ca="1"/>
        <v>WbPresetDataComment4</v>
      </c>
    </row>
    <row r="1794" spans="20:22" x14ac:dyDescent="0.25">
      <c r="T1794" s="7" t="str">
        <f ca="1"/>
        <v>Z7</v>
      </c>
      <c r="U1794" s="7" t="str">
        <f ca="1"/>
        <v>0xD026</v>
      </c>
      <c r="V1794" s="7" t="str">
        <f ca="1"/>
        <v>WbPresetDataValue1</v>
      </c>
    </row>
    <row r="1795" spans="20:22" x14ac:dyDescent="0.25">
      <c r="T1795" s="7" t="str">
        <f ca="1"/>
        <v>Z7</v>
      </c>
      <c r="U1795" s="7" t="str">
        <f ca="1"/>
        <v>0xD027</v>
      </c>
      <c r="V1795" s="7" t="str">
        <f ca="1"/>
        <v>WbPresetDataValue2</v>
      </c>
    </row>
    <row r="1796" spans="20:22" x14ac:dyDescent="0.25">
      <c r="T1796" s="7" t="str">
        <f ca="1"/>
        <v>Z7</v>
      </c>
      <c r="U1796" s="7" t="str">
        <f ca="1"/>
        <v>0xD028</v>
      </c>
      <c r="V1796" s="7" t="str">
        <f ca="1"/>
        <v>WbPresetDataValue3</v>
      </c>
    </row>
    <row r="1797" spans="20:22" x14ac:dyDescent="0.25">
      <c r="T1797" s="7" t="str">
        <f ca="1"/>
        <v>Z7</v>
      </c>
      <c r="U1797" s="7" t="str">
        <f ca="1"/>
        <v>0xD029</v>
      </c>
      <c r="V1797" s="7" t="str">
        <f ca="1"/>
        <v>WbPresetDataValue4</v>
      </c>
    </row>
    <row r="1798" spans="20:22" x14ac:dyDescent="0.25">
      <c r="T1798" s="7" t="str">
        <f ca="1"/>
        <v>Z7</v>
      </c>
      <c r="U1798" s="7" t="str">
        <f ca="1"/>
        <v>0xD02E</v>
      </c>
      <c r="V1798" s="7" t="str">
        <f ca="1"/>
        <v>FmmManualSetting</v>
      </c>
    </row>
    <row r="1799" spans="20:22" x14ac:dyDescent="0.25">
      <c r="T1799" s="7" t="str">
        <f ca="1"/>
        <v>Z7</v>
      </c>
      <c r="U1799" s="7" t="str">
        <f ca="1"/>
        <v>0xD02F</v>
      </c>
      <c r="V1799" s="7" t="str">
        <f ca="1"/>
        <v>F0ManualSetting</v>
      </c>
    </row>
    <row r="1800" spans="20:22" x14ac:dyDescent="0.25">
      <c r="T1800" s="7" t="str">
        <f ca="1"/>
        <v>Z7</v>
      </c>
      <c r="U1800" s="7" t="str">
        <f ca="1"/>
        <v>0xD030</v>
      </c>
      <c r="V1800" s="7" t="str">
        <f ca="1"/>
        <v>CaptureAreaCrop</v>
      </c>
    </row>
    <row r="1801" spans="20:22" x14ac:dyDescent="0.25">
      <c r="T1801" s="7" t="str">
        <f ca="1"/>
        <v>Z7</v>
      </c>
      <c r="U1801" s="7" t="str">
        <f ca="1"/>
        <v>0xD032</v>
      </c>
      <c r="V1801" s="7" t="str">
        <f ca="1"/>
        <v>ColorSpace</v>
      </c>
    </row>
    <row r="1802" spans="20:22" x14ac:dyDescent="0.25">
      <c r="T1802" s="7" t="str">
        <f ca="1"/>
        <v>Z7</v>
      </c>
      <c r="U1802" s="7" t="str">
        <f ca="1"/>
        <v>0xD034</v>
      </c>
      <c r="V1802" s="7" t="str">
        <f ca="1"/>
        <v>DecreaseFlicker</v>
      </c>
    </row>
    <row r="1803" spans="20:22" x14ac:dyDescent="0.25">
      <c r="T1803" s="7" t="str">
        <f ca="1"/>
        <v>Z7</v>
      </c>
      <c r="U1803" s="7" t="str">
        <f ca="1"/>
        <v>0xD038</v>
      </c>
      <c r="V1803" s="7" t="str">
        <f ca="1"/>
        <v>WbPresetDataComment5</v>
      </c>
    </row>
    <row r="1804" spans="20:22" x14ac:dyDescent="0.25">
      <c r="T1804" s="7" t="str">
        <f ca="1"/>
        <v>Z7</v>
      </c>
      <c r="U1804" s="7" t="str">
        <f ca="1"/>
        <v>0xD039</v>
      </c>
      <c r="V1804" s="7" t="str">
        <f ca="1"/>
        <v>WbPresetDataComment6</v>
      </c>
    </row>
    <row r="1805" spans="20:22" x14ac:dyDescent="0.25">
      <c r="T1805" s="7" t="str">
        <f ca="1"/>
        <v>Z7</v>
      </c>
      <c r="U1805" s="7" t="str">
        <f ca="1"/>
        <v>0xD03A</v>
      </c>
      <c r="V1805" s="7" t="str">
        <f ca="1"/>
        <v>WbTunePreset5</v>
      </c>
    </row>
    <row r="1806" spans="20:22" x14ac:dyDescent="0.25">
      <c r="T1806" s="7" t="str">
        <f ca="1"/>
        <v>Z7</v>
      </c>
      <c r="U1806" s="7" t="str">
        <f ca="1"/>
        <v>0xD03B</v>
      </c>
      <c r="V1806" s="7" t="str">
        <f ca="1"/>
        <v>WbTunePreset6</v>
      </c>
    </row>
    <row r="1807" spans="20:22" x14ac:dyDescent="0.25">
      <c r="T1807" s="7" t="str">
        <f ca="1"/>
        <v>Z7</v>
      </c>
      <c r="U1807" s="7" t="str">
        <f ca="1"/>
        <v>0xD03C</v>
      </c>
      <c r="V1807" s="7" t="str">
        <f ca="1"/>
        <v>WbPresetProtect5</v>
      </c>
    </row>
    <row r="1808" spans="20:22" x14ac:dyDescent="0.25">
      <c r="T1808" s="7" t="str">
        <f ca="1"/>
        <v>Z7</v>
      </c>
      <c r="U1808" s="7" t="str">
        <f ca="1"/>
        <v>0xD03D</v>
      </c>
      <c r="V1808" s="7" t="str">
        <f ca="1"/>
        <v>WbPresetProtect6</v>
      </c>
    </row>
    <row r="1809" spans="20:22" x14ac:dyDescent="0.25">
      <c r="T1809" s="7" t="str">
        <f ca="1"/>
        <v>Z7</v>
      </c>
      <c r="U1809" s="7" t="str">
        <f ca="1"/>
        <v>0xD03E</v>
      </c>
      <c r="V1809" s="7" t="str">
        <f ca="1"/>
        <v>WbPresetDataValue5</v>
      </c>
    </row>
    <row r="1810" spans="20:22" x14ac:dyDescent="0.25">
      <c r="T1810" s="7" t="str">
        <f ca="1"/>
        <v>Z7</v>
      </c>
      <c r="U1810" s="7" t="str">
        <f ca="1"/>
        <v>0xD03F</v>
      </c>
      <c r="V1810" s="7" t="str">
        <f ca="1"/>
        <v>WbPresetDataValue6</v>
      </c>
    </row>
    <row r="1811" spans="20:22" x14ac:dyDescent="0.25">
      <c r="T1811" s="7" t="str">
        <f ca="1"/>
        <v>Z7</v>
      </c>
      <c r="U1811" s="7" t="str">
        <f ca="1"/>
        <v>0xD045</v>
      </c>
      <c r="V1811" s="7" t="str">
        <f ca="1"/>
        <v>ResetCustomSetting</v>
      </c>
    </row>
    <row r="1812" spans="20:22" x14ac:dyDescent="0.25">
      <c r="T1812" s="7" t="str">
        <f ca="1"/>
        <v>Z7</v>
      </c>
      <c r="U1812" s="7" t="str">
        <f ca="1"/>
        <v>0xD046</v>
      </c>
      <c r="V1812" s="7" t="str">
        <f ca="1"/>
        <v>AFStillLockOnAcross</v>
      </c>
    </row>
    <row r="1813" spans="20:22" x14ac:dyDescent="0.25">
      <c r="T1813" s="7" t="str">
        <f ca="1"/>
        <v>Z7</v>
      </c>
      <c r="U1813" s="7" t="str">
        <f ca="1"/>
        <v>0xD048</v>
      </c>
      <c r="V1813" s="7" t="str">
        <f ca="1"/>
        <v>DynamicAFonAFC</v>
      </c>
    </row>
    <row r="1814" spans="20:22" x14ac:dyDescent="0.25">
      <c r="T1814" s="7" t="str">
        <f ca="1"/>
        <v>Z7</v>
      </c>
      <c r="U1814" s="7" t="str">
        <f ca="1"/>
        <v>0xD049</v>
      </c>
      <c r="V1814" s="7" t="str">
        <f ca="1"/>
        <v>DynamicAFonAFS</v>
      </c>
    </row>
    <row r="1815" spans="20:22" x14ac:dyDescent="0.25">
      <c r="T1815" s="7" t="str">
        <f ca="1"/>
        <v>Z7</v>
      </c>
      <c r="U1815" s="7" t="str">
        <f ca="1"/>
        <v>0xD04F</v>
      </c>
      <c r="V1815" s="7" t="str">
        <f ca="1"/>
        <v>FocusAreaSelect</v>
      </c>
    </row>
    <row r="1816" spans="20:22" x14ac:dyDescent="0.25">
      <c r="T1816" s="7" t="str">
        <f ca="1"/>
        <v>Z7</v>
      </c>
      <c r="U1816" s="7" t="str">
        <f ca="1"/>
        <v>0xD053</v>
      </c>
      <c r="V1816" s="7" t="str">
        <f ca="1"/>
        <v>EnableCopyright</v>
      </c>
    </row>
    <row r="1817" spans="20:22" x14ac:dyDescent="0.25">
      <c r="T1817" s="7" t="str">
        <f ca="1"/>
        <v>Z7</v>
      </c>
      <c r="U1817" s="7" t="str">
        <f ca="1"/>
        <v>0xD054</v>
      </c>
      <c r="V1817" s="7" t="str">
        <f ca="1"/>
        <v>ISOAutoControl</v>
      </c>
    </row>
    <row r="1818" spans="20:22" x14ac:dyDescent="0.25">
      <c r="T1818" s="7" t="str">
        <f ca="1"/>
        <v>Z7</v>
      </c>
      <c r="U1818" s="7" t="str">
        <f ca="1"/>
        <v>0xD056</v>
      </c>
      <c r="V1818" s="7" t="str">
        <f ca="1"/>
        <v>ExposureEVStep</v>
      </c>
    </row>
    <row r="1819" spans="20:22" x14ac:dyDescent="0.25">
      <c r="T1819" s="7" t="str">
        <f ca="1"/>
        <v>Z7</v>
      </c>
      <c r="U1819" s="7" t="str">
        <f ca="1"/>
        <v>0xD059</v>
      </c>
      <c r="V1819" s="7" t="str">
        <f ca="1"/>
        <v>CenterWeightedExRange</v>
      </c>
    </row>
    <row r="1820" spans="20:22" x14ac:dyDescent="0.25">
      <c r="T1820" s="7" t="str">
        <f ca="1"/>
        <v>Z7</v>
      </c>
      <c r="U1820" s="7" t="str">
        <f ca="1"/>
        <v>0xD05A</v>
      </c>
      <c r="V1820" s="7" t="str">
        <f ca="1"/>
        <v>ExposureBaseCompMatrix</v>
      </c>
    </row>
    <row r="1821" spans="20:22" x14ac:dyDescent="0.25">
      <c r="T1821" s="7" t="str">
        <f ca="1"/>
        <v>Z7</v>
      </c>
      <c r="U1821" s="7" t="str">
        <f ca="1"/>
        <v>0xD05B</v>
      </c>
      <c r="V1821" s="7" t="str">
        <f ca="1"/>
        <v>ExposureBaseCompCenter</v>
      </c>
    </row>
    <row r="1822" spans="20:22" x14ac:dyDescent="0.25">
      <c r="T1822" s="7" t="str">
        <f ca="1"/>
        <v>Z7</v>
      </c>
      <c r="U1822" s="7" t="str">
        <f ca="1"/>
        <v>0xD05C</v>
      </c>
      <c r="V1822" s="7" t="str">
        <f ca="1"/>
        <v>ExposureBaseCompSpot</v>
      </c>
    </row>
    <row r="1823" spans="20:22" x14ac:dyDescent="0.25">
      <c r="T1823" s="7" t="str">
        <f ca="1"/>
        <v>Z7</v>
      </c>
      <c r="U1823" s="7" t="str">
        <f ca="1"/>
        <v>0xD061</v>
      </c>
      <c r="V1823" s="7" t="str">
        <f ca="1"/>
        <v>AfModeAtLiveView</v>
      </c>
    </row>
    <row r="1824" spans="20:22" x14ac:dyDescent="0.25">
      <c r="T1824" s="7" t="str">
        <f ca="1"/>
        <v>Z7</v>
      </c>
      <c r="U1824" s="7" t="str">
        <f ca="1"/>
        <v>0xD067</v>
      </c>
      <c r="V1824" s="7" t="str">
        <f ca="1"/>
        <v>AngleLevel</v>
      </c>
    </row>
    <row r="1825" spans="20:22" x14ac:dyDescent="0.25">
      <c r="T1825" s="7" t="str">
        <f ca="1"/>
        <v>Z7</v>
      </c>
      <c r="U1825" s="7" t="str">
        <f ca="1"/>
        <v>0xD068</v>
      </c>
      <c r="V1825" s="7" t="str">
        <f ca="1"/>
        <v>CSpeedLow</v>
      </c>
    </row>
    <row r="1826" spans="20:22" x14ac:dyDescent="0.25">
      <c r="T1826" s="7" t="str">
        <f ca="1"/>
        <v>Z7</v>
      </c>
      <c r="U1826" s="7" t="str">
        <f ca="1"/>
        <v>0xD069</v>
      </c>
      <c r="V1826" s="7" t="str">
        <f ca="1"/>
        <v>BurstMaxNumber</v>
      </c>
    </row>
    <row r="1827" spans="20:22" x14ac:dyDescent="0.25">
      <c r="T1827" s="7" t="str">
        <f ca="1"/>
        <v>Z7</v>
      </c>
      <c r="U1827" s="7" t="str">
        <f ca="1"/>
        <v>0xD06A</v>
      </c>
      <c r="V1827" s="7" t="str">
        <f ca="1"/>
        <v>ExposureDelay</v>
      </c>
    </row>
    <row r="1828" spans="20:22" x14ac:dyDescent="0.25">
      <c r="T1828" s="7" t="str">
        <f ca="1"/>
        <v>Z7</v>
      </c>
      <c r="U1828" s="7" t="str">
        <f ca="1"/>
        <v>0xD06B</v>
      </c>
      <c r="V1828" s="7" t="str">
        <f ca="1"/>
        <v>NoiseReduction</v>
      </c>
    </row>
    <row r="1829" spans="20:22" x14ac:dyDescent="0.25">
      <c r="T1829" s="7" t="str">
        <f ca="1"/>
        <v>Z7</v>
      </c>
      <c r="U1829" s="7" t="str">
        <f ca="1"/>
        <v>0xD06C</v>
      </c>
      <c r="V1829" s="7" t="str">
        <f ca="1"/>
        <v>NumberingMode</v>
      </c>
    </row>
    <row r="1830" spans="20:22" x14ac:dyDescent="0.25">
      <c r="T1830" s="7" t="str">
        <f ca="1"/>
        <v>Z7</v>
      </c>
      <c r="U1830" s="7" t="str">
        <f ca="1"/>
        <v>0xD070</v>
      </c>
      <c r="V1830" s="7" t="str">
        <f ca="1"/>
        <v>NoiseReductionHiIso</v>
      </c>
    </row>
    <row r="1831" spans="20:22" x14ac:dyDescent="0.25">
      <c r="T1831" s="7" t="str">
        <f ca="1"/>
        <v>Z7</v>
      </c>
      <c r="U1831" s="7" t="str">
        <f ca="1"/>
        <v>0xD072</v>
      </c>
      <c r="V1831" s="7" t="str">
        <f ca="1"/>
        <v>ArtistV</v>
      </c>
    </row>
    <row r="1832" spans="20:22" x14ac:dyDescent="0.25">
      <c r="T1832" s="7" t="str">
        <f ca="1"/>
        <v>Z7</v>
      </c>
      <c r="U1832" s="7" t="str">
        <f ca="1"/>
        <v>0xD073</v>
      </c>
      <c r="V1832" s="7" t="str">
        <f ca="1"/>
        <v>CopyrightV</v>
      </c>
    </row>
    <row r="1833" spans="20:22" x14ac:dyDescent="0.25">
      <c r="T1833" s="7" t="str">
        <f ca="1"/>
        <v>Z7</v>
      </c>
      <c r="U1833" s="7" t="str">
        <f ca="1"/>
        <v>0xD074</v>
      </c>
      <c r="V1833" s="7" t="str">
        <f ca="1"/>
        <v>FlashSyncSpeed</v>
      </c>
    </row>
    <row r="1834" spans="20:22" x14ac:dyDescent="0.25">
      <c r="T1834" s="7" t="str">
        <f ca="1"/>
        <v>Z7</v>
      </c>
      <c r="U1834" s="7" t="str">
        <f ca="1"/>
        <v>0xD075</v>
      </c>
      <c r="V1834" s="7" t="str">
        <f ca="1"/>
        <v>FlashSlowSpeedLimit</v>
      </c>
    </row>
    <row r="1835" spans="20:22" x14ac:dyDescent="0.25">
      <c r="T1835" s="7" t="str">
        <f ca="1"/>
        <v>Z7</v>
      </c>
      <c r="U1835" s="7" t="str">
        <f ca="1"/>
        <v>0xD078</v>
      </c>
      <c r="V1835" s="7" t="str">
        <f ca="1"/>
        <v>BracketingType</v>
      </c>
    </row>
    <row r="1836" spans="20:22" x14ac:dyDescent="0.25">
      <c r="T1836" s="7" t="str">
        <f ca="1"/>
        <v>Z7</v>
      </c>
      <c r="U1836" s="7" t="str">
        <f ca="1"/>
        <v>0xD079</v>
      </c>
      <c r="V1836" s="7" t="str">
        <f ca="1"/>
        <v>SelectBracketChangeFactor</v>
      </c>
    </row>
    <row r="1837" spans="20:22" x14ac:dyDescent="0.25">
      <c r="T1837" s="7" t="str">
        <f ca="1"/>
        <v>Z7</v>
      </c>
      <c r="U1837" s="7" t="str">
        <f ca="1"/>
        <v>0xD07A</v>
      </c>
      <c r="V1837" s="7" t="str">
        <f ca="1"/>
        <v>BracketingOrder</v>
      </c>
    </row>
    <row r="1838" spans="20:22" x14ac:dyDescent="0.25">
      <c r="T1838" s="7" t="str">
        <f ca="1"/>
        <v>Z7</v>
      </c>
      <c r="U1838" s="7" t="str">
        <f ca="1"/>
        <v>0xD07D</v>
      </c>
      <c r="V1838" s="7" t="str">
        <f ca="1"/>
        <v>AngleLevelPitching</v>
      </c>
    </row>
    <row r="1839" spans="20:22" x14ac:dyDescent="0.25">
      <c r="T1839" s="7" t="str">
        <f ca="1"/>
        <v>Z7</v>
      </c>
      <c r="U1839" s="7" t="str">
        <f ca="1"/>
        <v>0xD07E</v>
      </c>
      <c r="V1839" s="7" t="str">
        <f ca="1"/>
        <v>AngleLevelYawing</v>
      </c>
    </row>
    <row r="1840" spans="20:22" x14ac:dyDescent="0.25">
      <c r="T1840" s="7" t="str">
        <f ca="1"/>
        <v>Z7</v>
      </c>
      <c r="U1840" s="7" t="str">
        <f ca="1"/>
        <v>0xD08A</v>
      </c>
      <c r="V1840" s="7" t="str">
        <f ca="1"/>
        <v>EnableShutter</v>
      </c>
    </row>
    <row r="1841" spans="20:22" x14ac:dyDescent="0.25">
      <c r="T1841" s="7" t="str">
        <f ca="1"/>
        <v>Z7</v>
      </c>
      <c r="U1841" s="7" t="str">
        <f ca="1"/>
        <v>0xD08D</v>
      </c>
      <c r="V1841" s="7" t="str">
        <f ca="1"/>
        <v>EnableAFAreaPoint</v>
      </c>
    </row>
    <row r="1842" spans="20:22" x14ac:dyDescent="0.25">
      <c r="T1842" s="7" t="str">
        <f ca="1"/>
        <v>Z7</v>
      </c>
      <c r="U1842" s="7" t="str">
        <f ca="1"/>
        <v>0xD08F</v>
      </c>
      <c r="V1842" s="7" t="str">
        <f ca="1"/>
        <v>ImageSensorCleaning</v>
      </c>
    </row>
    <row r="1843" spans="20:22" x14ac:dyDescent="0.25">
      <c r="T1843" s="7" t="str">
        <f ca="1"/>
        <v>Z7</v>
      </c>
      <c r="U1843" s="7" t="str">
        <f ca="1"/>
        <v>0xD090</v>
      </c>
      <c r="V1843" s="7" t="str">
        <f ca="1"/>
        <v>CommentString</v>
      </c>
    </row>
    <row r="1844" spans="20:22" x14ac:dyDescent="0.25">
      <c r="T1844" s="7" t="str">
        <f ca="1"/>
        <v>Z7</v>
      </c>
      <c r="U1844" s="7" t="str">
        <f ca="1"/>
        <v>0xD091</v>
      </c>
      <c r="V1844" s="7" t="str">
        <f ca="1"/>
        <v>EnableComment</v>
      </c>
    </row>
    <row r="1845" spans="20:22" x14ac:dyDescent="0.25">
      <c r="T1845" s="7" t="str">
        <f ca="1"/>
        <v>Z7</v>
      </c>
      <c r="U1845" s="7" t="str">
        <f ca="1"/>
        <v>0xD093</v>
      </c>
      <c r="V1845" s="7" t="str">
        <f ca="1"/>
        <v>ManualSettingLensNo</v>
      </c>
    </row>
    <row r="1846" spans="20:22" x14ac:dyDescent="0.25">
      <c r="T1846" s="7" t="str">
        <f ca="1"/>
        <v>Z7</v>
      </c>
      <c r="U1846" s="7" t="str">
        <f ca="1"/>
        <v>0xD09C</v>
      </c>
      <c r="V1846" s="7" t="str">
        <f ca="1"/>
        <v>RetractableLensWarning</v>
      </c>
    </row>
    <row r="1847" spans="20:22" x14ac:dyDescent="0.25">
      <c r="T1847" s="7" t="str">
        <f ca="1"/>
        <v>Z7</v>
      </c>
      <c r="U1847" s="7" t="str">
        <f ca="1"/>
        <v>0xD09D</v>
      </c>
      <c r="V1847" s="7" t="str">
        <f ca="1"/>
        <v>FaceDetection</v>
      </c>
    </row>
    <row r="1848" spans="20:22" x14ac:dyDescent="0.25">
      <c r="T1848" s="7" t="str">
        <f ca="1"/>
        <v>Z7</v>
      </c>
      <c r="U1848" s="7" t="str">
        <f ca="1"/>
        <v>0xD0A0</v>
      </c>
      <c r="V1848" s="7" t="str">
        <f ca="1"/>
        <v>MovieRecordScreenSize</v>
      </c>
    </row>
    <row r="1849" spans="20:22" x14ac:dyDescent="0.25">
      <c r="T1849" s="7" t="str">
        <f ca="1"/>
        <v>Z7</v>
      </c>
      <c r="U1849" s="7" t="str">
        <f ca="1"/>
        <v>0xD0A2</v>
      </c>
      <c r="V1849" s="7" t="str">
        <f ca="1"/>
        <v>MovieRecordMicrophoneLevel</v>
      </c>
    </row>
    <row r="1850" spans="20:22" x14ac:dyDescent="0.25">
      <c r="T1850" s="7" t="str">
        <f ca="1"/>
        <v>Z7</v>
      </c>
      <c r="U1850" s="7" t="str">
        <f ca="1"/>
        <v>0xD0A4</v>
      </c>
      <c r="V1850" s="7" t="str">
        <f ca="1"/>
        <v>MovieRecProhibitionCondition</v>
      </c>
    </row>
    <row r="1851" spans="20:22" x14ac:dyDescent="0.25">
      <c r="T1851" s="7" t="str">
        <f ca="1"/>
        <v>Z7</v>
      </c>
      <c r="U1851" s="7" t="str">
        <f ca="1"/>
        <v>0xD0A7</v>
      </c>
      <c r="V1851" s="7" t="str">
        <f ca="1"/>
        <v>MovieRecordQuality</v>
      </c>
    </row>
    <row r="1852" spans="20:22" x14ac:dyDescent="0.25">
      <c r="T1852" s="7" t="str">
        <f ca="1"/>
        <v>Z7</v>
      </c>
      <c r="U1852" s="7" t="str">
        <f ca="1"/>
        <v>0xD0A8</v>
      </c>
      <c r="V1852" s="7" t="str">
        <f ca="1"/>
        <v>MovieRecordMicrophoneLevelValue</v>
      </c>
    </row>
    <row r="1853" spans="20:22" x14ac:dyDescent="0.25">
      <c r="T1853" s="7" t="str">
        <f ca="1"/>
        <v>Z7</v>
      </c>
      <c r="U1853" s="7" t="str">
        <f ca="1"/>
        <v>0xD0AA</v>
      </c>
      <c r="V1853" s="7" t="str">
        <f ca="1"/>
        <v>MovieWindNoiseReduction</v>
      </c>
    </row>
    <row r="1854" spans="20:22" x14ac:dyDescent="0.25">
      <c r="T1854" s="7" t="str">
        <f ca="1"/>
        <v>Z7</v>
      </c>
      <c r="U1854" s="7" t="str">
        <f ca="1"/>
        <v>0xD0AC</v>
      </c>
      <c r="V1854" s="7" t="str">
        <f ca="1"/>
        <v>MovieRecordingZone</v>
      </c>
    </row>
    <row r="1855" spans="20:22" x14ac:dyDescent="0.25">
      <c r="T1855" s="7" t="str">
        <f ca="1"/>
        <v>Z7</v>
      </c>
      <c r="U1855" s="7" t="str">
        <f ca="1"/>
        <v>0xD0AD</v>
      </c>
      <c r="V1855" s="7" t="str">
        <f ca="1"/>
        <v>MovieISOAutoControl</v>
      </c>
    </row>
    <row r="1856" spans="20:22" x14ac:dyDescent="0.25">
      <c r="T1856" s="7" t="str">
        <f ca="1"/>
        <v>Z7</v>
      </c>
      <c r="U1856" s="7" t="str">
        <f ca="1"/>
        <v>0xD0AE</v>
      </c>
      <c r="V1856" s="7" t="str">
        <f ca="1"/>
        <v>MovieISOAutoHighLimit</v>
      </c>
    </row>
    <row r="1857" spans="20:22" x14ac:dyDescent="0.25">
      <c r="T1857" s="7" t="str">
        <f ca="1"/>
        <v>Z7</v>
      </c>
      <c r="U1857" s="7" t="str">
        <f ca="1"/>
        <v>0xD0AF</v>
      </c>
      <c r="V1857" s="7" t="str">
        <f ca="1"/>
        <v>MovieFileType</v>
      </c>
    </row>
    <row r="1858" spans="20:22" x14ac:dyDescent="0.25">
      <c r="T1858" s="7" t="str">
        <f ca="1"/>
        <v>Z7</v>
      </c>
      <c r="U1858" s="7" t="str">
        <f ca="1"/>
        <v>0xD0B4</v>
      </c>
      <c r="V1858" s="7" t="str">
        <f ca="1"/>
        <v>ExposureIndexEx</v>
      </c>
    </row>
    <row r="1859" spans="20:22" x14ac:dyDescent="0.25">
      <c r="T1859" s="7" t="str">
        <f ca="1"/>
        <v>Z7</v>
      </c>
      <c r="U1859" s="7" t="str">
        <f ca="1"/>
        <v>0xD0B5</v>
      </c>
      <c r="V1859" s="7" t="str">
        <f ca="1"/>
        <v>ISOControlSensitivity</v>
      </c>
    </row>
    <row r="1860" spans="20:22" x14ac:dyDescent="0.25">
      <c r="T1860" s="7" t="str">
        <f ca="1"/>
        <v>Z7</v>
      </c>
      <c r="U1860" s="7" t="str">
        <f ca="1"/>
        <v>0xD0B6</v>
      </c>
      <c r="V1860" s="7" t="str">
        <f ca="1"/>
        <v>RawImageSize</v>
      </c>
    </row>
    <row r="1861" spans="20:22" x14ac:dyDescent="0.25">
      <c r="T1861" s="7" t="str">
        <f ca="1"/>
        <v>Z7</v>
      </c>
      <c r="U1861" s="7" t="str">
        <f ca="1"/>
        <v>0xD0B7</v>
      </c>
      <c r="V1861" s="7" t="str">
        <f ca="1"/>
        <v>FlickerReductionSetting</v>
      </c>
    </row>
    <row r="1862" spans="20:22" x14ac:dyDescent="0.25">
      <c r="T1862" s="7" t="str">
        <f ca="1"/>
        <v>Z7</v>
      </c>
      <c r="U1862" s="7" t="str">
        <f ca="1"/>
        <v>0xD0BA</v>
      </c>
      <c r="V1862" s="7" t="str">
        <f ca="1"/>
        <v>DiffractionCompensation</v>
      </c>
    </row>
    <row r="1863" spans="20:22" x14ac:dyDescent="0.25">
      <c r="T1863" s="7" t="str">
        <f ca="1"/>
        <v>Z7</v>
      </c>
      <c r="U1863" s="7" t="str">
        <f ca="1"/>
        <v>0xD0BB</v>
      </c>
      <c r="V1863" s="7" t="str">
        <f ca="1"/>
        <v>MovieLogOutput</v>
      </c>
    </row>
    <row r="1864" spans="20:22" x14ac:dyDescent="0.25">
      <c r="T1864" s="7" t="str">
        <f ca="1"/>
        <v>Z7</v>
      </c>
      <c r="U1864" s="7" t="str">
        <f ca="1"/>
        <v>0xD0BC</v>
      </c>
      <c r="V1864" s="7" t="str">
        <f ca="1"/>
        <v>MovieAutoDistortion</v>
      </c>
    </row>
    <row r="1865" spans="20:22" x14ac:dyDescent="0.25">
      <c r="T1865" s="7" t="str">
        <f ca="1"/>
        <v>Z7</v>
      </c>
      <c r="U1865" s="7" t="str">
        <f ca="1"/>
        <v>0xD0BF</v>
      </c>
      <c r="V1865" s="7" t="str">
        <f ca="1"/>
        <v>MovieLogSetting</v>
      </c>
    </row>
    <row r="1866" spans="20:22" x14ac:dyDescent="0.25">
      <c r="T1866" s="7" t="str">
        <f ca="1"/>
        <v>Z7</v>
      </c>
      <c r="U1866" s="7" t="str">
        <f ca="1"/>
        <v>0xD0C0</v>
      </c>
      <c r="V1866" s="7" t="str">
        <f ca="1"/>
        <v>EnableBracketing</v>
      </c>
    </row>
    <row r="1867" spans="20:22" x14ac:dyDescent="0.25">
      <c r="T1867" s="7" t="str">
        <f ca="1"/>
        <v>Z7</v>
      </c>
      <c r="U1867" s="7" t="str">
        <f ca="1"/>
        <v>0xD0C1</v>
      </c>
      <c r="V1867" s="7" t="str">
        <f ca="1"/>
        <v>AEBracketingStep</v>
      </c>
    </row>
    <row r="1868" spans="20:22" x14ac:dyDescent="0.25">
      <c r="T1868" s="7" t="str">
        <f ca="1"/>
        <v>Z7</v>
      </c>
      <c r="U1868" s="7" t="str">
        <f ca="1"/>
        <v>0xD0C2</v>
      </c>
      <c r="V1868" s="7" t="str">
        <f ca="1"/>
        <v>AEBracketingPattern</v>
      </c>
    </row>
    <row r="1869" spans="20:22" x14ac:dyDescent="0.25">
      <c r="T1869" s="7" t="str">
        <f ca="1"/>
        <v>Z7</v>
      </c>
      <c r="U1869" s="7" t="str">
        <f ca="1"/>
        <v>0xD0C3</v>
      </c>
      <c r="V1869" s="7" t="str">
        <f ca="1"/>
        <v>AEBracketingCount</v>
      </c>
    </row>
    <row r="1870" spans="20:22" x14ac:dyDescent="0.25">
      <c r="T1870" s="7" t="str">
        <f ca="1"/>
        <v>Z7</v>
      </c>
      <c r="U1870" s="7" t="str">
        <f ca="1"/>
        <v>0xD0C4</v>
      </c>
      <c r="V1870" s="7" t="str">
        <f ca="1"/>
        <v>WBBracketingStep</v>
      </c>
    </row>
    <row r="1871" spans="20:22" x14ac:dyDescent="0.25">
      <c r="T1871" s="7" t="str">
        <f ca="1"/>
        <v>Z7</v>
      </c>
      <c r="U1871" s="7" t="str">
        <f ca="1"/>
        <v>0xD0C5</v>
      </c>
      <c r="V1871" s="7" t="str">
        <f ca="1"/>
        <v>WBBracketingPattern</v>
      </c>
    </row>
    <row r="1872" spans="20:22" x14ac:dyDescent="0.25">
      <c r="T1872" s="7" t="str">
        <f ca="1"/>
        <v>Z7</v>
      </c>
      <c r="U1872" s="7" t="str">
        <f ca="1"/>
        <v>0xD0C6</v>
      </c>
      <c r="V1872" s="7" t="str">
        <f ca="1"/>
        <v>ADLBracketingPattern</v>
      </c>
    </row>
    <row r="1873" spans="20:22" x14ac:dyDescent="0.25">
      <c r="T1873" s="7" t="str">
        <f ca="1"/>
        <v>Z7</v>
      </c>
      <c r="U1873" s="7" t="str">
        <f ca="1"/>
        <v>0xD0C7</v>
      </c>
      <c r="V1873" s="7" t="str">
        <f ca="1"/>
        <v>ADLBracketingStep</v>
      </c>
    </row>
    <row r="1874" spans="20:22" x14ac:dyDescent="0.25">
      <c r="T1874" s="7" t="str">
        <f ca="1"/>
        <v>Z7</v>
      </c>
      <c r="U1874" s="7" t="str">
        <f ca="1"/>
        <v>0xD0CC</v>
      </c>
      <c r="V1874" s="7" t="str">
        <f ca="1"/>
        <v>HDMIOutputDataDepth</v>
      </c>
    </row>
    <row r="1875" spans="20:22" x14ac:dyDescent="0.25">
      <c r="T1875" s="7" t="str">
        <f ca="1"/>
        <v>Z7</v>
      </c>
      <c r="U1875" s="7" t="str">
        <f ca="1"/>
        <v>0xD0CD</v>
      </c>
      <c r="V1875" s="7" t="str">
        <f ca="1"/>
        <v>SaveFocusPosition</v>
      </c>
    </row>
    <row r="1876" spans="20:22" x14ac:dyDescent="0.25">
      <c r="T1876" s="7" t="str">
        <f ca="1"/>
        <v>Z7</v>
      </c>
      <c r="U1876" s="7" t="str">
        <f ca="1"/>
        <v>0xD0E0</v>
      </c>
      <c r="V1876" s="7" t="str">
        <f ca="1"/>
        <v>LensID</v>
      </c>
    </row>
    <row r="1877" spans="20:22" x14ac:dyDescent="0.25">
      <c r="T1877" s="7" t="str">
        <f ca="1"/>
        <v>Z7</v>
      </c>
      <c r="U1877" s="7" t="str">
        <f ca="1"/>
        <v>0xD0E1</v>
      </c>
      <c r="V1877" s="7" t="str">
        <f ca="1"/>
        <v>LensSort</v>
      </c>
    </row>
    <row r="1878" spans="20:22" x14ac:dyDescent="0.25">
      <c r="T1878" s="7" t="str">
        <f ca="1"/>
        <v>Z7</v>
      </c>
      <c r="U1878" s="7" t="str">
        <f ca="1"/>
        <v>0xD0E2</v>
      </c>
      <c r="V1878" s="7" t="str">
        <f ca="1"/>
        <v>LensTypeF</v>
      </c>
    </row>
    <row r="1879" spans="20:22" x14ac:dyDescent="0.25">
      <c r="T1879" s="7" t="str">
        <f ca="1"/>
        <v>Z7</v>
      </c>
      <c r="U1879" s="7" t="str">
        <f ca="1"/>
        <v>0xD0E3</v>
      </c>
      <c r="V1879" s="7" t="str">
        <f ca="1"/>
        <v>LensFocalMin</v>
      </c>
    </row>
    <row r="1880" spans="20:22" x14ac:dyDescent="0.25">
      <c r="T1880" s="7" t="str">
        <f ca="1"/>
        <v>Z7</v>
      </c>
      <c r="U1880" s="7" t="str">
        <f ca="1"/>
        <v>0xD0E4</v>
      </c>
      <c r="V1880" s="7" t="str">
        <f ca="1"/>
        <v>LensFocalMax</v>
      </c>
    </row>
    <row r="1881" spans="20:22" x14ac:dyDescent="0.25">
      <c r="T1881" s="7" t="str">
        <f ca="1"/>
        <v>Z7</v>
      </c>
      <c r="U1881" s="7" t="str">
        <f ca="1"/>
        <v>0xD0E5</v>
      </c>
      <c r="V1881" s="7" t="str">
        <f ca="1"/>
        <v>LensApatureMin</v>
      </c>
    </row>
    <row r="1882" spans="20:22" x14ac:dyDescent="0.25">
      <c r="T1882" s="7" t="str">
        <f ca="1"/>
        <v>Z7</v>
      </c>
      <c r="U1882" s="7" t="str">
        <f ca="1"/>
        <v>0xD0E6</v>
      </c>
      <c r="V1882" s="7" t="str">
        <f ca="1"/>
        <v>LensApatureMax</v>
      </c>
    </row>
    <row r="1883" spans="20:22" x14ac:dyDescent="0.25">
      <c r="T1883" s="7" t="str">
        <f ca="1"/>
        <v>Z7</v>
      </c>
      <c r="U1883" s="7" t="str">
        <f ca="1"/>
        <v>0xD0E7</v>
      </c>
      <c r="V1883" s="7" t="str">
        <f ca="1"/>
        <v>LensTypeML</v>
      </c>
    </row>
    <row r="1884" spans="20:22" x14ac:dyDescent="0.25">
      <c r="T1884" s="7" t="str">
        <f ca="1"/>
        <v>Z7</v>
      </c>
      <c r="U1884" s="7" t="str">
        <f ca="1"/>
        <v>0xD0F7</v>
      </c>
      <c r="V1884" s="7" t="str">
        <f ca="1"/>
        <v>VignetteControl</v>
      </c>
    </row>
    <row r="1885" spans="20:22" x14ac:dyDescent="0.25">
      <c r="T1885" s="7" t="str">
        <f ca="1"/>
        <v>Z7</v>
      </c>
      <c r="U1885" s="7" t="str">
        <f ca="1"/>
        <v>0xD0F8</v>
      </c>
      <c r="V1885" s="7" t="str">
        <f ca="1"/>
        <v>AutoDistortion</v>
      </c>
    </row>
    <row r="1886" spans="20:22" x14ac:dyDescent="0.25">
      <c r="T1886" s="7" t="str">
        <f ca="1"/>
        <v>Z7</v>
      </c>
      <c r="U1886" s="7" t="str">
        <f ca="1"/>
        <v>0xD0FC</v>
      </c>
      <c r="V1886" s="7" t="str">
        <f ca="1"/>
        <v>UserMode</v>
      </c>
    </row>
    <row r="1887" spans="20:22" x14ac:dyDescent="0.25">
      <c r="T1887" s="7" t="str">
        <f ca="1"/>
        <v>Z7</v>
      </c>
      <c r="U1887" s="7" t="str">
        <f ca="1"/>
        <v>0xD100</v>
      </c>
      <c r="V1887" s="7" t="str">
        <f ca="1"/>
        <v>ShutterSpeed</v>
      </c>
    </row>
    <row r="1888" spans="20:22" x14ac:dyDescent="0.25">
      <c r="T1888" s="7" t="str">
        <f ca="1"/>
        <v>Z7</v>
      </c>
      <c r="U1888" s="7" t="str">
        <f ca="1"/>
        <v>0xD101</v>
      </c>
      <c r="V1888" s="7" t="str">
        <f ca="1"/>
        <v>ExternalDC</v>
      </c>
    </row>
    <row r="1889" spans="20:22" x14ac:dyDescent="0.25">
      <c r="T1889" s="7" t="str">
        <f ca="1"/>
        <v>Z7</v>
      </c>
      <c r="U1889" s="7" t="str">
        <f ca="1"/>
        <v>0xD102</v>
      </c>
      <c r="V1889" s="7" t="str">
        <f ca="1"/>
        <v>WarningStatus</v>
      </c>
    </row>
    <row r="1890" spans="20:22" x14ac:dyDescent="0.25">
      <c r="T1890" s="7" t="str">
        <f ca="1"/>
        <v>Z7</v>
      </c>
      <c r="U1890" s="7" t="str">
        <f ca="1"/>
        <v>0xD104</v>
      </c>
      <c r="V1890" s="7" t="str">
        <f ca="1"/>
        <v>AFLockStatus</v>
      </c>
    </row>
    <row r="1891" spans="20:22" x14ac:dyDescent="0.25">
      <c r="T1891" s="7" t="str">
        <f ca="1"/>
        <v>Z7</v>
      </c>
      <c r="U1891" s="7" t="str">
        <f ca="1"/>
        <v>0xD105</v>
      </c>
      <c r="V1891" s="7" t="str">
        <f ca="1"/>
        <v>AELockStatus</v>
      </c>
    </row>
    <row r="1892" spans="20:22" x14ac:dyDescent="0.25">
      <c r="T1892" s="7" t="str">
        <f ca="1"/>
        <v>Z7</v>
      </c>
      <c r="U1892" s="7" t="str">
        <f ca="1"/>
        <v>0xD106</v>
      </c>
      <c r="V1892" s="7" t="str">
        <f ca="1"/>
        <v>FVLockStatus</v>
      </c>
    </row>
    <row r="1893" spans="20:22" x14ac:dyDescent="0.25">
      <c r="T1893" s="7" t="str">
        <f ca="1"/>
        <v>Z7</v>
      </c>
      <c r="U1893" s="7" t="str">
        <f ca="1"/>
        <v>0xD109</v>
      </c>
      <c r="V1893" s="7" t="str">
        <f ca="1"/>
        <v>FlexibleProgram</v>
      </c>
    </row>
    <row r="1894" spans="20:22" x14ac:dyDescent="0.25">
      <c r="T1894" s="7" t="str">
        <f ca="1"/>
        <v>Z7</v>
      </c>
      <c r="U1894" s="7" t="str">
        <f ca="1"/>
        <v>0xD10B</v>
      </c>
      <c r="V1894" s="7" t="str">
        <f ca="1"/>
        <v>RecordingMedia</v>
      </c>
    </row>
    <row r="1895" spans="20:22" x14ac:dyDescent="0.25">
      <c r="T1895" s="7" t="str">
        <f ca="1"/>
        <v>Z7</v>
      </c>
      <c r="U1895" s="7" t="str">
        <f ca="1"/>
        <v>0xD10C</v>
      </c>
      <c r="V1895" s="7" t="str">
        <f ca="1"/>
        <v>USBSpeed</v>
      </c>
    </row>
    <row r="1896" spans="20:22" x14ac:dyDescent="0.25">
      <c r="T1896" s="7" t="str">
        <f ca="1"/>
        <v>Z7</v>
      </c>
      <c r="U1896" s="7" t="str">
        <f ca="1"/>
        <v>0xD10E</v>
      </c>
      <c r="V1896" s="7" t="str">
        <f ca="1"/>
        <v>Orientation</v>
      </c>
    </row>
    <row r="1897" spans="20:22" x14ac:dyDescent="0.25">
      <c r="T1897" s="7" t="str">
        <f ca="1"/>
        <v>Z7</v>
      </c>
      <c r="U1897" s="7" t="str">
        <f ca="1"/>
        <v>0xD112</v>
      </c>
      <c r="V1897" s="7" t="str">
        <f ca="1"/>
        <v>TVLockSetting</v>
      </c>
    </row>
    <row r="1898" spans="20:22" x14ac:dyDescent="0.25">
      <c r="T1898" s="7" t="str">
        <f ca="1"/>
        <v>Z7</v>
      </c>
      <c r="U1898" s="7" t="str">
        <f ca="1"/>
        <v>0xD113</v>
      </c>
      <c r="V1898" s="7" t="str">
        <f ca="1"/>
        <v>AVLockSetting</v>
      </c>
    </row>
    <row r="1899" spans="20:22" x14ac:dyDescent="0.25">
      <c r="T1899" s="7" t="str">
        <f ca="1"/>
        <v>Z7</v>
      </c>
      <c r="U1899" s="7" t="str">
        <f ca="1"/>
        <v>0xD118</v>
      </c>
      <c r="V1899" s="7" t="str">
        <f ca="1"/>
        <v>ExposureCompFlashUsed</v>
      </c>
    </row>
    <row r="1900" spans="20:22" x14ac:dyDescent="0.25">
      <c r="T1900" s="7" t="str">
        <f ca="1"/>
        <v>Z7</v>
      </c>
      <c r="U1900" s="7" t="str">
        <f ca="1"/>
        <v>0xD120</v>
      </c>
      <c r="V1900" s="7" t="str">
        <f ca="1"/>
        <v>ExternalSpeedLightExist</v>
      </c>
    </row>
    <row r="1901" spans="20:22" x14ac:dyDescent="0.25">
      <c r="T1901" s="7" t="str">
        <f ca="1"/>
        <v>Z7</v>
      </c>
      <c r="U1901" s="7" t="str">
        <f ca="1"/>
        <v>0xD121</v>
      </c>
      <c r="V1901" s="7" t="str">
        <f ca="1"/>
        <v>ExternalSpeedLightStatus</v>
      </c>
    </row>
    <row r="1902" spans="20:22" x14ac:dyDescent="0.25">
      <c r="T1902" s="7" t="str">
        <f ca="1"/>
        <v>Z7</v>
      </c>
      <c r="U1902" s="7" t="str">
        <f ca="1"/>
        <v>0xD122</v>
      </c>
      <c r="V1902" s="7" t="str">
        <f ca="1"/>
        <v>ExternalSpeedLightSort</v>
      </c>
    </row>
    <row r="1903" spans="20:22" x14ac:dyDescent="0.25">
      <c r="T1903" s="7" t="str">
        <f ca="1"/>
        <v>Z7</v>
      </c>
      <c r="U1903" s="7" t="str">
        <f ca="1"/>
        <v>0xD124</v>
      </c>
      <c r="V1903" s="7" t="str">
        <f ca="1"/>
        <v>FlashCompensation</v>
      </c>
    </row>
    <row r="1904" spans="20:22" x14ac:dyDescent="0.25">
      <c r="T1904" s="7" t="str">
        <f ca="1"/>
        <v>Z7</v>
      </c>
      <c r="U1904" s="7" t="str">
        <f ca="1"/>
        <v>0xD125</v>
      </c>
      <c r="V1904" s="7" t="str">
        <f ca="1"/>
        <v>NewExternalSpeedLightMode</v>
      </c>
    </row>
    <row r="1905" spans="20:22" x14ac:dyDescent="0.25">
      <c r="T1905" s="7" t="str">
        <f ca="1"/>
        <v>Z7</v>
      </c>
      <c r="U1905" s="7" t="str">
        <f ca="1"/>
        <v>0xD126</v>
      </c>
      <c r="V1905" s="7" t="str">
        <f ca="1"/>
        <v>InternalFlashCompensation</v>
      </c>
    </row>
    <row r="1906" spans="20:22" x14ac:dyDescent="0.25">
      <c r="T1906" s="7" t="str">
        <f ca="1"/>
        <v>Z7</v>
      </c>
      <c r="U1906" s="7" t="str">
        <f ca="1"/>
        <v>0xD12D</v>
      </c>
      <c r="V1906" s="7" t="str">
        <f ca="1"/>
        <v>ExternalSpeedLightMultiFlashMode</v>
      </c>
    </row>
    <row r="1907" spans="20:22" x14ac:dyDescent="0.25">
      <c r="T1907" s="7" t="str">
        <f ca="1"/>
        <v>Z7</v>
      </c>
      <c r="U1907" s="7" t="str">
        <f ca="1"/>
        <v>0xD12E</v>
      </c>
      <c r="V1907" s="7" t="str">
        <f ca="1"/>
        <v>ConnectionPath</v>
      </c>
    </row>
    <row r="1908" spans="20:22" x14ac:dyDescent="0.25">
      <c r="T1908" s="7" t="str">
        <f ca="1"/>
        <v>Z7</v>
      </c>
      <c r="U1908" s="7" t="str">
        <f ca="1"/>
        <v>0xD130</v>
      </c>
      <c r="V1908" s="7" t="str">
        <f ca="1"/>
        <v>HDRMode</v>
      </c>
    </row>
    <row r="1909" spans="20:22" x14ac:dyDescent="0.25">
      <c r="T1909" s="7" t="str">
        <f ca="1"/>
        <v>Z7</v>
      </c>
      <c r="U1909" s="7" t="str">
        <f ca="1"/>
        <v>0xD131</v>
      </c>
      <c r="V1909" s="7" t="str">
        <f ca="1"/>
        <v>HDREv</v>
      </c>
    </row>
    <row r="1910" spans="20:22" x14ac:dyDescent="0.25">
      <c r="T1910" s="7" t="str">
        <f ca="1"/>
        <v>Z7</v>
      </c>
      <c r="U1910" s="7" t="str">
        <f ca="1"/>
        <v>0xD132</v>
      </c>
      <c r="V1910" s="7" t="str">
        <f ca="1"/>
        <v>HDRSmoothing</v>
      </c>
    </row>
    <row r="1911" spans="20:22" x14ac:dyDescent="0.25">
      <c r="T1911" s="7" t="str">
        <f ca="1"/>
        <v>Z7</v>
      </c>
      <c r="U1911" s="7" t="str">
        <f ca="1"/>
        <v>0xD133</v>
      </c>
      <c r="V1911" s="7" t="str">
        <f ca="1"/>
        <v>HDRSaveIndividualImages</v>
      </c>
    </row>
    <row r="1912" spans="20:22" x14ac:dyDescent="0.25">
      <c r="T1912" s="7" t="str">
        <f ca="1"/>
        <v>Z7</v>
      </c>
      <c r="U1912" s="7" t="str">
        <f ca="1"/>
        <v>0xD138</v>
      </c>
      <c r="V1912" s="7" t="str">
        <f ca="1"/>
        <v>VibrationReduction</v>
      </c>
    </row>
    <row r="1913" spans="20:22" x14ac:dyDescent="0.25">
      <c r="T1913" s="7" t="str">
        <f ca="1"/>
        <v>Z7</v>
      </c>
      <c r="U1913" s="7" t="str">
        <f ca="1"/>
        <v>0xD141</v>
      </c>
      <c r="V1913" s="7" t="str">
        <f ca="1"/>
        <v>WbAutoType</v>
      </c>
    </row>
    <row r="1914" spans="20:22" x14ac:dyDescent="0.25">
      <c r="T1914" s="7" t="str">
        <f ca="1"/>
        <v>Z7</v>
      </c>
      <c r="U1914" s="7" t="str">
        <f ca="1"/>
        <v>0xD149</v>
      </c>
      <c r="V1914" s="7" t="str">
        <f ca="1"/>
        <v>RawCompressionBitMode</v>
      </c>
    </row>
    <row r="1915" spans="20:22" x14ac:dyDescent="0.25">
      <c r="T1915" s="7" t="str">
        <f ca="1"/>
        <v>Z7</v>
      </c>
      <c r="U1915" s="7" t="str">
        <f ca="1"/>
        <v>0xD14E</v>
      </c>
      <c r="V1915" s="7" t="str">
        <f ca="1"/>
        <v>Active</v>
      </c>
    </row>
    <row r="1916" spans="20:22" x14ac:dyDescent="0.25">
      <c r="T1916" s="7" t="str">
        <f ca="1"/>
        <v>Z7</v>
      </c>
      <c r="U1916" s="7" t="str">
        <f ca="1"/>
        <v>0xD14F</v>
      </c>
      <c r="V1916" s="7" t="str">
        <f ca="1"/>
        <v>WbFluorescentType</v>
      </c>
    </row>
    <row r="1917" spans="20:22" x14ac:dyDescent="0.25">
      <c r="T1917" s="7" t="str">
        <f ca="1"/>
        <v>Z7</v>
      </c>
      <c r="U1917" s="7" t="str">
        <f ca="1"/>
        <v>0xD150</v>
      </c>
      <c r="V1917" s="7" t="str">
        <f ca="1"/>
        <v>WbTuneColorTemp</v>
      </c>
    </row>
    <row r="1918" spans="20:22" x14ac:dyDescent="0.25">
      <c r="T1918" s="7" t="str">
        <f ca="1"/>
        <v>Z7</v>
      </c>
      <c r="U1918" s="7" t="str">
        <f ca="1"/>
        <v>0xD152</v>
      </c>
      <c r="V1918" s="7" t="str">
        <f ca="1"/>
        <v>WbTunePreset1</v>
      </c>
    </row>
    <row r="1919" spans="20:22" x14ac:dyDescent="0.25">
      <c r="T1919" s="7" t="str">
        <f ca="1"/>
        <v>Z7</v>
      </c>
      <c r="U1919" s="7" t="str">
        <f ca="1"/>
        <v>0xD153</v>
      </c>
      <c r="V1919" s="7" t="str">
        <f ca="1"/>
        <v>WbTunePreset2</v>
      </c>
    </row>
    <row r="1920" spans="20:22" x14ac:dyDescent="0.25">
      <c r="T1920" s="7" t="str">
        <f ca="1"/>
        <v>Z7</v>
      </c>
      <c r="U1920" s="7" t="str">
        <f ca="1"/>
        <v>0xD154</v>
      </c>
      <c r="V1920" s="7" t="str">
        <f ca="1"/>
        <v>WbTunePreset3</v>
      </c>
    </row>
    <row r="1921" spans="20:22" x14ac:dyDescent="0.25">
      <c r="T1921" s="7" t="str">
        <f ca="1"/>
        <v>Z7</v>
      </c>
      <c r="U1921" s="7" t="str">
        <f ca="1"/>
        <v>0xD155</v>
      </c>
      <c r="V1921" s="7" t="str">
        <f ca="1"/>
        <v>WbTunePreset4</v>
      </c>
    </row>
    <row r="1922" spans="20:22" x14ac:dyDescent="0.25">
      <c r="T1922" s="7" t="str">
        <f ca="1"/>
        <v>Z7</v>
      </c>
      <c r="U1922" s="7" t="str">
        <f ca="1"/>
        <v>0xD158</v>
      </c>
      <c r="V1922" s="7" t="str">
        <f ca="1"/>
        <v>WbPresetProtect1</v>
      </c>
    </row>
    <row r="1923" spans="20:22" x14ac:dyDescent="0.25">
      <c r="T1923" s="7" t="str">
        <f ca="1"/>
        <v>Z7</v>
      </c>
      <c r="U1923" s="7" t="str">
        <f ca="1"/>
        <v>0xD159</v>
      </c>
      <c r="V1923" s="7" t="str">
        <f ca="1"/>
        <v>WbPresetProtect2</v>
      </c>
    </row>
    <row r="1924" spans="20:22" x14ac:dyDescent="0.25">
      <c r="T1924" s="7" t="str">
        <f ca="1"/>
        <v>Z7</v>
      </c>
      <c r="U1924" s="7" t="str">
        <f ca="1"/>
        <v>0xD15A</v>
      </c>
      <c r="V1924" s="7" t="str">
        <f ca="1"/>
        <v>WbPresetProtect3</v>
      </c>
    </row>
    <row r="1925" spans="20:22" x14ac:dyDescent="0.25">
      <c r="T1925" s="7" t="str">
        <f ca="1"/>
        <v>Z7</v>
      </c>
      <c r="U1925" s="7" t="str">
        <f ca="1"/>
        <v>0xD15B</v>
      </c>
      <c r="V1925" s="7" t="str">
        <f ca="1"/>
        <v>ActiveFolder</v>
      </c>
    </row>
    <row r="1926" spans="20:22" x14ac:dyDescent="0.25">
      <c r="T1926" s="7" t="str">
        <f ca="1"/>
        <v>Z7</v>
      </c>
      <c r="U1926" s="7" t="str">
        <f ca="1"/>
        <v>0xD15C</v>
      </c>
      <c r="V1926" s="7" t="str">
        <f ca="1"/>
        <v>WbPresetProtect4</v>
      </c>
    </row>
    <row r="1927" spans="20:22" x14ac:dyDescent="0.25">
      <c r="T1927" s="7" t="str">
        <f ca="1"/>
        <v>Z7</v>
      </c>
      <c r="U1927" s="7" t="str">
        <f ca="1"/>
        <v>0xD15D</v>
      </c>
      <c r="V1927" s="7" t="str">
        <f ca="1"/>
        <v>WhiteBalanceReset</v>
      </c>
    </row>
    <row r="1928" spans="20:22" x14ac:dyDescent="0.25">
      <c r="T1928" s="7" t="str">
        <f ca="1"/>
        <v>Z7</v>
      </c>
      <c r="U1928" s="7" t="str">
        <f ca="1"/>
        <v>0xD15E</v>
      </c>
      <c r="V1928" s="7" t="str">
        <f ca="1"/>
        <v>WbTuneNatural</v>
      </c>
    </row>
    <row r="1929" spans="20:22" x14ac:dyDescent="0.25">
      <c r="T1929" s="7" t="str">
        <f ca="1"/>
        <v>Z7</v>
      </c>
      <c r="U1929" s="7" t="str">
        <f ca="1"/>
        <v>0xD164</v>
      </c>
      <c r="V1929" s="7" t="str">
        <f ca="1"/>
        <v>ISOAutoShutterTime</v>
      </c>
    </row>
    <row r="1930" spans="20:22" x14ac:dyDescent="0.25">
      <c r="T1930" s="7" t="str">
        <f ca="1"/>
        <v>Z7</v>
      </c>
      <c r="U1930" s="7" t="str">
        <f ca="1"/>
        <v>0xD16A</v>
      </c>
      <c r="V1930" s="7" t="str">
        <f ca="1"/>
        <v>ISOAutoSetting</v>
      </c>
    </row>
    <row r="1931" spans="20:22" x14ac:dyDescent="0.25">
      <c r="T1931" s="7" t="str">
        <f ca="1"/>
        <v>Z7</v>
      </c>
      <c r="U1931" s="7" t="str">
        <f ca="1"/>
        <v>0xD17A</v>
      </c>
      <c r="V1931" s="7" t="str">
        <f ca="1"/>
        <v>LowLightAF</v>
      </c>
    </row>
    <row r="1932" spans="20:22" x14ac:dyDescent="0.25">
      <c r="T1932" s="7" t="str">
        <f ca="1"/>
        <v>Z7</v>
      </c>
      <c r="U1932" s="7" t="str">
        <f ca="1"/>
        <v>0xD17B</v>
      </c>
      <c r="V1932" s="7" t="str">
        <f ca="1"/>
        <v>ApplyLiveViewSetting</v>
      </c>
    </row>
    <row r="1933" spans="20:22" x14ac:dyDescent="0.25">
      <c r="T1933" s="7" t="str">
        <f ca="1"/>
        <v>Z7</v>
      </c>
      <c r="U1933" s="7" t="str">
        <f ca="1"/>
        <v>0xD17C</v>
      </c>
      <c r="V1933" s="7" t="str">
        <f ca="1"/>
        <v>MovieAfSpeed</v>
      </c>
    </row>
    <row r="1934" spans="20:22" x14ac:dyDescent="0.25">
      <c r="T1934" s="7" t="str">
        <f ca="1"/>
        <v>Z7</v>
      </c>
      <c r="U1934" s="7" t="str">
        <f ca="1"/>
        <v>0xD17D</v>
      </c>
      <c r="V1934" s="7" t="str">
        <f ca="1"/>
        <v>MovieAfSpeedWhenToApply</v>
      </c>
    </row>
    <row r="1935" spans="20:22" x14ac:dyDescent="0.25">
      <c r="T1935" s="7" t="str">
        <f ca="1"/>
        <v>Z7</v>
      </c>
      <c r="U1935" s="7" t="str">
        <f ca="1"/>
        <v>0xD17E</v>
      </c>
      <c r="V1935" s="7" t="str">
        <f ca="1"/>
        <v>MovieAfTrackingSensitivity</v>
      </c>
    </row>
    <row r="1936" spans="20:22" x14ac:dyDescent="0.25">
      <c r="T1936" s="7" t="str">
        <f ca="1"/>
        <v>Z7</v>
      </c>
      <c r="U1936" s="7" t="str">
        <f ca="1"/>
        <v>0xD183</v>
      </c>
      <c r="V1936" s="7" t="str">
        <f ca="1"/>
        <v>ISOAutoHighLimit</v>
      </c>
    </row>
    <row r="1937" spans="20:22" x14ac:dyDescent="0.25">
      <c r="T1937" s="7" t="str">
        <f ca="1"/>
        <v>Z7</v>
      </c>
      <c r="U1937" s="7" t="str">
        <f ca="1"/>
        <v>0xD197</v>
      </c>
      <c r="V1937" s="7" t="str">
        <f ca="1"/>
        <v>MovieReleaseButton</v>
      </c>
    </row>
    <row r="1938" spans="20:22" x14ac:dyDescent="0.25">
      <c r="T1938" s="7" t="str">
        <f ca="1"/>
        <v>Z7</v>
      </c>
      <c r="U1938" s="7" t="str">
        <f ca="1"/>
        <v>0xD199</v>
      </c>
      <c r="V1938" s="7" t="str">
        <f ca="1"/>
        <v>FlashISOAutoHighLimit</v>
      </c>
    </row>
    <row r="1939" spans="20:22" x14ac:dyDescent="0.25">
      <c r="T1939" s="7" t="str">
        <f ca="1"/>
        <v>Z7</v>
      </c>
      <c r="U1939" s="7" t="str">
        <f ca="1"/>
        <v>0xD1A2</v>
      </c>
      <c r="V1939" s="7" t="str">
        <f ca="1"/>
        <v>RemoteLiveViewStatus</v>
      </c>
    </row>
    <row r="1940" spans="20:22" x14ac:dyDescent="0.25">
      <c r="T1940" s="7" t="str">
        <f ca="1"/>
        <v>Z7</v>
      </c>
      <c r="U1940" s="7" t="str">
        <f ca="1"/>
        <v>0xD1A4</v>
      </c>
      <c r="V1940" s="7" t="str">
        <f ca="1"/>
        <v>LiveViewProhibitionCondition</v>
      </c>
    </row>
    <row r="1941" spans="20:22" x14ac:dyDescent="0.25">
      <c r="T1941" s="7" t="str">
        <f ca="1"/>
        <v>Z7</v>
      </c>
      <c r="U1941" s="7" t="str">
        <f ca="1"/>
        <v>0xD1A6</v>
      </c>
      <c r="V1941" s="7" t="str">
        <f ca="1"/>
        <v>LiveViewSelector</v>
      </c>
    </row>
    <row r="1942" spans="20:22" x14ac:dyDescent="0.25">
      <c r="T1942" s="7" t="str">
        <f ca="1"/>
        <v>Z7</v>
      </c>
      <c r="U1942" s="7" t="str">
        <f ca="1"/>
        <v>0xD1A8</v>
      </c>
      <c r="V1942" s="7" t="str">
        <f ca="1"/>
        <v>MovieShutterSpeed</v>
      </c>
    </row>
    <row r="1943" spans="20:22" x14ac:dyDescent="0.25">
      <c r="T1943" s="7" t="str">
        <f ca="1"/>
        <v>Z7</v>
      </c>
      <c r="U1943" s="7" t="str">
        <f ca="1"/>
        <v>0xD1A9</v>
      </c>
      <c r="V1943" s="7" t="str">
        <f ca="1"/>
        <v>MovieFnumber</v>
      </c>
    </row>
    <row r="1944" spans="20:22" x14ac:dyDescent="0.25">
      <c r="T1944" s="7" t="str">
        <f ca="1"/>
        <v>Z7</v>
      </c>
      <c r="U1944" s="7" t="str">
        <f ca="1"/>
        <v>0xD1AA</v>
      </c>
      <c r="V1944" s="7" t="str">
        <f ca="1"/>
        <v>MovieExposureIndex</v>
      </c>
    </row>
    <row r="1945" spans="20:22" x14ac:dyDescent="0.25">
      <c r="T1945" s="7" t="str">
        <f ca="1"/>
        <v>Z7</v>
      </c>
      <c r="U1945" s="7" t="str">
        <f ca="1"/>
        <v>0xD1AB</v>
      </c>
      <c r="V1945" s="7" t="str">
        <f ca="1"/>
        <v>MovieExposureBiasCompensation</v>
      </c>
    </row>
    <row r="1946" spans="20:22" x14ac:dyDescent="0.25">
      <c r="T1946" s="7" t="str">
        <f ca="1"/>
        <v>Z7</v>
      </c>
      <c r="U1946" s="7" t="str">
        <f ca="1"/>
        <v>0xD1AC</v>
      </c>
      <c r="V1946" s="7" t="str">
        <f ca="1"/>
        <v>LiveViewImageSize</v>
      </c>
    </row>
    <row r="1947" spans="20:22" x14ac:dyDescent="0.25">
      <c r="T1947" s="7" t="str">
        <f ca="1"/>
        <v>Z7</v>
      </c>
      <c r="U1947" s="7" t="str">
        <f ca="1"/>
        <v>0xD1AD</v>
      </c>
      <c r="V1947" s="7" t="str">
        <f ca="1"/>
        <v>LiveViewPhotography</v>
      </c>
    </row>
    <row r="1948" spans="20:22" x14ac:dyDescent="0.25">
      <c r="T1948" s="7" t="str">
        <f ca="1"/>
        <v>Z7</v>
      </c>
      <c r="U1948" s="7" t="str">
        <f ca="1"/>
        <v>0xD1AF</v>
      </c>
      <c r="V1948" s="7" t="str">
        <f ca="1"/>
        <v>MovieExposureMeteringMode</v>
      </c>
    </row>
    <row r="1949" spans="20:22" x14ac:dyDescent="0.25">
      <c r="T1949" s="7" t="str">
        <f ca="1"/>
        <v>Z7</v>
      </c>
      <c r="U1949" s="7" t="str">
        <f ca="1"/>
        <v>0xD1B0</v>
      </c>
      <c r="V1949" s="7" t="str">
        <f ca="1"/>
        <v>ExposureDisplayStatus</v>
      </c>
    </row>
    <row r="1950" spans="20:22" x14ac:dyDescent="0.25">
      <c r="T1950" s="7" t="str">
        <f ca="1"/>
        <v>Z7</v>
      </c>
      <c r="U1950" s="7" t="str">
        <f ca="1"/>
        <v>0xD1B1</v>
      </c>
      <c r="V1950" s="7" t="str">
        <f ca="1"/>
        <v>ExposureIndicateStatus</v>
      </c>
    </row>
    <row r="1951" spans="20:22" x14ac:dyDescent="0.25">
      <c r="T1951" s="7" t="str">
        <f ca="1"/>
        <v>Z7</v>
      </c>
      <c r="U1951" s="7" t="str">
        <f ca="1"/>
        <v>0xD1B2</v>
      </c>
      <c r="V1951" s="7" t="str">
        <f ca="1"/>
        <v>InfoDisplayErrorStatus</v>
      </c>
    </row>
    <row r="1952" spans="20:22" x14ac:dyDescent="0.25">
      <c r="T1952" s="7" t="str">
        <f ca="1"/>
        <v>Z7</v>
      </c>
      <c r="U1952" s="7" t="str">
        <f ca="1"/>
        <v>0xD1B3</v>
      </c>
      <c r="V1952" s="7" t="str">
        <f ca="1"/>
        <v>ExposureIndicateLightup</v>
      </c>
    </row>
    <row r="1953" spans="20:22" x14ac:dyDescent="0.25">
      <c r="T1953" s="7" t="str">
        <f ca="1"/>
        <v>Z7</v>
      </c>
      <c r="U1953" s="7" t="str">
        <f ca="1"/>
        <v>0xD1B4</v>
      </c>
      <c r="V1953" s="7" t="str">
        <f ca="1"/>
        <v>ContinuousShootingCount</v>
      </c>
    </row>
    <row r="1954" spans="20:22" x14ac:dyDescent="0.25">
      <c r="T1954" s="7" t="str">
        <f ca="1"/>
        <v>Z7</v>
      </c>
      <c r="U1954" s="7" t="str">
        <f ca="1"/>
        <v>0xD1B7</v>
      </c>
      <c r="V1954" s="7" t="str">
        <f ca="1"/>
        <v>MovieRecFrameCount</v>
      </c>
    </row>
    <row r="1955" spans="20:22" x14ac:dyDescent="0.25">
      <c r="T1955" s="7" t="str">
        <f ca="1"/>
        <v>Z7</v>
      </c>
      <c r="U1955" s="7" t="str">
        <f ca="1"/>
        <v>0xD1B8</v>
      </c>
      <c r="V1955" s="7" t="str">
        <f ca="1"/>
        <v>CameraLiveViewStatus</v>
      </c>
    </row>
    <row r="1956" spans="20:22" x14ac:dyDescent="0.25">
      <c r="T1956" s="7" t="str">
        <f ca="1"/>
        <v>Z7</v>
      </c>
      <c r="U1956" s="7" t="str">
        <f ca="1"/>
        <v>0xD1B9</v>
      </c>
      <c r="V1956" s="7" t="str">
        <f ca="1"/>
        <v>DetectionPeaking</v>
      </c>
    </row>
    <row r="1957" spans="20:22" x14ac:dyDescent="0.25">
      <c r="T1957" s="7" t="str">
        <f ca="1"/>
        <v>Z7</v>
      </c>
      <c r="U1957" s="7" t="str">
        <f ca="1"/>
        <v>0xD1BB</v>
      </c>
      <c r="V1957" s="7" t="str">
        <f ca="1"/>
        <v>LiveViewImageStatus</v>
      </c>
    </row>
    <row r="1958" spans="20:22" x14ac:dyDescent="0.25">
      <c r="T1958" s="7" t="str">
        <f ca="1"/>
        <v>Z7</v>
      </c>
      <c r="U1958" s="7" t="str">
        <f ca="1"/>
        <v>0xD1BC</v>
      </c>
      <c r="V1958" s="7" t="str">
        <f ca="1"/>
        <v>LiveViewImageCompression</v>
      </c>
    </row>
    <row r="1959" spans="20:22" x14ac:dyDescent="0.25">
      <c r="T1959" s="7" t="str">
        <f ca="1"/>
        <v>Z7</v>
      </c>
      <c r="U1959" s="7" t="str">
        <f ca="1"/>
        <v>0xD1BD</v>
      </c>
      <c r="V1959" s="7" t="str">
        <f ca="1"/>
        <v>LiveViewZoomArea</v>
      </c>
    </row>
    <row r="1960" spans="20:22" x14ac:dyDescent="0.25">
      <c r="T1960" s="7" t="str">
        <f ca="1"/>
        <v>Z7</v>
      </c>
      <c r="U1960" s="7" t="str">
        <f ca="1"/>
        <v>0xD1DE</v>
      </c>
      <c r="V1960" s="7" t="str">
        <f ca="1"/>
        <v>ExternalRecordingControl</v>
      </c>
    </row>
    <row r="1961" spans="20:22" x14ac:dyDescent="0.25">
      <c r="T1961" s="7" t="str">
        <f ca="1"/>
        <v>Z7</v>
      </c>
      <c r="U1961" s="7" t="str">
        <f ca="1"/>
        <v>0xD1DF</v>
      </c>
      <c r="V1961" s="7" t="str">
        <f ca="1"/>
        <v>HighlightBrightness</v>
      </c>
    </row>
    <row r="1962" spans="20:22" x14ac:dyDescent="0.25">
      <c r="T1962" s="7" t="str">
        <f ca="1"/>
        <v>Z7</v>
      </c>
      <c r="U1962" s="7" t="str">
        <f ca="1"/>
        <v>0xD1E2</v>
      </c>
      <c r="V1962" s="7" t="str">
        <f ca="1"/>
        <v>SBWirelessMode</v>
      </c>
    </row>
    <row r="1963" spans="20:22" x14ac:dyDescent="0.25">
      <c r="T1963" s="7" t="str">
        <f ca="1"/>
        <v>Z7</v>
      </c>
      <c r="U1963" s="7" t="str">
        <f ca="1"/>
        <v>0xD1E3</v>
      </c>
      <c r="V1963" s="7" t="str">
        <f ca="1"/>
        <v>SBWirelessMultipleFlashMode</v>
      </c>
    </row>
    <row r="1964" spans="20:22" x14ac:dyDescent="0.25">
      <c r="T1964" s="7" t="str">
        <f ca="1"/>
        <v>Z7</v>
      </c>
      <c r="U1964" s="7" t="str">
        <f ca="1"/>
        <v>0xD1E4</v>
      </c>
      <c r="V1964" s="7" t="str">
        <f ca="1"/>
        <v>SBUsableGroup</v>
      </c>
    </row>
    <row r="1965" spans="20:22" x14ac:dyDescent="0.25">
      <c r="T1965" s="7" t="str">
        <f ca="1"/>
        <v>Z7</v>
      </c>
      <c r="U1965" s="7" t="str">
        <f ca="1"/>
        <v>0xD1E5</v>
      </c>
      <c r="V1965" s="7" t="str">
        <f ca="1"/>
        <v>WirelessCLSEntryMode</v>
      </c>
    </row>
    <row r="1966" spans="20:22" x14ac:dyDescent="0.25">
      <c r="T1966" s="7" t="str">
        <f ca="1"/>
        <v>Z7</v>
      </c>
      <c r="U1966" s="7" t="str">
        <f ca="1"/>
        <v>0xD1E6</v>
      </c>
      <c r="V1966" s="7" t="str">
        <f ca="1"/>
        <v>SBPINCode</v>
      </c>
    </row>
    <row r="1967" spans="20:22" x14ac:dyDescent="0.25">
      <c r="T1967" s="7" t="str">
        <f ca="1"/>
        <v>Z7</v>
      </c>
      <c r="U1967" s="7" t="str">
        <f ca="1"/>
        <v>0xD1E7</v>
      </c>
      <c r="V1967" s="7" t="str">
        <f ca="1"/>
        <v>RadioMultipleFlashChannel</v>
      </c>
    </row>
    <row r="1968" spans="20:22" x14ac:dyDescent="0.25">
      <c r="T1968" s="7" t="str">
        <f ca="1"/>
        <v>Z7</v>
      </c>
      <c r="U1968" s="7" t="str">
        <f ca="1"/>
        <v>0xD1E8</v>
      </c>
      <c r="V1968" s="7" t="str">
        <f ca="1"/>
        <v>OpticalMultipleFlashChannel</v>
      </c>
    </row>
    <row r="1969" spans="20:22" x14ac:dyDescent="0.25">
      <c r="T1969" s="7" t="str">
        <f ca="1"/>
        <v>Z7</v>
      </c>
      <c r="U1969" s="7" t="str">
        <f ca="1"/>
        <v>0xD1E9</v>
      </c>
      <c r="V1969" s="7" t="str">
        <f ca="1"/>
        <v>FlashRangeDisplay</v>
      </c>
    </row>
    <row r="1970" spans="20:22" x14ac:dyDescent="0.25">
      <c r="T1970" s="7" t="str">
        <f ca="1"/>
        <v>Z7</v>
      </c>
      <c r="U1970" s="7" t="str">
        <f ca="1"/>
        <v>0xD1EA</v>
      </c>
      <c r="V1970" s="7" t="str">
        <f ca="1"/>
        <v>AllTestFiringDisable</v>
      </c>
    </row>
    <row r="1971" spans="20:22" x14ac:dyDescent="0.25">
      <c r="T1971" s="7" t="str">
        <f ca="1"/>
        <v>Z7</v>
      </c>
      <c r="U1971" s="7" t="str">
        <f ca="1"/>
        <v>0xD1EC</v>
      </c>
      <c r="V1971" s="7" t="str">
        <f ca="1"/>
        <v>SBSettingMemberLock</v>
      </c>
    </row>
    <row r="1972" spans="20:22" x14ac:dyDescent="0.25">
      <c r="T1972" s="7" t="str">
        <f ca="1"/>
        <v>Z7</v>
      </c>
      <c r="U1972" s="7" t="str">
        <f ca="1"/>
        <v>0xD1ED</v>
      </c>
      <c r="V1972" s="7" t="str">
        <f ca="1"/>
        <v>SBIntegrationFlashReady</v>
      </c>
    </row>
    <row r="1973" spans="20:22" x14ac:dyDescent="0.25">
      <c r="T1973" s="7" t="str">
        <f ca="1"/>
        <v>Z7</v>
      </c>
      <c r="U1973" s="7" t="str">
        <f ca="1"/>
        <v>0xD1F0</v>
      </c>
      <c r="V1973" s="7" t="str">
        <f ca="1"/>
        <v>ApplicationMode</v>
      </c>
    </row>
    <row r="1974" spans="20:22" x14ac:dyDescent="0.25">
      <c r="T1974" s="7" t="str">
        <f ca="1"/>
        <v>Z7</v>
      </c>
      <c r="U1974" s="7" t="str">
        <f ca="1"/>
        <v>0xD1F1</v>
      </c>
      <c r="V1974" s="7" t="str">
        <f ca="1"/>
        <v>ExposureRemaining</v>
      </c>
    </row>
    <row r="1975" spans="20:22" x14ac:dyDescent="0.25">
      <c r="T1975" s="7" t="str">
        <f ca="1"/>
        <v>Z7</v>
      </c>
      <c r="U1975" s="7" t="str">
        <f ca="1"/>
        <v>0xD1F4</v>
      </c>
      <c r="V1975" s="7" t="str">
        <f ca="1"/>
        <v>ISOAutoShutterTimeCorrectionValue</v>
      </c>
    </row>
    <row r="1976" spans="20:22" x14ac:dyDescent="0.25">
      <c r="T1976" s="7" t="str">
        <f ca="1"/>
        <v>Z7</v>
      </c>
      <c r="U1976" s="7" t="str">
        <f ca="1"/>
        <v>0xD1F8</v>
      </c>
      <c r="V1976" s="7" t="str">
        <f ca="1"/>
        <v>MovieAfAreaMode</v>
      </c>
    </row>
    <row r="1977" spans="20:22" x14ac:dyDescent="0.25">
      <c r="T1977" s="7" t="str">
        <f ca="1"/>
        <v>Z7</v>
      </c>
      <c r="U1977" s="7" t="str">
        <f ca="1"/>
        <v>0xD1F9</v>
      </c>
      <c r="V1977" s="7" t="str">
        <f ca="1"/>
        <v>MovieVibrationReduction</v>
      </c>
    </row>
    <row r="1978" spans="20:22" x14ac:dyDescent="0.25">
      <c r="T1978" s="7" t="str">
        <f ca="1"/>
        <v>Z7</v>
      </c>
      <c r="U1978" s="7" t="str">
        <f ca="1"/>
        <v>0xD1FA</v>
      </c>
      <c r="V1978" s="7" t="str">
        <f ca="1"/>
        <v>MovieFocusMode</v>
      </c>
    </row>
    <row r="1979" spans="20:22" x14ac:dyDescent="0.25">
      <c r="T1979" s="7" t="str">
        <f ca="1"/>
        <v>Z7</v>
      </c>
      <c r="U1979" s="7" t="str">
        <f ca="1"/>
        <v>0xD1FB</v>
      </c>
      <c r="V1979" s="7" t="str">
        <f ca="1"/>
        <v>RecordTimeCodes</v>
      </c>
    </row>
    <row r="1980" spans="20:22" x14ac:dyDescent="0.25">
      <c r="T1980" s="7" t="str">
        <f ca="1"/>
        <v>Z7</v>
      </c>
      <c r="U1980" s="7" t="str">
        <f ca="1"/>
        <v>0xD1FC</v>
      </c>
      <c r="V1980" s="7" t="str">
        <f ca="1"/>
        <v>CountUpMethod</v>
      </c>
    </row>
    <row r="1981" spans="20:22" x14ac:dyDescent="0.25">
      <c r="T1981" s="7" t="str">
        <f ca="1"/>
        <v>Z7</v>
      </c>
      <c r="U1981" s="7" t="str">
        <f ca="1"/>
        <v>0xD1FD</v>
      </c>
      <c r="V1981" s="7" t="str">
        <f ca="1"/>
        <v>TimeCodeOrigin</v>
      </c>
    </row>
    <row r="1982" spans="20:22" x14ac:dyDescent="0.25">
      <c r="T1982" s="7" t="str">
        <f ca="1"/>
        <v>Z7</v>
      </c>
      <c r="U1982" s="7" t="str">
        <f ca="1"/>
        <v>0xD1FE</v>
      </c>
      <c r="V1982" s="7" t="str">
        <f ca="1"/>
        <v>DropFrame</v>
      </c>
    </row>
    <row r="1983" spans="20:22" x14ac:dyDescent="0.25">
      <c r="T1983" s="7" t="str">
        <f ca="1"/>
        <v>Z7</v>
      </c>
      <c r="U1983" s="7" t="str">
        <f ca="1"/>
        <v>0xD200</v>
      </c>
      <c r="V1983" s="7" t="str">
        <f ca="1"/>
        <v>ActivePicCtrlItem</v>
      </c>
    </row>
    <row r="1984" spans="20:22" x14ac:dyDescent="0.25">
      <c r="T1984" s="7" t="str">
        <f ca="1"/>
        <v>Z7</v>
      </c>
      <c r="U1984" s="7" t="str">
        <f ca="1"/>
        <v>0xD20D</v>
      </c>
      <c r="V1984" s="7" t="str">
        <f ca="1"/>
        <v>ElectronicFrontCurtainShutter</v>
      </c>
    </row>
    <row r="1985" spans="20:22" x14ac:dyDescent="0.25">
      <c r="T1985" s="7" t="str">
        <f ca="1"/>
        <v>Z7</v>
      </c>
      <c r="U1985" s="7" t="str">
        <f ca="1"/>
        <v>0xD20E</v>
      </c>
      <c r="V1985" s="7" t="str">
        <f ca="1"/>
        <v>MovieResetShootingMenu</v>
      </c>
    </row>
    <row r="1986" spans="20:22" x14ac:dyDescent="0.25">
      <c r="T1986" s="7" t="str">
        <f ca="1"/>
        <v>Z7</v>
      </c>
      <c r="U1986" s="7" t="str">
        <f ca="1"/>
        <v>0xD20F</v>
      </c>
      <c r="V1986" s="7" t="str">
        <f ca="1"/>
        <v>MovieCaptureAreaCrop</v>
      </c>
    </row>
    <row r="1987" spans="20:22" x14ac:dyDescent="0.25">
      <c r="T1987" s="7" t="str">
        <f ca="1"/>
        <v>Z7</v>
      </c>
      <c r="U1987" s="7" t="str">
        <f ca="1"/>
        <v>0xD211</v>
      </c>
      <c r="V1987" s="7" t="str">
        <f ca="1"/>
        <v>MovieWbAutoType</v>
      </c>
    </row>
    <row r="1988" spans="20:22" x14ac:dyDescent="0.25">
      <c r="T1988" s="7" t="str">
        <f ca="1"/>
        <v>Z7</v>
      </c>
      <c r="U1988" s="7" t="str">
        <f ca="1"/>
        <v>0xD212</v>
      </c>
      <c r="V1988" s="7" t="str">
        <f ca="1"/>
        <v>MovieWbTuneAuto</v>
      </c>
    </row>
    <row r="1989" spans="20:22" x14ac:dyDescent="0.25">
      <c r="T1989" s="7" t="str">
        <f ca="1"/>
        <v>Z7</v>
      </c>
      <c r="U1989" s="7" t="str">
        <f ca="1"/>
        <v>0xD213</v>
      </c>
      <c r="V1989" s="7" t="str">
        <f ca="1"/>
        <v>MovieWbTuneIncandescent</v>
      </c>
    </row>
    <row r="1990" spans="20:22" x14ac:dyDescent="0.25">
      <c r="T1990" s="7" t="str">
        <f ca="1"/>
        <v>Z7</v>
      </c>
      <c r="U1990" s="7" t="str">
        <f ca="1"/>
        <v>0xD214</v>
      </c>
      <c r="V1990" s="7" t="str">
        <f ca="1"/>
        <v>MovieWbFluorescentType</v>
      </c>
    </row>
    <row r="1991" spans="20:22" x14ac:dyDescent="0.25">
      <c r="T1991" s="7" t="str">
        <f ca="1"/>
        <v>Z7</v>
      </c>
      <c r="U1991" s="7" t="str">
        <f ca="1"/>
        <v>0xD215</v>
      </c>
      <c r="V1991" s="7" t="str">
        <f ca="1"/>
        <v>MovieWbTuneFluorescent</v>
      </c>
    </row>
    <row r="1992" spans="20:22" x14ac:dyDescent="0.25">
      <c r="T1992" s="7" t="str">
        <f ca="1"/>
        <v>Z7</v>
      </c>
      <c r="U1992" s="7" t="str">
        <f ca="1"/>
        <v>0xD216</v>
      </c>
      <c r="V1992" s="7" t="str">
        <f ca="1"/>
        <v>MovieWbTuneSunny</v>
      </c>
    </row>
    <row r="1993" spans="20:22" x14ac:dyDescent="0.25">
      <c r="T1993" s="7" t="str">
        <f ca="1"/>
        <v>Z7</v>
      </c>
      <c r="U1993" s="7" t="str">
        <f ca="1"/>
        <v>0xD218</v>
      </c>
      <c r="V1993" s="7" t="str">
        <f ca="1"/>
        <v>MovieWbTuneCloudy</v>
      </c>
    </row>
    <row r="1994" spans="20:22" x14ac:dyDescent="0.25">
      <c r="T1994" s="7" t="str">
        <f ca="1"/>
        <v>Z7</v>
      </c>
      <c r="U1994" s="7" t="str">
        <f ca="1"/>
        <v>0xD219</v>
      </c>
      <c r="V1994" s="7" t="str">
        <f ca="1"/>
        <v>MovieWbTuneShade</v>
      </c>
    </row>
    <row r="1995" spans="20:22" x14ac:dyDescent="0.25">
      <c r="T1995" s="7" t="str">
        <f ca="1"/>
        <v>Z7</v>
      </c>
      <c r="U1995" s="7" t="str">
        <f ca="1"/>
        <v>0xD21A</v>
      </c>
      <c r="V1995" s="7" t="str">
        <f ca="1"/>
        <v>MovieWbColorTemp</v>
      </c>
    </row>
    <row r="1996" spans="20:22" x14ac:dyDescent="0.25">
      <c r="T1996" s="7" t="str">
        <f ca="1"/>
        <v>Z7</v>
      </c>
      <c r="U1996" s="7" t="str">
        <f ca="1"/>
        <v>0xD21B</v>
      </c>
      <c r="V1996" s="7" t="str">
        <f ca="1"/>
        <v>MovieWbTuneColorTemp</v>
      </c>
    </row>
    <row r="1997" spans="20:22" x14ac:dyDescent="0.25">
      <c r="T1997" s="7" t="str">
        <f ca="1"/>
        <v>Z7</v>
      </c>
      <c r="U1997" s="7" t="str">
        <f ca="1"/>
        <v>0xD21C</v>
      </c>
      <c r="V1997" s="7" t="str">
        <f ca="1"/>
        <v>MovieWbPresetDataNo</v>
      </c>
    </row>
    <row r="1998" spans="20:22" x14ac:dyDescent="0.25">
      <c r="T1998" s="7" t="str">
        <f ca="1"/>
        <v>Z7</v>
      </c>
      <c r="U1998" s="7" t="str">
        <f ca="1"/>
        <v>0xD21D</v>
      </c>
      <c r="V1998" s="7" t="str">
        <f ca="1"/>
        <v>MovieWbPresetDataComment1</v>
      </c>
    </row>
    <row r="1999" spans="20:22" x14ac:dyDescent="0.25">
      <c r="T1999" s="7" t="str">
        <f ca="1"/>
        <v>Z7</v>
      </c>
      <c r="U1999" s="7" t="str">
        <f ca="1"/>
        <v>0xD21E</v>
      </c>
      <c r="V1999" s="7" t="str">
        <f ca="1"/>
        <v>MovieWbPresetDataComment2</v>
      </c>
    </row>
    <row r="2000" spans="20:22" x14ac:dyDescent="0.25">
      <c r="T2000" s="7" t="str">
        <f ca="1"/>
        <v>Z7</v>
      </c>
      <c r="U2000" s="7" t="str">
        <f ca="1"/>
        <v>0xD21F</v>
      </c>
      <c r="V2000" s="7" t="str">
        <f ca="1"/>
        <v>MovieWbPresetDataComment3</v>
      </c>
    </row>
    <row r="2001" spans="20:22" x14ac:dyDescent="0.25">
      <c r="T2001" s="7" t="str">
        <f ca="1"/>
        <v>Z7</v>
      </c>
      <c r="U2001" s="7" t="str">
        <f ca="1"/>
        <v>0xD220</v>
      </c>
      <c r="V2001" s="7" t="str">
        <f ca="1"/>
        <v>MovieWbPresetDataComment4</v>
      </c>
    </row>
    <row r="2002" spans="20:22" x14ac:dyDescent="0.25">
      <c r="T2002" s="7" t="str">
        <f ca="1"/>
        <v>Z7</v>
      </c>
      <c r="U2002" s="7" t="str">
        <f ca="1"/>
        <v>0xD221</v>
      </c>
      <c r="V2002" s="7" t="str">
        <f ca="1"/>
        <v>MovieWbPresetDataComment5</v>
      </c>
    </row>
    <row r="2003" spans="20:22" x14ac:dyDescent="0.25">
      <c r="T2003" s="7" t="str">
        <f ca="1"/>
        <v>Z7</v>
      </c>
      <c r="U2003" s="7" t="str">
        <f ca="1"/>
        <v>0xD222</v>
      </c>
      <c r="V2003" s="7" t="str">
        <f ca="1"/>
        <v>MovieWbPresetDataComment6</v>
      </c>
    </row>
    <row r="2004" spans="20:22" x14ac:dyDescent="0.25">
      <c r="T2004" s="7" t="str">
        <f ca="1"/>
        <v>Z7</v>
      </c>
      <c r="U2004" s="7" t="str">
        <f ca="1"/>
        <v>0xD223</v>
      </c>
      <c r="V2004" s="7" t="str">
        <f ca="1"/>
        <v>MovieWbPresetDataValue1</v>
      </c>
    </row>
    <row r="2005" spans="20:22" x14ac:dyDescent="0.25">
      <c r="T2005" s="7" t="str">
        <f ca="1"/>
        <v>Z7</v>
      </c>
      <c r="U2005" s="7" t="str">
        <f ca="1"/>
        <v>0xD224</v>
      </c>
      <c r="V2005" s="7" t="str">
        <f ca="1"/>
        <v>MovieWbPresetDataValue2</v>
      </c>
    </row>
    <row r="2006" spans="20:22" x14ac:dyDescent="0.25">
      <c r="T2006" s="7" t="str">
        <f ca="1"/>
        <v>Z7</v>
      </c>
      <c r="U2006" s="7" t="str">
        <f ca="1"/>
        <v>0xD225</v>
      </c>
      <c r="V2006" s="7" t="str">
        <f ca="1"/>
        <v>MovieWbPresetDataValue3</v>
      </c>
    </row>
    <row r="2007" spans="20:22" x14ac:dyDescent="0.25">
      <c r="T2007" s="7" t="str">
        <f ca="1"/>
        <v>Z7</v>
      </c>
      <c r="U2007" s="7" t="str">
        <f ca="1"/>
        <v>0xD226</v>
      </c>
      <c r="V2007" s="7" t="str">
        <f ca="1"/>
        <v>MovieWbPresetDataValue4</v>
      </c>
    </row>
    <row r="2008" spans="20:22" x14ac:dyDescent="0.25">
      <c r="T2008" s="7" t="str">
        <f ca="1"/>
        <v>Z7</v>
      </c>
      <c r="U2008" s="7" t="str">
        <f ca="1"/>
        <v>0xD227</v>
      </c>
      <c r="V2008" s="7" t="str">
        <f ca="1"/>
        <v>MovieWbPresetDataValue5</v>
      </c>
    </row>
    <row r="2009" spans="20:22" x14ac:dyDescent="0.25">
      <c r="T2009" s="7" t="str">
        <f ca="1"/>
        <v>Z7</v>
      </c>
      <c r="U2009" s="7" t="str">
        <f ca="1"/>
        <v>0xD228</v>
      </c>
      <c r="V2009" s="7" t="str">
        <f ca="1"/>
        <v>MovieWbPresetDataValue6</v>
      </c>
    </row>
    <row r="2010" spans="20:22" x14ac:dyDescent="0.25">
      <c r="T2010" s="7" t="str">
        <f ca="1"/>
        <v>Z7</v>
      </c>
      <c r="U2010" s="7" t="str">
        <f ca="1"/>
        <v>0xD229</v>
      </c>
      <c r="V2010" s="7" t="str">
        <f ca="1"/>
        <v>MovieWbTunePreset1</v>
      </c>
    </row>
    <row r="2011" spans="20:22" x14ac:dyDescent="0.25">
      <c r="T2011" s="7" t="str">
        <f ca="1"/>
        <v>Z7</v>
      </c>
      <c r="U2011" s="7" t="str">
        <f ca="1"/>
        <v>0xD22A</v>
      </c>
      <c r="V2011" s="7" t="str">
        <f ca="1"/>
        <v>MovieWbTunePreset2</v>
      </c>
    </row>
    <row r="2012" spans="20:22" x14ac:dyDescent="0.25">
      <c r="T2012" s="7" t="str">
        <f ca="1"/>
        <v>Z7</v>
      </c>
      <c r="U2012" s="7" t="str">
        <f ca="1"/>
        <v>0xD22B</v>
      </c>
      <c r="V2012" s="7" t="str">
        <f ca="1"/>
        <v>MovieWbTunePreset3</v>
      </c>
    </row>
    <row r="2013" spans="20:22" x14ac:dyDescent="0.25">
      <c r="T2013" s="7" t="str">
        <f ca="1"/>
        <v>Z7</v>
      </c>
      <c r="U2013" s="7" t="str">
        <f ca="1"/>
        <v>0xD22C</v>
      </c>
      <c r="V2013" s="7" t="str">
        <f ca="1"/>
        <v>MovieWbTunePreset4</v>
      </c>
    </row>
    <row r="2014" spans="20:22" x14ac:dyDescent="0.25">
      <c r="T2014" s="7" t="str">
        <f ca="1"/>
        <v>Z7</v>
      </c>
      <c r="U2014" s="7" t="str">
        <f ca="1"/>
        <v>0xD22D</v>
      </c>
      <c r="V2014" s="7" t="str">
        <f ca="1"/>
        <v>MovieWbTunePreset5</v>
      </c>
    </row>
    <row r="2015" spans="20:22" x14ac:dyDescent="0.25">
      <c r="T2015" s="7" t="str">
        <f ca="1"/>
        <v>Z7</v>
      </c>
      <c r="U2015" s="7" t="str">
        <f ca="1"/>
        <v>0xD22E</v>
      </c>
      <c r="V2015" s="7" t="str">
        <f ca="1"/>
        <v>MovieWbTunePreset6</v>
      </c>
    </row>
    <row r="2016" spans="20:22" x14ac:dyDescent="0.25">
      <c r="T2016" s="7" t="str">
        <f ca="1"/>
        <v>Z7</v>
      </c>
      <c r="U2016" s="7" t="str">
        <f ca="1"/>
        <v>0xD22F</v>
      </c>
      <c r="V2016" s="7" t="str">
        <f ca="1"/>
        <v>MovieWbPresetProtect1</v>
      </c>
    </row>
    <row r="2017" spans="20:22" x14ac:dyDescent="0.25">
      <c r="T2017" s="7" t="str">
        <f ca="1"/>
        <v>Z7</v>
      </c>
      <c r="U2017" s="7" t="str">
        <f ca="1"/>
        <v>0xD230</v>
      </c>
      <c r="V2017" s="7" t="str">
        <f ca="1"/>
        <v>MovieWbPresetProtect2</v>
      </c>
    </row>
    <row r="2018" spans="20:22" x14ac:dyDescent="0.25">
      <c r="T2018" s="7" t="str">
        <f ca="1"/>
        <v>Z7</v>
      </c>
      <c r="U2018" s="7" t="str">
        <f ca="1"/>
        <v>0xD231</v>
      </c>
      <c r="V2018" s="7" t="str">
        <f ca="1"/>
        <v>MovieWbPresetProtect3</v>
      </c>
    </row>
    <row r="2019" spans="20:22" x14ac:dyDescent="0.25">
      <c r="T2019" s="7" t="str">
        <f ca="1"/>
        <v>Z7</v>
      </c>
      <c r="U2019" s="7" t="str">
        <f ca="1"/>
        <v>0xD232</v>
      </c>
      <c r="V2019" s="7" t="str">
        <f ca="1"/>
        <v>MovieWbPresetProtect4</v>
      </c>
    </row>
    <row r="2020" spans="20:22" x14ac:dyDescent="0.25">
      <c r="T2020" s="7" t="str">
        <f ca="1"/>
        <v>Z7</v>
      </c>
      <c r="U2020" s="7" t="str">
        <f ca="1"/>
        <v>0xD233</v>
      </c>
      <c r="V2020" s="7" t="str">
        <f ca="1"/>
        <v>MovieWbPresetProtect5</v>
      </c>
    </row>
    <row r="2021" spans="20:22" x14ac:dyDescent="0.25">
      <c r="T2021" s="7" t="str">
        <f ca="1"/>
        <v>Z7</v>
      </c>
      <c r="U2021" s="7" t="str">
        <f ca="1"/>
        <v>0xD234</v>
      </c>
      <c r="V2021" s="7" t="str">
        <f ca="1"/>
        <v>MovieWbPresetProtect6</v>
      </c>
    </row>
    <row r="2022" spans="20:22" x14ac:dyDescent="0.25">
      <c r="T2022" s="7" t="str">
        <f ca="1"/>
        <v>Z7</v>
      </c>
      <c r="U2022" s="7" t="str">
        <f ca="1"/>
        <v>0xD235</v>
      </c>
      <c r="V2022" s="7" t="str">
        <f ca="1"/>
        <v>MovieWhiteBalanceReset</v>
      </c>
    </row>
    <row r="2023" spans="20:22" x14ac:dyDescent="0.25">
      <c r="T2023" s="7" t="str">
        <f ca="1"/>
        <v>Z7</v>
      </c>
      <c r="U2023" s="7" t="str">
        <f ca="1"/>
        <v>0xD236</v>
      </c>
      <c r="V2023" s="7" t="str">
        <f ca="1"/>
        <v>MovieNoiseReductionHiIso</v>
      </c>
    </row>
    <row r="2024" spans="20:22" x14ac:dyDescent="0.25">
      <c r="T2024" s="7" t="str">
        <f ca="1"/>
        <v>Z7</v>
      </c>
      <c r="U2024" s="7" t="str">
        <f ca="1"/>
        <v>0xD237</v>
      </c>
      <c r="V2024" s="7" t="str">
        <f ca="1"/>
        <v>MovieActivePicCtrlItem</v>
      </c>
    </row>
    <row r="2025" spans="20:22" x14ac:dyDescent="0.25">
      <c r="T2025" s="7" t="str">
        <f ca="1"/>
        <v>Z7</v>
      </c>
      <c r="U2025" s="7" t="str">
        <f ca="1"/>
        <v>0xD239</v>
      </c>
      <c r="V2025" s="7" t="str">
        <f ca="1"/>
        <v>ExposureBaseCompHighlight</v>
      </c>
    </row>
    <row r="2026" spans="20:22" x14ac:dyDescent="0.25">
      <c r="T2026" s="7" t="str">
        <f ca="1"/>
        <v>Z7</v>
      </c>
      <c r="U2026" s="7" t="str">
        <f ca="1"/>
        <v>0xD23A</v>
      </c>
      <c r="V2026" s="7" t="str">
        <f ca="1"/>
        <v>MovieWhiteBalance</v>
      </c>
    </row>
    <row r="2027" spans="20:22" x14ac:dyDescent="0.25">
      <c r="T2027" s="7" t="str">
        <f ca="1"/>
        <v>Z7</v>
      </c>
      <c r="U2027" s="7" t="str">
        <f ca="1"/>
        <v>0xD23B</v>
      </c>
      <c r="V2027" s="7" t="str">
        <f ca="1"/>
        <v>MovieActive</v>
      </c>
    </row>
    <row r="2028" spans="20:22" x14ac:dyDescent="0.25">
      <c r="T2028" s="7" t="str">
        <f ca="1"/>
        <v>Z7</v>
      </c>
      <c r="U2028" s="7" t="str">
        <f ca="1"/>
        <v>0xD23C</v>
      </c>
      <c r="V2028" s="7" t="str">
        <f ca="1"/>
        <v>MovieWbTuneNatural</v>
      </c>
    </row>
    <row r="2029" spans="20:22" x14ac:dyDescent="0.25">
      <c r="T2029" s="7" t="str">
        <f ca="1"/>
        <v>Z7</v>
      </c>
      <c r="U2029" s="7" t="str">
        <f ca="1"/>
        <v>0xD23D</v>
      </c>
      <c r="V2029" s="7" t="str">
        <f ca="1"/>
        <v>MovieAttenuator</v>
      </c>
    </row>
    <row r="2030" spans="20:22" x14ac:dyDescent="0.25">
      <c r="T2030" s="7" t="str">
        <f ca="1"/>
        <v>Z7</v>
      </c>
      <c r="U2030" s="7" t="str">
        <f ca="1"/>
        <v>0xD23E</v>
      </c>
      <c r="V2030" s="7" t="str">
        <f ca="1"/>
        <v>MovieVignetteControl</v>
      </c>
    </row>
    <row r="2031" spans="20:22" x14ac:dyDescent="0.25">
      <c r="T2031" s="7" t="str">
        <f ca="1"/>
        <v>Z7</v>
      </c>
      <c r="U2031" s="7" t="str">
        <f ca="1"/>
        <v>0xD23F</v>
      </c>
      <c r="V2031" s="7" t="str">
        <f ca="1"/>
        <v>MovieDiffractionCompensation</v>
      </c>
    </row>
    <row r="2032" spans="20:22" x14ac:dyDescent="0.25">
      <c r="T2032" s="7" t="str">
        <f ca="1"/>
        <v>Z7</v>
      </c>
      <c r="U2032" s="7" t="str">
        <f ca="1"/>
        <v>0xD303</v>
      </c>
      <c r="V2032" s="7" t="str">
        <f ca="1"/>
        <v>UseDeviceStageFlag</v>
      </c>
    </row>
    <row r="2033" spans="20:22" x14ac:dyDescent="0.25">
      <c r="T2033" s="7" t="str">
        <f ca="1"/>
        <v>Z7</v>
      </c>
      <c r="U2033" s="7" t="str">
        <f ca="1"/>
        <v>0xD314</v>
      </c>
      <c r="V2033" s="7" t="str">
        <f ca="1"/>
        <v>ElectronicVR</v>
      </c>
    </row>
    <row r="2034" spans="20:22" x14ac:dyDescent="0.25">
      <c r="T2034" s="7" t="str">
        <f ca="1"/>
        <v>Z7</v>
      </c>
      <c r="U2034" s="7" t="str">
        <f ca="1"/>
        <v>0xD406</v>
      </c>
      <c r="V2034" s="7" t="str">
        <f ca="1"/>
        <v>SessionInitiatorVersionInfo</v>
      </c>
    </row>
    <row r="2035" spans="20:22" x14ac:dyDescent="0.25">
      <c r="T2035" s="7" t="str">
        <f ca="1"/>
        <v>Z7</v>
      </c>
      <c r="U2035" s="7" t="str">
        <f ca="1"/>
        <v>0xD407</v>
      </c>
      <c r="V2035" s="7" t="str">
        <f ca="1"/>
        <v>PerceivedDeviceType</v>
      </c>
    </row>
    <row r="2036" spans="20:22" x14ac:dyDescent="0.25">
      <c r="T2036" s="7" t="str">
        <f ca="1"/>
        <v>Z5</v>
      </c>
      <c r="U2036" s="7" t="str">
        <f ca="1"/>
        <v>0x5001</v>
      </c>
      <c r="V2036" s="7" t="str">
        <f ca="1"/>
        <v>BatteryLevel</v>
      </c>
    </row>
    <row r="2037" spans="20:22" x14ac:dyDescent="0.25">
      <c r="T2037" s="7" t="str">
        <f ca="1"/>
        <v>Z5</v>
      </c>
      <c r="U2037" s="7" t="str">
        <f ca="1"/>
        <v>0x5003</v>
      </c>
      <c r="V2037" s="7" t="str">
        <f ca="1"/>
        <v>ImageSize</v>
      </c>
    </row>
    <row r="2038" spans="20:22" x14ac:dyDescent="0.25">
      <c r="T2038" s="7" t="str">
        <f ca="1"/>
        <v>Z5</v>
      </c>
      <c r="U2038" s="7" t="str">
        <f ca="1"/>
        <v>0x5004</v>
      </c>
      <c r="V2038" s="7" t="str">
        <f ca="1"/>
        <v>CompressionSetting</v>
      </c>
    </row>
    <row r="2039" spans="20:22" x14ac:dyDescent="0.25">
      <c r="T2039" s="7" t="str">
        <f ca="1"/>
        <v>Z5</v>
      </c>
      <c r="U2039" s="7" t="str">
        <f ca="1"/>
        <v>0x5005</v>
      </c>
      <c r="V2039" s="7" t="str">
        <f ca="1"/>
        <v>WhiteBalance</v>
      </c>
    </row>
    <row r="2040" spans="20:22" x14ac:dyDescent="0.25">
      <c r="T2040" s="7" t="str">
        <f ca="1"/>
        <v>Z5</v>
      </c>
      <c r="U2040" s="7" t="str">
        <f ca="1"/>
        <v>0x5007</v>
      </c>
      <c r="V2040" s="7" t="str">
        <f ca="1"/>
        <v>Fnumber</v>
      </c>
    </row>
    <row r="2041" spans="20:22" x14ac:dyDescent="0.25">
      <c r="T2041" s="7" t="str">
        <f ca="1"/>
        <v>Z5</v>
      </c>
      <c r="U2041" s="7" t="str">
        <f ca="1"/>
        <v>0x5008</v>
      </c>
      <c r="V2041" s="7" t="str">
        <f ca="1"/>
        <v>FocalLength</v>
      </c>
    </row>
    <row r="2042" spans="20:22" x14ac:dyDescent="0.25">
      <c r="T2042" s="7" t="str">
        <f ca="1"/>
        <v>Z5</v>
      </c>
      <c r="U2042" s="7" t="str">
        <f ca="1"/>
        <v>0x500A</v>
      </c>
      <c r="V2042" s="7" t="str">
        <f ca="1"/>
        <v>FocusMode</v>
      </c>
    </row>
    <row r="2043" spans="20:22" x14ac:dyDescent="0.25">
      <c r="T2043" s="7" t="str">
        <f ca="1"/>
        <v>Z5</v>
      </c>
      <c r="U2043" s="7" t="str">
        <f ca="1"/>
        <v>0x500B</v>
      </c>
      <c r="V2043" s="7" t="str">
        <f ca="1"/>
        <v>ExposureMeteringMode</v>
      </c>
    </row>
    <row r="2044" spans="20:22" x14ac:dyDescent="0.25">
      <c r="T2044" s="7" t="str">
        <f ca="1"/>
        <v>Z5</v>
      </c>
      <c r="U2044" s="7" t="str">
        <f ca="1"/>
        <v>0x500C</v>
      </c>
      <c r="V2044" s="7" t="str">
        <f ca="1"/>
        <v>FlashMode</v>
      </c>
    </row>
    <row r="2045" spans="20:22" x14ac:dyDescent="0.25">
      <c r="T2045" s="7" t="str">
        <f ca="1"/>
        <v>Z5</v>
      </c>
      <c r="U2045" s="7" t="str">
        <f ca="1"/>
        <v>0x500D</v>
      </c>
      <c r="V2045" s="7" t="str">
        <f ca="1"/>
        <v>ExposureTime</v>
      </c>
    </row>
    <row r="2046" spans="20:22" x14ac:dyDescent="0.25">
      <c r="T2046" s="7" t="str">
        <f ca="1"/>
        <v>Z5</v>
      </c>
      <c r="U2046" s="7" t="str">
        <f ca="1"/>
        <v>0x500E</v>
      </c>
      <c r="V2046" s="7" t="str">
        <f ca="1"/>
        <v>ExposureProgramMode</v>
      </c>
    </row>
    <row r="2047" spans="20:22" x14ac:dyDescent="0.25">
      <c r="T2047" s="7" t="str">
        <f ca="1"/>
        <v>Z5</v>
      </c>
      <c r="U2047" s="7" t="str">
        <f ca="1"/>
        <v>0x500F</v>
      </c>
      <c r="V2047" s="7" t="str">
        <f ca="1"/>
        <v>ExposureIndex</v>
      </c>
    </row>
    <row r="2048" spans="20:22" x14ac:dyDescent="0.25">
      <c r="T2048" s="7" t="str">
        <f ca="1"/>
        <v>Z5</v>
      </c>
      <c r="U2048" s="7" t="str">
        <f ca="1"/>
        <v>0x5010</v>
      </c>
      <c r="V2048" s="7" t="str">
        <f ca="1"/>
        <v>ExposureBiasCompensation</v>
      </c>
    </row>
    <row r="2049" spans="20:22" x14ac:dyDescent="0.25">
      <c r="T2049" s="7" t="str">
        <f ca="1"/>
        <v>Z5</v>
      </c>
      <c r="U2049" s="7" t="str">
        <f ca="1"/>
        <v>0x5011</v>
      </c>
      <c r="V2049" s="7" t="str">
        <f ca="1"/>
        <v>DateTime</v>
      </c>
    </row>
    <row r="2050" spans="20:22" x14ac:dyDescent="0.25">
      <c r="T2050" s="7" t="str">
        <f ca="1"/>
        <v>Z5</v>
      </c>
      <c r="U2050" s="7" t="str">
        <f ca="1"/>
        <v>0x5013</v>
      </c>
      <c r="V2050" s="7" t="str">
        <f ca="1"/>
        <v>StillCaptureMode</v>
      </c>
    </row>
    <row r="2051" spans="20:22" x14ac:dyDescent="0.25">
      <c r="T2051" s="7" t="str">
        <f ca="1"/>
        <v>Z5</v>
      </c>
      <c r="U2051" s="7" t="str">
        <f ca="1"/>
        <v>0x5018</v>
      </c>
      <c r="V2051" s="7" t="str">
        <f ca="1"/>
        <v>BurstNumber</v>
      </c>
    </row>
    <row r="2052" spans="20:22" x14ac:dyDescent="0.25">
      <c r="T2052" s="7" t="str">
        <f ca="1"/>
        <v>Z5</v>
      </c>
      <c r="U2052" s="7" t="str">
        <f ca="1"/>
        <v>0x501C</v>
      </c>
      <c r="V2052" s="7" t="str">
        <f ca="1"/>
        <v>FocusMeteringMode</v>
      </c>
    </row>
    <row r="2053" spans="20:22" x14ac:dyDescent="0.25">
      <c r="T2053" s="7" t="str">
        <f ca="1"/>
        <v>Z5</v>
      </c>
      <c r="U2053" s="7" t="str">
        <f ca="1"/>
        <v>0x501E</v>
      </c>
      <c r="V2053" s="7" t="str">
        <f ca="1"/>
        <v>Artist</v>
      </c>
    </row>
    <row r="2054" spans="20:22" x14ac:dyDescent="0.25">
      <c r="T2054" s="7" t="str">
        <f ca="1"/>
        <v>Z5</v>
      </c>
      <c r="U2054" s="7" t="str">
        <f ca="1"/>
        <v>0x501F</v>
      </c>
      <c r="V2054" s="7" t="str">
        <f ca="1"/>
        <v>Copyright</v>
      </c>
    </row>
    <row r="2055" spans="20:22" x14ac:dyDescent="0.25">
      <c r="T2055" s="7" t="str">
        <f ca="1"/>
        <v>Z5</v>
      </c>
      <c r="U2055" s="7" t="str">
        <f ca="1"/>
        <v>0xD015</v>
      </c>
      <c r="V2055" s="7" t="str">
        <f ca="1"/>
        <v>ResetShootingMenu</v>
      </c>
    </row>
    <row r="2056" spans="20:22" x14ac:dyDescent="0.25">
      <c r="T2056" s="7" t="str">
        <f ca="1"/>
        <v>Z5</v>
      </c>
      <c r="U2056" s="7" t="str">
        <f ca="1"/>
        <v>0xD016</v>
      </c>
      <c r="V2056" s="7" t="str">
        <f ca="1"/>
        <v>RawCompressionType</v>
      </c>
    </row>
    <row r="2057" spans="20:22" x14ac:dyDescent="0.25">
      <c r="T2057" s="7" t="str">
        <f ca="1"/>
        <v>Z5</v>
      </c>
      <c r="U2057" s="7" t="str">
        <f ca="1"/>
        <v>0xD017</v>
      </c>
      <c r="V2057" s="7" t="str">
        <f ca="1"/>
        <v>WbTuneAuto</v>
      </c>
    </row>
    <row r="2058" spans="20:22" x14ac:dyDescent="0.25">
      <c r="T2058" s="7" t="str">
        <f ca="1"/>
        <v>Z5</v>
      </c>
      <c r="U2058" s="7" t="str">
        <f ca="1"/>
        <v>0xD018</v>
      </c>
      <c r="V2058" s="7" t="str">
        <f ca="1"/>
        <v>WbTuneIncandescent</v>
      </c>
    </row>
    <row r="2059" spans="20:22" x14ac:dyDescent="0.25">
      <c r="T2059" s="7" t="str">
        <f ca="1"/>
        <v>Z5</v>
      </c>
      <c r="U2059" s="7" t="str">
        <f ca="1"/>
        <v>0xD019</v>
      </c>
      <c r="V2059" s="7" t="str">
        <f ca="1"/>
        <v>WbTuneFluorescent</v>
      </c>
    </row>
    <row r="2060" spans="20:22" x14ac:dyDescent="0.25">
      <c r="T2060" s="7" t="str">
        <f ca="1"/>
        <v>Z5</v>
      </c>
      <c r="U2060" s="7" t="str">
        <f ca="1"/>
        <v>0xD01A</v>
      </c>
      <c r="V2060" s="7" t="str">
        <f ca="1"/>
        <v>WbTuneSunny</v>
      </c>
    </row>
    <row r="2061" spans="20:22" x14ac:dyDescent="0.25">
      <c r="T2061" s="7" t="str">
        <f ca="1"/>
        <v>Z5</v>
      </c>
      <c r="U2061" s="7" t="str">
        <f ca="1"/>
        <v>0xD01B</v>
      </c>
      <c r="V2061" s="7" t="str">
        <f ca="1"/>
        <v>WbTuneFlash</v>
      </c>
    </row>
    <row r="2062" spans="20:22" x14ac:dyDescent="0.25">
      <c r="T2062" s="7" t="str">
        <f ca="1"/>
        <v>Z5</v>
      </c>
      <c r="U2062" s="7" t="str">
        <f ca="1"/>
        <v>0xD01C</v>
      </c>
      <c r="V2062" s="7" t="str">
        <f ca="1"/>
        <v>WbTuneCloudy</v>
      </c>
    </row>
    <row r="2063" spans="20:22" x14ac:dyDescent="0.25">
      <c r="T2063" s="7" t="str">
        <f ca="1"/>
        <v>Z5</v>
      </c>
      <c r="U2063" s="7" t="str">
        <f ca="1"/>
        <v>0xD01D</v>
      </c>
      <c r="V2063" s="7" t="str">
        <f ca="1"/>
        <v>WbTuneShade</v>
      </c>
    </row>
    <row r="2064" spans="20:22" x14ac:dyDescent="0.25">
      <c r="T2064" s="7" t="str">
        <f ca="1"/>
        <v>Z5</v>
      </c>
      <c r="U2064" s="7" t="str">
        <f ca="1"/>
        <v>0xD01E</v>
      </c>
      <c r="V2064" s="7" t="str">
        <f ca="1"/>
        <v>WbColorTemp</v>
      </c>
    </row>
    <row r="2065" spans="20:22" x14ac:dyDescent="0.25">
      <c r="T2065" s="7" t="str">
        <f ca="1"/>
        <v>Z5</v>
      </c>
      <c r="U2065" s="7" t="str">
        <f ca="1"/>
        <v>0xD01F</v>
      </c>
      <c r="V2065" s="7" t="str">
        <f ca="1"/>
        <v>WbPresetDataNo</v>
      </c>
    </row>
    <row r="2066" spans="20:22" x14ac:dyDescent="0.25">
      <c r="T2066" s="7" t="str">
        <f ca="1"/>
        <v>Z5</v>
      </c>
      <c r="U2066" s="7" t="str">
        <f ca="1"/>
        <v>0xD021</v>
      </c>
      <c r="V2066" s="7" t="str">
        <f ca="1"/>
        <v>WbPresetDataComment1</v>
      </c>
    </row>
    <row r="2067" spans="20:22" x14ac:dyDescent="0.25">
      <c r="T2067" s="7" t="str">
        <f ca="1"/>
        <v>Z5</v>
      </c>
      <c r="U2067" s="7" t="str">
        <f ca="1"/>
        <v>0xD022</v>
      </c>
      <c r="V2067" s="7" t="str">
        <f ca="1"/>
        <v>WbPresetDataComment2</v>
      </c>
    </row>
    <row r="2068" spans="20:22" x14ac:dyDescent="0.25">
      <c r="T2068" s="7" t="str">
        <f ca="1"/>
        <v>Z5</v>
      </c>
      <c r="U2068" s="7" t="str">
        <f ca="1"/>
        <v>0xD023</v>
      </c>
      <c r="V2068" s="7" t="str">
        <f ca="1"/>
        <v>WbPresetDataComment3</v>
      </c>
    </row>
    <row r="2069" spans="20:22" x14ac:dyDescent="0.25">
      <c r="T2069" s="7" t="str">
        <f ca="1"/>
        <v>Z5</v>
      </c>
      <c r="U2069" s="7" t="str">
        <f ca="1"/>
        <v>0xD024</v>
      </c>
      <c r="V2069" s="7" t="str">
        <f ca="1"/>
        <v>WbPresetDataComment4</v>
      </c>
    </row>
    <row r="2070" spans="20:22" x14ac:dyDescent="0.25">
      <c r="T2070" s="7" t="str">
        <f ca="1"/>
        <v>Z5</v>
      </c>
      <c r="U2070" s="7" t="str">
        <f ca="1"/>
        <v>0xD026</v>
      </c>
      <c r="V2070" s="7" t="str">
        <f ca="1"/>
        <v>WbPresetDataValue1</v>
      </c>
    </row>
    <row r="2071" spans="20:22" x14ac:dyDescent="0.25">
      <c r="T2071" s="7" t="str">
        <f ca="1"/>
        <v>Z5</v>
      </c>
      <c r="U2071" s="7" t="str">
        <f ca="1"/>
        <v>0xD027</v>
      </c>
      <c r="V2071" s="7" t="str">
        <f ca="1"/>
        <v>WbPresetDataValue2</v>
      </c>
    </row>
    <row r="2072" spans="20:22" x14ac:dyDescent="0.25">
      <c r="T2072" s="7" t="str">
        <f ca="1"/>
        <v>Z5</v>
      </c>
      <c r="U2072" s="7" t="str">
        <f ca="1"/>
        <v>0xD028</v>
      </c>
      <c r="V2072" s="7" t="str">
        <f ca="1"/>
        <v>WbPresetDataValue3</v>
      </c>
    </row>
    <row r="2073" spans="20:22" x14ac:dyDescent="0.25">
      <c r="T2073" s="7" t="str">
        <f ca="1"/>
        <v>Z5</v>
      </c>
      <c r="U2073" s="7" t="str">
        <f ca="1"/>
        <v>0xD029</v>
      </c>
      <c r="V2073" s="7" t="str">
        <f ca="1"/>
        <v>WbPresetDataValue4</v>
      </c>
    </row>
    <row r="2074" spans="20:22" x14ac:dyDescent="0.25">
      <c r="T2074" s="7" t="str">
        <f ca="1"/>
        <v>Z5</v>
      </c>
      <c r="U2074" s="7" t="str">
        <f ca="1"/>
        <v>0xD02E</v>
      </c>
      <c r="V2074" s="7" t="str">
        <f ca="1"/>
        <v>FmmManualSetting</v>
      </c>
    </row>
    <row r="2075" spans="20:22" x14ac:dyDescent="0.25">
      <c r="T2075" s="7" t="str">
        <f ca="1"/>
        <v>Z5</v>
      </c>
      <c r="U2075" s="7" t="str">
        <f ca="1"/>
        <v>0xD02F</v>
      </c>
      <c r="V2075" s="7" t="str">
        <f ca="1"/>
        <v>F0ManualSetting</v>
      </c>
    </row>
    <row r="2076" spans="20:22" x14ac:dyDescent="0.25">
      <c r="T2076" s="7" t="str">
        <f ca="1"/>
        <v>Z5</v>
      </c>
      <c r="U2076" s="7" t="str">
        <f ca="1"/>
        <v>0xD030</v>
      </c>
      <c r="V2076" s="7" t="str">
        <f ca="1"/>
        <v>CaptureAreaCrop</v>
      </c>
    </row>
    <row r="2077" spans="20:22" x14ac:dyDescent="0.25">
      <c r="T2077" s="7" t="str">
        <f ca="1"/>
        <v>Z5</v>
      </c>
      <c r="U2077" s="7" t="str">
        <f ca="1"/>
        <v>0xD032</v>
      </c>
      <c r="V2077" s="7" t="str">
        <f ca="1"/>
        <v>ColorSpace</v>
      </c>
    </row>
    <row r="2078" spans="20:22" x14ac:dyDescent="0.25">
      <c r="T2078" s="7" t="str">
        <f ca="1"/>
        <v>Z5</v>
      </c>
      <c r="U2078" s="7" t="str">
        <f ca="1"/>
        <v>0xD034</v>
      </c>
      <c r="V2078" s="7" t="str">
        <f ca="1"/>
        <v>DecreaseFlicker</v>
      </c>
    </row>
    <row r="2079" spans="20:22" x14ac:dyDescent="0.25">
      <c r="T2079" s="7" t="str">
        <f ca="1"/>
        <v>Z5</v>
      </c>
      <c r="U2079" s="7" t="str">
        <f ca="1"/>
        <v>0xD038</v>
      </c>
      <c r="V2079" s="7" t="str">
        <f ca="1"/>
        <v>WbPresetDataComment5</v>
      </c>
    </row>
    <row r="2080" spans="20:22" x14ac:dyDescent="0.25">
      <c r="T2080" s="7" t="str">
        <f ca="1"/>
        <v>Z5</v>
      </c>
      <c r="U2080" s="7" t="str">
        <f ca="1"/>
        <v>0xD039</v>
      </c>
      <c r="V2080" s="7" t="str">
        <f ca="1"/>
        <v>WbPresetDataComment6</v>
      </c>
    </row>
    <row r="2081" spans="20:22" x14ac:dyDescent="0.25">
      <c r="T2081" s="7" t="str">
        <f ca="1"/>
        <v>Z5</v>
      </c>
      <c r="U2081" s="7" t="str">
        <f ca="1"/>
        <v>0xD03A</v>
      </c>
      <c r="V2081" s="7" t="str">
        <f ca="1"/>
        <v>WbTunePreset5</v>
      </c>
    </row>
    <row r="2082" spans="20:22" x14ac:dyDescent="0.25">
      <c r="T2082" s="7" t="str">
        <f ca="1"/>
        <v>Z5</v>
      </c>
      <c r="U2082" s="7" t="str">
        <f ca="1"/>
        <v>0xD03B</v>
      </c>
      <c r="V2082" s="7" t="str">
        <f ca="1"/>
        <v>WbTunePreset6</v>
      </c>
    </row>
    <row r="2083" spans="20:22" x14ac:dyDescent="0.25">
      <c r="T2083" s="7" t="str">
        <f ca="1"/>
        <v>Z5</v>
      </c>
      <c r="U2083" s="7" t="str">
        <f ca="1"/>
        <v>0xD03C</v>
      </c>
      <c r="V2083" s="7" t="str">
        <f ca="1"/>
        <v>WbPresetProtect5</v>
      </c>
    </row>
    <row r="2084" spans="20:22" x14ac:dyDescent="0.25">
      <c r="T2084" s="7" t="str">
        <f ca="1"/>
        <v>Z5</v>
      </c>
      <c r="U2084" s="7" t="str">
        <f ca="1"/>
        <v>0xD03D</v>
      </c>
      <c r="V2084" s="7" t="str">
        <f ca="1"/>
        <v>WbPresetProtect6</v>
      </c>
    </row>
    <row r="2085" spans="20:22" x14ac:dyDescent="0.25">
      <c r="T2085" s="7" t="str">
        <f ca="1"/>
        <v>Z5</v>
      </c>
      <c r="U2085" s="7" t="str">
        <f ca="1"/>
        <v>0xD03E</v>
      </c>
      <c r="V2085" s="7" t="str">
        <f ca="1"/>
        <v>WbPresetDataValue5</v>
      </c>
    </row>
    <row r="2086" spans="20:22" x14ac:dyDescent="0.25">
      <c r="T2086" s="7" t="str">
        <f ca="1"/>
        <v>Z5</v>
      </c>
      <c r="U2086" s="7" t="str">
        <f ca="1"/>
        <v>0xD03F</v>
      </c>
      <c r="V2086" s="7" t="str">
        <f ca="1"/>
        <v>WbPresetDataValue6</v>
      </c>
    </row>
    <row r="2087" spans="20:22" x14ac:dyDescent="0.25">
      <c r="T2087" s="7" t="str">
        <f ca="1"/>
        <v>Z5</v>
      </c>
      <c r="U2087" s="7" t="str">
        <f ca="1"/>
        <v>0xD045</v>
      </c>
      <c r="V2087" s="7" t="str">
        <f ca="1"/>
        <v>ResetCustomSetting</v>
      </c>
    </row>
    <row r="2088" spans="20:22" x14ac:dyDescent="0.25">
      <c r="T2088" s="7" t="str">
        <f ca="1"/>
        <v>Z5</v>
      </c>
      <c r="U2088" s="7" t="str">
        <f ca="1"/>
        <v>0xD046</v>
      </c>
      <c r="V2088" s="7" t="str">
        <f ca="1"/>
        <v>AFStillLockOnAcross</v>
      </c>
    </row>
    <row r="2089" spans="20:22" x14ac:dyDescent="0.25">
      <c r="T2089" s="7" t="str">
        <f ca="1"/>
        <v>Z5</v>
      </c>
      <c r="U2089" s="7" t="str">
        <f ca="1"/>
        <v>0xD048</v>
      </c>
      <c r="V2089" s="7" t="str">
        <f ca="1"/>
        <v>DynamicAFonAFC</v>
      </c>
    </row>
    <row r="2090" spans="20:22" x14ac:dyDescent="0.25">
      <c r="T2090" s="7" t="str">
        <f ca="1"/>
        <v>Z5</v>
      </c>
      <c r="U2090" s="7" t="str">
        <f ca="1"/>
        <v>0xD049</v>
      </c>
      <c r="V2090" s="7" t="str">
        <f ca="1"/>
        <v>DynamicAFonAFS</v>
      </c>
    </row>
    <row r="2091" spans="20:22" x14ac:dyDescent="0.25">
      <c r="T2091" s="7" t="str">
        <f ca="1"/>
        <v>Z5</v>
      </c>
      <c r="U2091" s="7" t="str">
        <f ca="1"/>
        <v>0xD04F</v>
      </c>
      <c r="V2091" s="7" t="str">
        <f ca="1"/>
        <v>FocusAreaSelect</v>
      </c>
    </row>
    <row r="2092" spans="20:22" x14ac:dyDescent="0.25">
      <c r="T2092" s="7" t="str">
        <f ca="1"/>
        <v>Z5</v>
      </c>
      <c r="U2092" s="7" t="str">
        <f ca="1"/>
        <v>0xD053</v>
      </c>
      <c r="V2092" s="7" t="str">
        <f ca="1"/>
        <v>EnableCopyright</v>
      </c>
    </row>
    <row r="2093" spans="20:22" x14ac:dyDescent="0.25">
      <c r="T2093" s="7" t="str">
        <f ca="1"/>
        <v>Z5</v>
      </c>
      <c r="U2093" s="7" t="str">
        <f ca="1"/>
        <v>0xD054</v>
      </c>
      <c r="V2093" s="7" t="str">
        <f ca="1"/>
        <v>ISOAutoControl</v>
      </c>
    </row>
    <row r="2094" spans="20:22" x14ac:dyDescent="0.25">
      <c r="T2094" s="7" t="str">
        <f ca="1"/>
        <v>Z5</v>
      </c>
      <c r="U2094" s="7" t="str">
        <f ca="1"/>
        <v>0xD056</v>
      </c>
      <c r="V2094" s="7" t="str">
        <f ca="1"/>
        <v>ExposureEVStep</v>
      </c>
    </row>
    <row r="2095" spans="20:22" x14ac:dyDescent="0.25">
      <c r="T2095" s="7" t="str">
        <f ca="1"/>
        <v>Z5</v>
      </c>
      <c r="U2095" s="7" t="str">
        <f ca="1"/>
        <v>0xD059</v>
      </c>
      <c r="V2095" s="7" t="str">
        <f ca="1"/>
        <v>CenterWeightedExRange</v>
      </c>
    </row>
    <row r="2096" spans="20:22" x14ac:dyDescent="0.25">
      <c r="T2096" s="7" t="str">
        <f ca="1"/>
        <v>Z5</v>
      </c>
      <c r="U2096" s="7" t="str">
        <f ca="1"/>
        <v>0xD05A</v>
      </c>
      <c r="V2096" s="7" t="str">
        <f ca="1"/>
        <v>ExposureBaseCompMatrix</v>
      </c>
    </row>
    <row r="2097" spans="20:22" x14ac:dyDescent="0.25">
      <c r="T2097" s="7" t="str">
        <f ca="1"/>
        <v>Z5</v>
      </c>
      <c r="U2097" s="7" t="str">
        <f ca="1"/>
        <v>0xD05B</v>
      </c>
      <c r="V2097" s="7" t="str">
        <f ca="1"/>
        <v>ExposureBaseCompCenter</v>
      </c>
    </row>
    <row r="2098" spans="20:22" x14ac:dyDescent="0.25">
      <c r="T2098" s="7" t="str">
        <f ca="1"/>
        <v>Z5</v>
      </c>
      <c r="U2098" s="7" t="str">
        <f ca="1"/>
        <v>0xD05C</v>
      </c>
      <c r="V2098" s="7" t="str">
        <f ca="1"/>
        <v>ExposureBaseCompSpot</v>
      </c>
    </row>
    <row r="2099" spans="20:22" x14ac:dyDescent="0.25">
      <c r="T2099" s="7" t="str">
        <f ca="1"/>
        <v>Z5</v>
      </c>
      <c r="U2099" s="7" t="str">
        <f ca="1"/>
        <v>0xD061</v>
      </c>
      <c r="V2099" s="7" t="str">
        <f ca="1"/>
        <v>AfModeAtLiveView</v>
      </c>
    </row>
    <row r="2100" spans="20:22" x14ac:dyDescent="0.25">
      <c r="T2100" s="7" t="str">
        <f ca="1"/>
        <v>Z5</v>
      </c>
      <c r="U2100" s="7" t="str">
        <f ca="1"/>
        <v>0xD067</v>
      </c>
      <c r="V2100" s="7" t="str">
        <f ca="1"/>
        <v>AngleLevel</v>
      </c>
    </row>
    <row r="2101" spans="20:22" x14ac:dyDescent="0.25">
      <c r="T2101" s="7" t="str">
        <f ca="1"/>
        <v>Z5</v>
      </c>
      <c r="U2101" s="7" t="str">
        <f ca="1"/>
        <v>0xD068</v>
      </c>
      <c r="V2101" s="7" t="str">
        <f ca="1"/>
        <v>CSpeedLow</v>
      </c>
    </row>
    <row r="2102" spans="20:22" x14ac:dyDescent="0.25">
      <c r="T2102" s="7" t="str">
        <f ca="1"/>
        <v>Z5</v>
      </c>
      <c r="U2102" s="7" t="str">
        <f ca="1"/>
        <v>0xD069</v>
      </c>
      <c r="V2102" s="7" t="str">
        <f ca="1"/>
        <v>BurstMaxNumber</v>
      </c>
    </row>
    <row r="2103" spans="20:22" x14ac:dyDescent="0.25">
      <c r="T2103" s="7" t="str">
        <f ca="1"/>
        <v>Z5</v>
      </c>
      <c r="U2103" s="7" t="str">
        <f ca="1"/>
        <v>0xD06A</v>
      </c>
      <c r="V2103" s="7" t="str">
        <f ca="1"/>
        <v>ExposureDelay</v>
      </c>
    </row>
    <row r="2104" spans="20:22" x14ac:dyDescent="0.25">
      <c r="T2104" s="7" t="str">
        <f ca="1"/>
        <v>Z5</v>
      </c>
      <c r="U2104" s="7" t="str">
        <f ca="1"/>
        <v>0xD06B</v>
      </c>
      <c r="V2104" s="7" t="str">
        <f ca="1"/>
        <v>NoiseReduction</v>
      </c>
    </row>
    <row r="2105" spans="20:22" x14ac:dyDescent="0.25">
      <c r="T2105" s="7" t="str">
        <f ca="1"/>
        <v>Z5</v>
      </c>
      <c r="U2105" s="7" t="str">
        <f ca="1"/>
        <v>0xD06C</v>
      </c>
      <c r="V2105" s="7" t="str">
        <f ca="1"/>
        <v>NumberingMode</v>
      </c>
    </row>
    <row r="2106" spans="20:22" x14ac:dyDescent="0.25">
      <c r="T2106" s="7" t="str">
        <f ca="1"/>
        <v>Z5</v>
      </c>
      <c r="U2106" s="7" t="str">
        <f ca="1"/>
        <v>0xD070</v>
      </c>
      <c r="V2106" s="7" t="str">
        <f ca="1"/>
        <v>NoiseReductionHiIso</v>
      </c>
    </row>
    <row r="2107" spans="20:22" x14ac:dyDescent="0.25">
      <c r="T2107" s="7" t="str">
        <f ca="1"/>
        <v>Z5</v>
      </c>
      <c r="U2107" s="7" t="str">
        <f ca="1"/>
        <v>0xD072</v>
      </c>
      <c r="V2107" s="7" t="str">
        <f ca="1"/>
        <v>ArtistV</v>
      </c>
    </row>
    <row r="2108" spans="20:22" x14ac:dyDescent="0.25">
      <c r="T2108" s="7" t="str">
        <f ca="1"/>
        <v>Z5</v>
      </c>
      <c r="U2108" s="7" t="str">
        <f ca="1"/>
        <v>0xD073</v>
      </c>
      <c r="V2108" s="7" t="str">
        <f ca="1"/>
        <v>CopyrightV</v>
      </c>
    </row>
    <row r="2109" spans="20:22" x14ac:dyDescent="0.25">
      <c r="T2109" s="7" t="str">
        <f ca="1"/>
        <v>Z5</v>
      </c>
      <c r="U2109" s="7" t="str">
        <f ca="1"/>
        <v>0xD074</v>
      </c>
      <c r="V2109" s="7" t="str">
        <f ca="1"/>
        <v>FlashSyncSpeed</v>
      </c>
    </row>
    <row r="2110" spans="20:22" x14ac:dyDescent="0.25">
      <c r="T2110" s="7" t="str">
        <f ca="1"/>
        <v>Z5</v>
      </c>
      <c r="U2110" s="7" t="str">
        <f ca="1"/>
        <v>0xD075</v>
      </c>
      <c r="V2110" s="7" t="str">
        <f ca="1"/>
        <v>FlashSlowSpeedLimit</v>
      </c>
    </row>
    <row r="2111" spans="20:22" x14ac:dyDescent="0.25">
      <c r="T2111" s="7" t="str">
        <f ca="1"/>
        <v>Z5</v>
      </c>
      <c r="U2111" s="7" t="str">
        <f ca="1"/>
        <v>0xD078</v>
      </c>
      <c r="V2111" s="7" t="str">
        <f ca="1"/>
        <v>BracketingType</v>
      </c>
    </row>
    <row r="2112" spans="20:22" x14ac:dyDescent="0.25">
      <c r="T2112" s="7" t="str">
        <f ca="1"/>
        <v>Z5</v>
      </c>
      <c r="U2112" s="7" t="str">
        <f ca="1"/>
        <v>0xD079</v>
      </c>
      <c r="V2112" s="7" t="str">
        <f ca="1"/>
        <v>SelectBracketChangeFactor</v>
      </c>
    </row>
    <row r="2113" spans="20:22" x14ac:dyDescent="0.25">
      <c r="T2113" s="7" t="str">
        <f ca="1"/>
        <v>Z5</v>
      </c>
      <c r="U2113" s="7" t="str">
        <f ca="1"/>
        <v>0xD07A</v>
      </c>
      <c r="V2113" s="7" t="str">
        <f ca="1"/>
        <v>BracketingOrder</v>
      </c>
    </row>
    <row r="2114" spans="20:22" x14ac:dyDescent="0.25">
      <c r="T2114" s="7" t="str">
        <f ca="1"/>
        <v>Z5</v>
      </c>
      <c r="U2114" s="7" t="str">
        <f ca="1"/>
        <v>0xD07D</v>
      </c>
      <c r="V2114" s="7" t="str">
        <f ca="1"/>
        <v>AngleLevelPitching</v>
      </c>
    </row>
    <row r="2115" spans="20:22" x14ac:dyDescent="0.25">
      <c r="T2115" s="7" t="str">
        <f ca="1"/>
        <v>Z5</v>
      </c>
      <c r="U2115" s="7" t="str">
        <f ca="1"/>
        <v>0xD07E</v>
      </c>
      <c r="V2115" s="7" t="str">
        <f ca="1"/>
        <v>AngleLevelYawing</v>
      </c>
    </row>
    <row r="2116" spans="20:22" x14ac:dyDescent="0.25">
      <c r="T2116" s="7" t="str">
        <f ca="1"/>
        <v>Z5</v>
      </c>
      <c r="U2116" s="7" t="str">
        <f ca="1"/>
        <v>0xD08A</v>
      </c>
      <c r="V2116" s="7" t="str">
        <f ca="1"/>
        <v>EnableShutter</v>
      </c>
    </row>
    <row r="2117" spans="20:22" x14ac:dyDescent="0.25">
      <c r="T2117" s="7" t="str">
        <f ca="1"/>
        <v>Z5</v>
      </c>
      <c r="U2117" s="7" t="str">
        <f ca="1"/>
        <v>0xD08D</v>
      </c>
      <c r="V2117" s="7" t="str">
        <f ca="1"/>
        <v>EnableAFAreaPoint</v>
      </c>
    </row>
    <row r="2118" spans="20:22" x14ac:dyDescent="0.25">
      <c r="T2118" s="7" t="str">
        <f ca="1"/>
        <v>Z5</v>
      </c>
      <c r="U2118" s="7" t="str">
        <f ca="1"/>
        <v>0xD08F</v>
      </c>
      <c r="V2118" s="7" t="str">
        <f ca="1"/>
        <v>ImageSensorCleaning</v>
      </c>
    </row>
    <row r="2119" spans="20:22" x14ac:dyDescent="0.25">
      <c r="T2119" s="7" t="str">
        <f ca="1"/>
        <v>Z5</v>
      </c>
      <c r="U2119" s="7" t="str">
        <f ca="1"/>
        <v>0xD090</v>
      </c>
      <c r="V2119" s="7" t="str">
        <f ca="1"/>
        <v>CommentString</v>
      </c>
    </row>
    <row r="2120" spans="20:22" x14ac:dyDescent="0.25">
      <c r="T2120" s="7" t="str">
        <f ca="1"/>
        <v>Z5</v>
      </c>
      <c r="U2120" s="7" t="str">
        <f ca="1"/>
        <v>0xD091</v>
      </c>
      <c r="V2120" s="7" t="str">
        <f ca="1"/>
        <v>EnableComment</v>
      </c>
    </row>
    <row r="2121" spans="20:22" x14ac:dyDescent="0.25">
      <c r="T2121" s="7" t="str">
        <f ca="1"/>
        <v>Z5</v>
      </c>
      <c r="U2121" s="7" t="str">
        <f ca="1"/>
        <v>0xD093</v>
      </c>
      <c r="V2121" s="7" t="str">
        <f ca="1"/>
        <v>ManualSettingLensNo</v>
      </c>
    </row>
    <row r="2122" spans="20:22" x14ac:dyDescent="0.25">
      <c r="T2122" s="7" t="str">
        <f ca="1"/>
        <v>Z5</v>
      </c>
      <c r="U2122" s="7" t="str">
        <f ca="1"/>
        <v>0xD09C</v>
      </c>
      <c r="V2122" s="7" t="str">
        <f ca="1"/>
        <v>RetractableLensWarning</v>
      </c>
    </row>
    <row r="2123" spans="20:22" x14ac:dyDescent="0.25">
      <c r="T2123" s="7" t="str">
        <f ca="1"/>
        <v>Z5</v>
      </c>
      <c r="U2123" s="7" t="str">
        <f ca="1"/>
        <v>0xD09D</v>
      </c>
      <c r="V2123" s="7" t="str">
        <f ca="1"/>
        <v>FaceDetection</v>
      </c>
    </row>
    <row r="2124" spans="20:22" x14ac:dyDescent="0.25">
      <c r="T2124" s="7" t="str">
        <f ca="1"/>
        <v>Z5</v>
      </c>
      <c r="U2124" s="7" t="str">
        <f ca="1"/>
        <v>0xD0A0</v>
      </c>
      <c r="V2124" s="7" t="str">
        <f ca="1"/>
        <v>MovieRecordScreenSize</v>
      </c>
    </row>
    <row r="2125" spans="20:22" x14ac:dyDescent="0.25">
      <c r="T2125" s="7" t="str">
        <f ca="1"/>
        <v>Z5</v>
      </c>
      <c r="U2125" s="7" t="str">
        <f ca="1"/>
        <v>0xD0A2</v>
      </c>
      <c r="V2125" s="7" t="str">
        <f ca="1"/>
        <v>MovieRecordMicrophoneLevel</v>
      </c>
    </row>
    <row r="2126" spans="20:22" x14ac:dyDescent="0.25">
      <c r="T2126" s="7" t="str">
        <f ca="1"/>
        <v>Z5</v>
      </c>
      <c r="U2126" s="7" t="str">
        <f ca="1"/>
        <v>0xD0A3</v>
      </c>
      <c r="V2126" s="7" t="str">
        <f ca="1"/>
        <v>MovieRecordDestination</v>
      </c>
    </row>
    <row r="2127" spans="20:22" x14ac:dyDescent="0.25">
      <c r="T2127" s="7" t="str">
        <f ca="1"/>
        <v>Z5</v>
      </c>
      <c r="U2127" s="7" t="str">
        <f ca="1"/>
        <v>0xD0A4</v>
      </c>
      <c r="V2127" s="7" t="str">
        <f ca="1"/>
        <v>MovieRecProhibitionCondition</v>
      </c>
    </row>
    <row r="2128" spans="20:22" x14ac:dyDescent="0.25">
      <c r="T2128" s="7" t="str">
        <f ca="1"/>
        <v>Z5</v>
      </c>
      <c r="U2128" s="7" t="str">
        <f ca="1"/>
        <v>0xD0A7</v>
      </c>
      <c r="V2128" s="7" t="str">
        <f ca="1"/>
        <v>MovieRecordQuality</v>
      </c>
    </row>
    <row r="2129" spans="20:22" x14ac:dyDescent="0.25">
      <c r="T2129" s="7" t="str">
        <f ca="1"/>
        <v>Z5</v>
      </c>
      <c r="U2129" s="7" t="str">
        <f ca="1"/>
        <v>0xD0A8</v>
      </c>
      <c r="V2129" s="7" t="str">
        <f ca="1"/>
        <v>MovieRecordMicrophoneLevelValue</v>
      </c>
    </row>
    <row r="2130" spans="20:22" x14ac:dyDescent="0.25">
      <c r="T2130" s="7" t="str">
        <f ca="1"/>
        <v>Z5</v>
      </c>
      <c r="U2130" s="7" t="str">
        <f ca="1"/>
        <v>0xD0AA</v>
      </c>
      <c r="V2130" s="7" t="str">
        <f ca="1"/>
        <v>MovieWindNoiseReduction</v>
      </c>
    </row>
    <row r="2131" spans="20:22" x14ac:dyDescent="0.25">
      <c r="T2131" s="7" t="str">
        <f ca="1"/>
        <v>Z5</v>
      </c>
      <c r="U2131" s="7" t="str">
        <f ca="1"/>
        <v>0xD0AC</v>
      </c>
      <c r="V2131" s="7" t="str">
        <f ca="1"/>
        <v>MovieRecordingZone</v>
      </c>
    </row>
    <row r="2132" spans="20:22" x14ac:dyDescent="0.25">
      <c r="T2132" s="7" t="str">
        <f ca="1"/>
        <v>Z5</v>
      </c>
      <c r="U2132" s="7" t="str">
        <f ca="1"/>
        <v>0xD0AD</v>
      </c>
      <c r="V2132" s="7" t="str">
        <f ca="1"/>
        <v>MovieISOAutoControl</v>
      </c>
    </row>
    <row r="2133" spans="20:22" x14ac:dyDescent="0.25">
      <c r="T2133" s="7" t="str">
        <f ca="1"/>
        <v>Z5</v>
      </c>
      <c r="U2133" s="7" t="str">
        <f ca="1"/>
        <v>0xD0AE</v>
      </c>
      <c r="V2133" s="7" t="str">
        <f ca="1"/>
        <v>MovieISOAutoHighLimit</v>
      </c>
    </row>
    <row r="2134" spans="20:22" x14ac:dyDescent="0.25">
      <c r="T2134" s="7" t="str">
        <f ca="1"/>
        <v>Z5</v>
      </c>
      <c r="U2134" s="7" t="str">
        <f ca="1"/>
        <v>0xD0AF</v>
      </c>
      <c r="V2134" s="7" t="str">
        <f ca="1"/>
        <v>MovieFileType</v>
      </c>
    </row>
    <row r="2135" spans="20:22" x14ac:dyDescent="0.25">
      <c r="T2135" s="7" t="str">
        <f ca="1"/>
        <v>Z5</v>
      </c>
      <c r="U2135" s="7" t="str">
        <f ca="1"/>
        <v>0xD0B4</v>
      </c>
      <c r="V2135" s="7" t="str">
        <f ca="1"/>
        <v>ExposureIndexEx</v>
      </c>
    </row>
    <row r="2136" spans="20:22" x14ac:dyDescent="0.25">
      <c r="T2136" s="7" t="str">
        <f ca="1"/>
        <v>Z5</v>
      </c>
      <c r="U2136" s="7" t="str">
        <f ca="1"/>
        <v>0xD0B5</v>
      </c>
      <c r="V2136" s="7" t="str">
        <f ca="1"/>
        <v>ISOControlSensitivity</v>
      </c>
    </row>
    <row r="2137" spans="20:22" x14ac:dyDescent="0.25">
      <c r="T2137" s="7" t="str">
        <f ca="1"/>
        <v>Z5</v>
      </c>
      <c r="U2137" s="7" t="str">
        <f ca="1"/>
        <v>0xD0B7</v>
      </c>
      <c r="V2137" s="7" t="str">
        <f ca="1"/>
        <v>FlickerReductionSetting</v>
      </c>
    </row>
    <row r="2138" spans="20:22" x14ac:dyDescent="0.25">
      <c r="T2138" s="7" t="str">
        <f ca="1"/>
        <v>Z5</v>
      </c>
      <c r="U2138" s="7" t="str">
        <f ca="1"/>
        <v>0xD0BA</v>
      </c>
      <c r="V2138" s="7" t="str">
        <f ca="1"/>
        <v>DiffractionCompensation</v>
      </c>
    </row>
    <row r="2139" spans="20:22" x14ac:dyDescent="0.25">
      <c r="T2139" s="7" t="str">
        <f ca="1"/>
        <v>Z5</v>
      </c>
      <c r="U2139" s="7" t="str">
        <f ca="1"/>
        <v>0xD0BC</v>
      </c>
      <c r="V2139" s="7" t="str">
        <f ca="1"/>
        <v>MovieAutoDistortion</v>
      </c>
    </row>
    <row r="2140" spans="20:22" x14ac:dyDescent="0.25">
      <c r="T2140" s="7" t="str">
        <f ca="1"/>
        <v>Z5</v>
      </c>
      <c r="U2140" s="7" t="str">
        <f ca="1"/>
        <v>0xD0C0</v>
      </c>
      <c r="V2140" s="7" t="str">
        <f ca="1"/>
        <v>EnableBracketing</v>
      </c>
    </row>
    <row r="2141" spans="20:22" x14ac:dyDescent="0.25">
      <c r="T2141" s="7" t="str">
        <f ca="1"/>
        <v>Z5</v>
      </c>
      <c r="U2141" s="7" t="str">
        <f ca="1"/>
        <v>0xD0C1</v>
      </c>
      <c r="V2141" s="7" t="str">
        <f ca="1"/>
        <v>AEBracketingStep</v>
      </c>
    </row>
    <row r="2142" spans="20:22" x14ac:dyDescent="0.25">
      <c r="T2142" s="7" t="str">
        <f ca="1"/>
        <v>Z5</v>
      </c>
      <c r="U2142" s="7" t="str">
        <f ca="1"/>
        <v>0xD0C2</v>
      </c>
      <c r="V2142" s="7" t="str">
        <f ca="1"/>
        <v>AEBracketingPattern</v>
      </c>
    </row>
    <row r="2143" spans="20:22" x14ac:dyDescent="0.25">
      <c r="T2143" s="7" t="str">
        <f ca="1"/>
        <v>Z5</v>
      </c>
      <c r="U2143" s="7" t="str">
        <f ca="1"/>
        <v>0xD0C3</v>
      </c>
      <c r="V2143" s="7" t="str">
        <f ca="1"/>
        <v>AEBracketingCount</v>
      </c>
    </row>
    <row r="2144" spans="20:22" x14ac:dyDescent="0.25">
      <c r="T2144" s="7" t="str">
        <f ca="1"/>
        <v>Z5</v>
      </c>
      <c r="U2144" s="7" t="str">
        <f ca="1"/>
        <v>0xD0C4</v>
      </c>
      <c r="V2144" s="7" t="str">
        <f ca="1"/>
        <v>WBBracketingStep</v>
      </c>
    </row>
    <row r="2145" spans="20:22" x14ac:dyDescent="0.25">
      <c r="T2145" s="7" t="str">
        <f ca="1"/>
        <v>Z5</v>
      </c>
      <c r="U2145" s="7" t="str">
        <f ca="1"/>
        <v>0xD0C5</v>
      </c>
      <c r="V2145" s="7" t="str">
        <f ca="1"/>
        <v>WBBracketingPattern</v>
      </c>
    </row>
    <row r="2146" spans="20:22" x14ac:dyDescent="0.25">
      <c r="T2146" s="7" t="str">
        <f ca="1"/>
        <v>Z5</v>
      </c>
      <c r="U2146" s="7" t="str">
        <f ca="1"/>
        <v>0xD0C6</v>
      </c>
      <c r="V2146" s="7" t="str">
        <f ca="1"/>
        <v>ADLBracketingPattern</v>
      </c>
    </row>
    <row r="2147" spans="20:22" x14ac:dyDescent="0.25">
      <c r="T2147" s="7" t="str">
        <f ca="1"/>
        <v>Z5</v>
      </c>
      <c r="U2147" s="7" t="str">
        <f ca="1"/>
        <v>0xD0C7</v>
      </c>
      <c r="V2147" s="7" t="str">
        <f ca="1"/>
        <v>ADLBracketingStep</v>
      </c>
    </row>
    <row r="2148" spans="20:22" x14ac:dyDescent="0.25">
      <c r="T2148" s="7" t="str">
        <f ca="1"/>
        <v>Z5</v>
      </c>
      <c r="U2148" s="7" t="str">
        <f ca="1"/>
        <v>0xD0CD</v>
      </c>
      <c r="V2148" s="7" t="str">
        <f ca="1"/>
        <v>SaveFocusPosition</v>
      </c>
    </row>
    <row r="2149" spans="20:22" x14ac:dyDescent="0.25">
      <c r="T2149" s="7" t="str">
        <f ca="1"/>
        <v>Z5</v>
      </c>
      <c r="U2149" s="7" t="str">
        <f ca="1"/>
        <v>0xD0E0</v>
      </c>
      <c r="V2149" s="7" t="str">
        <f ca="1"/>
        <v>LensID</v>
      </c>
    </row>
    <row r="2150" spans="20:22" x14ac:dyDescent="0.25">
      <c r="T2150" s="7" t="str">
        <f ca="1"/>
        <v>Z5</v>
      </c>
      <c r="U2150" s="7" t="str">
        <f ca="1"/>
        <v>0xD0E1</v>
      </c>
      <c r="V2150" s="7" t="str">
        <f ca="1"/>
        <v>LensSort</v>
      </c>
    </row>
    <row r="2151" spans="20:22" x14ac:dyDescent="0.25">
      <c r="T2151" s="7" t="str">
        <f ca="1"/>
        <v>Z5</v>
      </c>
      <c r="U2151" s="7" t="str">
        <f ca="1"/>
        <v>0xD0E2</v>
      </c>
      <c r="V2151" s="7" t="str">
        <f ca="1"/>
        <v>LensTypeF</v>
      </c>
    </row>
    <row r="2152" spans="20:22" x14ac:dyDescent="0.25">
      <c r="T2152" s="7" t="str">
        <f ca="1"/>
        <v>Z5</v>
      </c>
      <c r="U2152" s="7" t="str">
        <f ca="1"/>
        <v>0xD0E3</v>
      </c>
      <c r="V2152" s="7" t="str">
        <f ca="1"/>
        <v>LensFocalMin</v>
      </c>
    </row>
    <row r="2153" spans="20:22" x14ac:dyDescent="0.25">
      <c r="T2153" s="7" t="str">
        <f ca="1"/>
        <v>Z5</v>
      </c>
      <c r="U2153" s="7" t="str">
        <f ca="1"/>
        <v>0xD0E4</v>
      </c>
      <c r="V2153" s="7" t="str">
        <f ca="1"/>
        <v>LensFocalMax</v>
      </c>
    </row>
    <row r="2154" spans="20:22" x14ac:dyDescent="0.25">
      <c r="T2154" s="7" t="str">
        <f ca="1"/>
        <v>Z5</v>
      </c>
      <c r="U2154" s="7" t="str">
        <f ca="1"/>
        <v>0xD0E5</v>
      </c>
      <c r="V2154" s="7" t="str">
        <f ca="1"/>
        <v>LensApatureMin</v>
      </c>
    </row>
    <row r="2155" spans="20:22" x14ac:dyDescent="0.25">
      <c r="T2155" s="7" t="str">
        <f ca="1"/>
        <v>Z5</v>
      </c>
      <c r="U2155" s="7" t="str">
        <f ca="1"/>
        <v>0xD0E6</v>
      </c>
      <c r="V2155" s="7" t="str">
        <f ca="1"/>
        <v>LensApatureMax</v>
      </c>
    </row>
    <row r="2156" spans="20:22" x14ac:dyDescent="0.25">
      <c r="T2156" s="7" t="str">
        <f ca="1"/>
        <v>Z5</v>
      </c>
      <c r="U2156" s="7" t="str">
        <f ca="1"/>
        <v>0xD0E7</v>
      </c>
      <c r="V2156" s="7" t="str">
        <f ca="1"/>
        <v>LensTypeML</v>
      </c>
    </row>
    <row r="2157" spans="20:22" x14ac:dyDescent="0.25">
      <c r="T2157" s="7" t="str">
        <f ca="1"/>
        <v>Z5</v>
      </c>
      <c r="U2157" s="7" t="str">
        <f ca="1"/>
        <v>0xD0F7</v>
      </c>
      <c r="V2157" s="7" t="str">
        <f ca="1"/>
        <v>VignetteControl</v>
      </c>
    </row>
    <row r="2158" spans="20:22" x14ac:dyDescent="0.25">
      <c r="T2158" s="7" t="str">
        <f ca="1"/>
        <v>Z5</v>
      </c>
      <c r="U2158" s="7" t="str">
        <f ca="1"/>
        <v>0xD0F8</v>
      </c>
      <c r="V2158" s="7" t="str">
        <f ca="1"/>
        <v>AutoDistortion</v>
      </c>
    </row>
    <row r="2159" spans="20:22" x14ac:dyDescent="0.25">
      <c r="T2159" s="7" t="str">
        <f ca="1"/>
        <v>Z5</v>
      </c>
      <c r="U2159" s="7" t="str">
        <f ca="1"/>
        <v>0xD0FC</v>
      </c>
      <c r="V2159" s="7" t="str">
        <f ca="1"/>
        <v>UserMode</v>
      </c>
    </row>
    <row r="2160" spans="20:22" x14ac:dyDescent="0.25">
      <c r="T2160" s="7" t="str">
        <f ca="1"/>
        <v>Z5</v>
      </c>
      <c r="U2160" s="7" t="str">
        <f ca="1"/>
        <v>0xD100</v>
      </c>
      <c r="V2160" s="7" t="str">
        <f ca="1"/>
        <v>ShutterSpeed</v>
      </c>
    </row>
    <row r="2161" spans="20:22" x14ac:dyDescent="0.25">
      <c r="T2161" s="7" t="str">
        <f ca="1"/>
        <v>Z5</v>
      </c>
      <c r="U2161" s="7" t="str">
        <f ca="1"/>
        <v>0xD101</v>
      </c>
      <c r="V2161" s="7" t="str">
        <f ca="1"/>
        <v>ExternalDC</v>
      </c>
    </row>
    <row r="2162" spans="20:22" x14ac:dyDescent="0.25">
      <c r="T2162" s="7" t="str">
        <f ca="1"/>
        <v>Z5</v>
      </c>
      <c r="U2162" s="7" t="str">
        <f ca="1"/>
        <v>0xD102</v>
      </c>
      <c r="V2162" s="7" t="str">
        <f ca="1"/>
        <v>WarningStatus</v>
      </c>
    </row>
    <row r="2163" spans="20:22" x14ac:dyDescent="0.25">
      <c r="T2163" s="7" t="str">
        <f ca="1"/>
        <v>Z5</v>
      </c>
      <c r="U2163" s="7" t="str">
        <f ca="1"/>
        <v>0xD104</v>
      </c>
      <c r="V2163" s="7" t="str">
        <f ca="1"/>
        <v>AFLockStatus</v>
      </c>
    </row>
    <row r="2164" spans="20:22" x14ac:dyDescent="0.25">
      <c r="T2164" s="7" t="str">
        <f ca="1"/>
        <v>Z5</v>
      </c>
      <c r="U2164" s="7" t="str">
        <f ca="1"/>
        <v>0xD105</v>
      </c>
      <c r="V2164" s="7" t="str">
        <f ca="1"/>
        <v>AELockStatus</v>
      </c>
    </row>
    <row r="2165" spans="20:22" x14ac:dyDescent="0.25">
      <c r="T2165" s="7" t="str">
        <f ca="1"/>
        <v>Z5</v>
      </c>
      <c r="U2165" s="7" t="str">
        <f ca="1"/>
        <v>0xD106</v>
      </c>
      <c r="V2165" s="7" t="str">
        <f ca="1"/>
        <v>FVLockStatus</v>
      </c>
    </row>
    <row r="2166" spans="20:22" x14ac:dyDescent="0.25">
      <c r="T2166" s="7" t="str">
        <f ca="1"/>
        <v>Z5</v>
      </c>
      <c r="U2166" s="7" t="str">
        <f ca="1"/>
        <v>0xD109</v>
      </c>
      <c r="V2166" s="7" t="str">
        <f ca="1"/>
        <v>FlexibleProgram</v>
      </c>
    </row>
    <row r="2167" spans="20:22" x14ac:dyDescent="0.25">
      <c r="T2167" s="7" t="str">
        <f ca="1"/>
        <v>Z5</v>
      </c>
      <c r="U2167" s="7" t="str">
        <f ca="1"/>
        <v>0xD10B</v>
      </c>
      <c r="V2167" s="7" t="str">
        <f ca="1"/>
        <v>RecordingMedia</v>
      </c>
    </row>
    <row r="2168" spans="20:22" x14ac:dyDescent="0.25">
      <c r="T2168" s="7" t="str">
        <f ca="1"/>
        <v>Z5</v>
      </c>
      <c r="U2168" s="7" t="str">
        <f ca="1"/>
        <v>0xD10C</v>
      </c>
      <c r="V2168" s="7" t="str">
        <f ca="1"/>
        <v>USBSpeed</v>
      </c>
    </row>
    <row r="2169" spans="20:22" x14ac:dyDescent="0.25">
      <c r="T2169" s="7" t="str">
        <f ca="1"/>
        <v>Z5</v>
      </c>
      <c r="U2169" s="7" t="str">
        <f ca="1"/>
        <v>0xD10E</v>
      </c>
      <c r="V2169" s="7" t="str">
        <f ca="1"/>
        <v>Orientation</v>
      </c>
    </row>
    <row r="2170" spans="20:22" x14ac:dyDescent="0.25">
      <c r="T2170" s="7" t="str">
        <f ca="1"/>
        <v>Z5</v>
      </c>
      <c r="U2170" s="7" t="str">
        <f ca="1"/>
        <v>0xD112</v>
      </c>
      <c r="V2170" s="7" t="str">
        <f ca="1"/>
        <v>TVLockSetting</v>
      </c>
    </row>
    <row r="2171" spans="20:22" x14ac:dyDescent="0.25">
      <c r="T2171" s="7" t="str">
        <f ca="1"/>
        <v>Z5</v>
      </c>
      <c r="U2171" s="7" t="str">
        <f ca="1"/>
        <v>0xD113</v>
      </c>
      <c r="V2171" s="7" t="str">
        <f ca="1"/>
        <v>AVLockSetting</v>
      </c>
    </row>
    <row r="2172" spans="20:22" x14ac:dyDescent="0.25">
      <c r="T2172" s="7" t="str">
        <f ca="1"/>
        <v>Z5</v>
      </c>
      <c r="U2172" s="7" t="str">
        <f ca="1"/>
        <v>0xD118</v>
      </c>
      <c r="V2172" s="7" t="str">
        <f ca="1"/>
        <v>ExposureCompFlashUsed</v>
      </c>
    </row>
    <row r="2173" spans="20:22" x14ac:dyDescent="0.25">
      <c r="T2173" s="7" t="str">
        <f ca="1"/>
        <v>Z5</v>
      </c>
      <c r="U2173" s="7" t="str">
        <f ca="1"/>
        <v>0xD120</v>
      </c>
      <c r="V2173" s="7" t="str">
        <f ca="1"/>
        <v>ExternalSpeedLightExist</v>
      </c>
    </row>
    <row r="2174" spans="20:22" x14ac:dyDescent="0.25">
      <c r="T2174" s="7" t="str">
        <f ca="1"/>
        <v>Z5</v>
      </c>
      <c r="U2174" s="7" t="str">
        <f ca="1"/>
        <v>0xD121</v>
      </c>
      <c r="V2174" s="7" t="str">
        <f ca="1"/>
        <v>ExternalSpeedLightStatus</v>
      </c>
    </row>
    <row r="2175" spans="20:22" x14ac:dyDescent="0.25">
      <c r="T2175" s="7" t="str">
        <f ca="1"/>
        <v>Z5</v>
      </c>
      <c r="U2175" s="7" t="str">
        <f ca="1"/>
        <v>0xD122</v>
      </c>
      <c r="V2175" s="7" t="str">
        <f ca="1"/>
        <v>ExternalSpeedLightSort</v>
      </c>
    </row>
    <row r="2176" spans="20:22" x14ac:dyDescent="0.25">
      <c r="T2176" s="7" t="str">
        <f ca="1"/>
        <v>Z5</v>
      </c>
      <c r="U2176" s="7" t="str">
        <f ca="1"/>
        <v>0xD124</v>
      </c>
      <c r="V2176" s="7" t="str">
        <f ca="1"/>
        <v>FlashCompensation</v>
      </c>
    </row>
    <row r="2177" spans="20:22" x14ac:dyDescent="0.25">
      <c r="T2177" s="7" t="str">
        <f ca="1"/>
        <v>Z5</v>
      </c>
      <c r="U2177" s="7" t="str">
        <f ca="1"/>
        <v>0xD125</v>
      </c>
      <c r="V2177" s="7" t="str">
        <f ca="1"/>
        <v>NewExternalSpeedLightMode</v>
      </c>
    </row>
    <row r="2178" spans="20:22" x14ac:dyDescent="0.25">
      <c r="T2178" s="7" t="str">
        <f ca="1"/>
        <v>Z5</v>
      </c>
      <c r="U2178" s="7" t="str">
        <f ca="1"/>
        <v>0xD126</v>
      </c>
      <c r="V2178" s="7" t="str">
        <f ca="1"/>
        <v>InternalFlashCompensation</v>
      </c>
    </row>
    <row r="2179" spans="20:22" x14ac:dyDescent="0.25">
      <c r="T2179" s="7" t="str">
        <f ca="1"/>
        <v>Z5</v>
      </c>
      <c r="U2179" s="7" t="str">
        <f ca="1"/>
        <v>0xD12D</v>
      </c>
      <c r="V2179" s="7" t="str">
        <f ca="1"/>
        <v>ExternalSpeedLightMultiFlashMode</v>
      </c>
    </row>
    <row r="2180" spans="20:22" x14ac:dyDescent="0.25">
      <c r="T2180" s="7" t="str">
        <f ca="1"/>
        <v>Z5</v>
      </c>
      <c r="U2180" s="7" t="str">
        <f ca="1"/>
        <v>0xD12E</v>
      </c>
      <c r="V2180" s="7" t="str">
        <f ca="1"/>
        <v>ConnectionPath</v>
      </c>
    </row>
    <row r="2181" spans="20:22" x14ac:dyDescent="0.25">
      <c r="T2181" s="7" t="str">
        <f ca="1"/>
        <v>Z5</v>
      </c>
      <c r="U2181" s="7" t="str">
        <f ca="1"/>
        <v>0xD130</v>
      </c>
      <c r="V2181" s="7" t="str">
        <f ca="1"/>
        <v>HDRMode</v>
      </c>
    </row>
    <row r="2182" spans="20:22" x14ac:dyDescent="0.25">
      <c r="T2182" s="7" t="str">
        <f ca="1"/>
        <v>Z5</v>
      </c>
      <c r="U2182" s="7" t="str">
        <f ca="1"/>
        <v>0xD131</v>
      </c>
      <c r="V2182" s="7" t="str">
        <f ca="1"/>
        <v>HDREv</v>
      </c>
    </row>
    <row r="2183" spans="20:22" x14ac:dyDescent="0.25">
      <c r="T2183" s="7" t="str">
        <f ca="1"/>
        <v>Z5</v>
      </c>
      <c r="U2183" s="7" t="str">
        <f ca="1"/>
        <v>0xD132</v>
      </c>
      <c r="V2183" s="7" t="str">
        <f ca="1"/>
        <v>HDRSmoothing</v>
      </c>
    </row>
    <row r="2184" spans="20:22" x14ac:dyDescent="0.25">
      <c r="T2184" s="7" t="str">
        <f ca="1"/>
        <v>Z5</v>
      </c>
      <c r="U2184" s="7" t="str">
        <f ca="1"/>
        <v>0xD133</v>
      </c>
      <c r="V2184" s="7" t="str">
        <f ca="1"/>
        <v>HDRSaveIndividualImages</v>
      </c>
    </row>
    <row r="2185" spans="20:22" x14ac:dyDescent="0.25">
      <c r="T2185" s="7" t="str">
        <f ca="1"/>
        <v>Z5</v>
      </c>
      <c r="U2185" s="7" t="str">
        <f ca="1"/>
        <v>0xD138</v>
      </c>
      <c r="V2185" s="7" t="str">
        <f ca="1"/>
        <v>VibrationReduction</v>
      </c>
    </row>
    <row r="2186" spans="20:22" x14ac:dyDescent="0.25">
      <c r="T2186" s="7" t="str">
        <f ca="1"/>
        <v>Z5</v>
      </c>
      <c r="U2186" s="7" t="str">
        <f ca="1"/>
        <v>0xD141</v>
      </c>
      <c r="V2186" s="7" t="str">
        <f ca="1"/>
        <v>WbAutoType</v>
      </c>
    </row>
    <row r="2187" spans="20:22" x14ac:dyDescent="0.25">
      <c r="T2187" s="7" t="str">
        <f ca="1"/>
        <v>Z5</v>
      </c>
      <c r="U2187" s="7" t="str">
        <f ca="1"/>
        <v>0xD148</v>
      </c>
      <c r="V2187" s="7" t="str">
        <f ca="1"/>
        <v>Slot2ImageSaveMode</v>
      </c>
    </row>
    <row r="2188" spans="20:22" x14ac:dyDescent="0.25">
      <c r="T2188" s="7" t="str">
        <f ca="1"/>
        <v>Z5</v>
      </c>
      <c r="U2188" s="7" t="str">
        <f ca="1"/>
        <v>0xD149</v>
      </c>
      <c r="V2188" s="7" t="str">
        <f ca="1"/>
        <v>RawCompressionBitMode</v>
      </c>
    </row>
    <row r="2189" spans="20:22" x14ac:dyDescent="0.25">
      <c r="T2189" s="7" t="str">
        <f ca="1"/>
        <v>Z5</v>
      </c>
      <c r="U2189" s="7" t="str">
        <f ca="1"/>
        <v>0xD14E</v>
      </c>
      <c r="V2189" s="7" t="str">
        <f ca="1"/>
        <v>Active</v>
      </c>
    </row>
    <row r="2190" spans="20:22" x14ac:dyDescent="0.25">
      <c r="T2190" s="7" t="str">
        <f ca="1"/>
        <v>Z5</v>
      </c>
      <c r="U2190" s="7" t="str">
        <f ca="1"/>
        <v>0xD14F</v>
      </c>
      <c r="V2190" s="7" t="str">
        <f ca="1"/>
        <v>WbFluorescentType</v>
      </c>
    </row>
    <row r="2191" spans="20:22" x14ac:dyDescent="0.25">
      <c r="T2191" s="7" t="str">
        <f ca="1"/>
        <v>Z5</v>
      </c>
      <c r="U2191" s="7" t="str">
        <f ca="1"/>
        <v>0xD150</v>
      </c>
      <c r="V2191" s="7" t="str">
        <f ca="1"/>
        <v>WbTuneColorTemp</v>
      </c>
    </row>
    <row r="2192" spans="20:22" x14ac:dyDescent="0.25">
      <c r="T2192" s="7" t="str">
        <f ca="1"/>
        <v>Z5</v>
      </c>
      <c r="U2192" s="7" t="str">
        <f ca="1"/>
        <v>0xD152</v>
      </c>
      <c r="V2192" s="7" t="str">
        <f ca="1"/>
        <v>WbTunePreset1</v>
      </c>
    </row>
    <row r="2193" spans="20:22" x14ac:dyDescent="0.25">
      <c r="T2193" s="7" t="str">
        <f ca="1"/>
        <v>Z5</v>
      </c>
      <c r="U2193" s="7" t="str">
        <f ca="1"/>
        <v>0xD153</v>
      </c>
      <c r="V2193" s="7" t="str">
        <f ca="1"/>
        <v>WbTunePreset2</v>
      </c>
    </row>
    <row r="2194" spans="20:22" x14ac:dyDescent="0.25">
      <c r="T2194" s="7" t="str">
        <f ca="1"/>
        <v>Z5</v>
      </c>
      <c r="U2194" s="7" t="str">
        <f ca="1"/>
        <v>0xD154</v>
      </c>
      <c r="V2194" s="7" t="str">
        <f ca="1"/>
        <v>WbTunePreset3</v>
      </c>
    </row>
    <row r="2195" spans="20:22" x14ac:dyDescent="0.25">
      <c r="T2195" s="7" t="str">
        <f ca="1"/>
        <v>Z5</v>
      </c>
      <c r="U2195" s="7" t="str">
        <f ca="1"/>
        <v>0xD155</v>
      </c>
      <c r="V2195" s="7" t="str">
        <f ca="1"/>
        <v>WbTunePreset4</v>
      </c>
    </row>
    <row r="2196" spans="20:22" x14ac:dyDescent="0.25">
      <c r="T2196" s="7" t="str">
        <f ca="1"/>
        <v>Z5</v>
      </c>
      <c r="U2196" s="7" t="str">
        <f ca="1"/>
        <v>0xD158</v>
      </c>
      <c r="V2196" s="7" t="str">
        <f ca="1"/>
        <v>WbPresetProtect1</v>
      </c>
    </row>
    <row r="2197" spans="20:22" x14ac:dyDescent="0.25">
      <c r="T2197" s="7" t="str">
        <f ca="1"/>
        <v>Z5</v>
      </c>
      <c r="U2197" s="7" t="str">
        <f ca="1"/>
        <v>0xD159</v>
      </c>
      <c r="V2197" s="7" t="str">
        <f ca="1"/>
        <v>WbPresetProtect2</v>
      </c>
    </row>
    <row r="2198" spans="20:22" x14ac:dyDescent="0.25">
      <c r="T2198" s="7" t="str">
        <f ca="1"/>
        <v>Z5</v>
      </c>
      <c r="U2198" s="7" t="str">
        <f ca="1"/>
        <v>0xD15A</v>
      </c>
      <c r="V2198" s="7" t="str">
        <f ca="1"/>
        <v>WbPresetProtect3</v>
      </c>
    </row>
    <row r="2199" spans="20:22" x14ac:dyDescent="0.25">
      <c r="T2199" s="7" t="str">
        <f ca="1"/>
        <v>Z5</v>
      </c>
      <c r="U2199" s="7" t="str">
        <f ca="1"/>
        <v>0xD15B</v>
      </c>
      <c r="V2199" s="7" t="str">
        <f ca="1"/>
        <v>ActiveFolder</v>
      </c>
    </row>
    <row r="2200" spans="20:22" x14ac:dyDescent="0.25">
      <c r="T2200" s="7" t="str">
        <f ca="1"/>
        <v>Z5</v>
      </c>
      <c r="U2200" s="7" t="str">
        <f ca="1"/>
        <v>0xD15C</v>
      </c>
      <c r="V2200" s="7" t="str">
        <f ca="1"/>
        <v>WbPresetProtect4</v>
      </c>
    </row>
    <row r="2201" spans="20:22" x14ac:dyDescent="0.25">
      <c r="T2201" s="7" t="str">
        <f ca="1"/>
        <v>Z5</v>
      </c>
      <c r="U2201" s="7" t="str">
        <f ca="1"/>
        <v>0xD15D</v>
      </c>
      <c r="V2201" s="7" t="str">
        <f ca="1"/>
        <v>WhiteBalanceReset</v>
      </c>
    </row>
    <row r="2202" spans="20:22" x14ac:dyDescent="0.25">
      <c r="T2202" s="7" t="str">
        <f ca="1"/>
        <v>Z5</v>
      </c>
      <c r="U2202" s="7" t="str">
        <f ca="1"/>
        <v>0xD15E</v>
      </c>
      <c r="V2202" s="7" t="str">
        <f ca="1"/>
        <v>WbTuneNatural</v>
      </c>
    </row>
    <row r="2203" spans="20:22" x14ac:dyDescent="0.25">
      <c r="T2203" s="7" t="str">
        <f ca="1"/>
        <v>Z5</v>
      </c>
      <c r="U2203" s="7" t="str">
        <f ca="1"/>
        <v>0xD164</v>
      </c>
      <c r="V2203" s="7" t="str">
        <f ca="1"/>
        <v>ISOAutoShutterTime</v>
      </c>
    </row>
    <row r="2204" spans="20:22" x14ac:dyDescent="0.25">
      <c r="T2204" s="7" t="str">
        <f ca="1"/>
        <v>Z5</v>
      </c>
      <c r="U2204" s="7" t="str">
        <f ca="1"/>
        <v>0xD16A</v>
      </c>
      <c r="V2204" s="7" t="str">
        <f ca="1"/>
        <v>ISOAutoSetting</v>
      </c>
    </row>
    <row r="2205" spans="20:22" x14ac:dyDescent="0.25">
      <c r="T2205" s="7" t="str">
        <f ca="1"/>
        <v>Z5</v>
      </c>
      <c r="U2205" s="7" t="str">
        <f ca="1"/>
        <v>0xD17A</v>
      </c>
      <c r="V2205" s="7" t="str">
        <f ca="1"/>
        <v>LowLightAF</v>
      </c>
    </row>
    <row r="2206" spans="20:22" x14ac:dyDescent="0.25">
      <c r="T2206" s="7" t="str">
        <f ca="1"/>
        <v>Z5</v>
      </c>
      <c r="U2206" s="7" t="str">
        <f ca="1"/>
        <v>0xD17B</v>
      </c>
      <c r="V2206" s="7" t="str">
        <f ca="1"/>
        <v>ApplyLiveViewSetting</v>
      </c>
    </row>
    <row r="2207" spans="20:22" x14ac:dyDescent="0.25">
      <c r="T2207" s="7" t="str">
        <f ca="1"/>
        <v>Z5</v>
      </c>
      <c r="U2207" s="7" t="str">
        <f ca="1"/>
        <v>0xD17C</v>
      </c>
      <c r="V2207" s="7" t="str">
        <f ca="1"/>
        <v>MovieAfSpeed</v>
      </c>
    </row>
    <row r="2208" spans="20:22" x14ac:dyDescent="0.25">
      <c r="T2208" s="7" t="str">
        <f ca="1"/>
        <v>Z5</v>
      </c>
      <c r="U2208" s="7" t="str">
        <f ca="1"/>
        <v>0xD17D</v>
      </c>
      <c r="V2208" s="7" t="str">
        <f ca="1"/>
        <v>MovieAfSpeedWhenToApply</v>
      </c>
    </row>
    <row r="2209" spans="20:22" x14ac:dyDescent="0.25">
      <c r="T2209" s="7" t="str">
        <f ca="1"/>
        <v>Z5</v>
      </c>
      <c r="U2209" s="7" t="str">
        <f ca="1"/>
        <v>0xD17E</v>
      </c>
      <c r="V2209" s="7" t="str">
        <f ca="1"/>
        <v>MovieAfTrackingSensitivity</v>
      </c>
    </row>
    <row r="2210" spans="20:22" x14ac:dyDescent="0.25">
      <c r="T2210" s="7" t="str">
        <f ca="1"/>
        <v>Z5</v>
      </c>
      <c r="U2210" s="7" t="str">
        <f ca="1"/>
        <v>0xD183</v>
      </c>
      <c r="V2210" s="7" t="str">
        <f ca="1"/>
        <v>ISOAutoHighLimit</v>
      </c>
    </row>
    <row r="2211" spans="20:22" x14ac:dyDescent="0.25">
      <c r="T2211" s="7" t="str">
        <f ca="1"/>
        <v>Z5</v>
      </c>
      <c r="U2211" s="7" t="str">
        <f ca="1"/>
        <v>0xD197</v>
      </c>
      <c r="V2211" s="7" t="str">
        <f ca="1"/>
        <v>MovieReleaseButton</v>
      </c>
    </row>
    <row r="2212" spans="20:22" x14ac:dyDescent="0.25">
      <c r="T2212" s="7" t="str">
        <f ca="1"/>
        <v>Z5</v>
      </c>
      <c r="U2212" s="7" t="str">
        <f ca="1"/>
        <v>0xD199</v>
      </c>
      <c r="V2212" s="7" t="str">
        <f ca="1"/>
        <v>FlashISOAutoHighLimit</v>
      </c>
    </row>
    <row r="2213" spans="20:22" x14ac:dyDescent="0.25">
      <c r="T2213" s="7" t="str">
        <f ca="1"/>
        <v>Z5</v>
      </c>
      <c r="U2213" s="7" t="str">
        <f ca="1"/>
        <v>0xD1A2</v>
      </c>
      <c r="V2213" s="7" t="str">
        <f ca="1"/>
        <v>RemoteLiveViewStatus</v>
      </c>
    </row>
    <row r="2214" spans="20:22" x14ac:dyDescent="0.25">
      <c r="T2214" s="7" t="str">
        <f ca="1"/>
        <v>Z5</v>
      </c>
      <c r="U2214" s="7" t="str">
        <f ca="1"/>
        <v>0xD1A4</v>
      </c>
      <c r="V2214" s="7" t="str">
        <f ca="1"/>
        <v>LiveViewProhibitionCondition</v>
      </c>
    </row>
    <row r="2215" spans="20:22" x14ac:dyDescent="0.25">
      <c r="T2215" s="7" t="str">
        <f ca="1"/>
        <v>Z5</v>
      </c>
      <c r="U2215" s="7" t="str">
        <f ca="1"/>
        <v>0xD1A6</v>
      </c>
      <c r="V2215" s="7" t="str">
        <f ca="1"/>
        <v>LiveViewSelector</v>
      </c>
    </row>
    <row r="2216" spans="20:22" x14ac:dyDescent="0.25">
      <c r="T2216" s="7" t="str">
        <f ca="1"/>
        <v>Z5</v>
      </c>
      <c r="U2216" s="7" t="str">
        <f ca="1"/>
        <v>0xD1A8</v>
      </c>
      <c r="V2216" s="7" t="str">
        <f ca="1"/>
        <v>MovieShutterSpeed</v>
      </c>
    </row>
    <row r="2217" spans="20:22" x14ac:dyDescent="0.25">
      <c r="T2217" s="7" t="str">
        <f ca="1"/>
        <v>Z5</v>
      </c>
      <c r="U2217" s="7" t="str">
        <f ca="1"/>
        <v>0xD1A9</v>
      </c>
      <c r="V2217" s="7" t="str">
        <f ca="1"/>
        <v>MovieFnumber</v>
      </c>
    </row>
    <row r="2218" spans="20:22" x14ac:dyDescent="0.25">
      <c r="T2218" s="7" t="str">
        <f ca="1"/>
        <v>Z5</v>
      </c>
      <c r="U2218" s="7" t="str">
        <f ca="1"/>
        <v>0xD1AA</v>
      </c>
      <c r="V2218" s="7" t="str">
        <f ca="1"/>
        <v>MovieExposureIndex</v>
      </c>
    </row>
    <row r="2219" spans="20:22" x14ac:dyDescent="0.25">
      <c r="T2219" s="7" t="str">
        <f ca="1"/>
        <v>Z5</v>
      </c>
      <c r="U2219" s="7" t="str">
        <f ca="1"/>
        <v>0xD1AB</v>
      </c>
      <c r="V2219" s="7" t="str">
        <f ca="1"/>
        <v>MovieExposureBiasCompensation</v>
      </c>
    </row>
    <row r="2220" spans="20:22" x14ac:dyDescent="0.25">
      <c r="T2220" s="7" t="str">
        <f ca="1"/>
        <v>Z5</v>
      </c>
      <c r="U2220" s="7" t="str">
        <f ca="1"/>
        <v>0xD1AC</v>
      </c>
      <c r="V2220" s="7" t="str">
        <f ca="1"/>
        <v>LiveViewImageSize</v>
      </c>
    </row>
    <row r="2221" spans="20:22" x14ac:dyDescent="0.25">
      <c r="T2221" s="7" t="str">
        <f ca="1"/>
        <v>Z5</v>
      </c>
      <c r="U2221" s="7" t="str">
        <f ca="1"/>
        <v>0xD1AD</v>
      </c>
      <c r="V2221" s="7" t="str">
        <f ca="1"/>
        <v>LiveViewPhotography</v>
      </c>
    </row>
    <row r="2222" spans="20:22" x14ac:dyDescent="0.25">
      <c r="T2222" s="7" t="str">
        <f ca="1"/>
        <v>Z5</v>
      </c>
      <c r="U2222" s="7" t="str">
        <f ca="1"/>
        <v>0xD1AF</v>
      </c>
      <c r="V2222" s="7" t="str">
        <f ca="1"/>
        <v>MovieExposureMeteringMode</v>
      </c>
    </row>
    <row r="2223" spans="20:22" x14ac:dyDescent="0.25">
      <c r="T2223" s="7" t="str">
        <f ca="1"/>
        <v>Z5</v>
      </c>
      <c r="U2223" s="7" t="str">
        <f ca="1"/>
        <v>0xD1B0</v>
      </c>
      <c r="V2223" s="7" t="str">
        <f ca="1"/>
        <v>ExposureDisplayStatus</v>
      </c>
    </row>
    <row r="2224" spans="20:22" x14ac:dyDescent="0.25">
      <c r="T2224" s="7" t="str">
        <f ca="1"/>
        <v>Z5</v>
      </c>
      <c r="U2224" s="7" t="str">
        <f ca="1"/>
        <v>0xD1B1</v>
      </c>
      <c r="V2224" s="7" t="str">
        <f ca="1"/>
        <v>ExposureIndicateStatus</v>
      </c>
    </row>
    <row r="2225" spans="20:22" x14ac:dyDescent="0.25">
      <c r="T2225" s="7" t="str">
        <f ca="1"/>
        <v>Z5</v>
      </c>
      <c r="U2225" s="7" t="str">
        <f ca="1"/>
        <v>0xD1B2</v>
      </c>
      <c r="V2225" s="7" t="str">
        <f ca="1"/>
        <v>InfoDisplayErrorStatus</v>
      </c>
    </row>
    <row r="2226" spans="20:22" x14ac:dyDescent="0.25">
      <c r="T2226" s="7" t="str">
        <f ca="1"/>
        <v>Z5</v>
      </c>
      <c r="U2226" s="7" t="str">
        <f ca="1"/>
        <v>0xD1B3</v>
      </c>
      <c r="V2226" s="7" t="str">
        <f ca="1"/>
        <v>ExposureIndicateLightup</v>
      </c>
    </row>
    <row r="2227" spans="20:22" x14ac:dyDescent="0.25">
      <c r="T2227" s="7" t="str">
        <f ca="1"/>
        <v>Z5</v>
      </c>
      <c r="U2227" s="7" t="str">
        <f ca="1"/>
        <v>0xD1B4</v>
      </c>
      <c r="V2227" s="7" t="str">
        <f ca="1"/>
        <v>ContinuousShootingCount</v>
      </c>
    </row>
    <row r="2228" spans="20:22" x14ac:dyDescent="0.25">
      <c r="T2228" s="7" t="str">
        <f ca="1"/>
        <v>Z5</v>
      </c>
      <c r="U2228" s="7" t="str">
        <f ca="1"/>
        <v>0xD1B7</v>
      </c>
      <c r="V2228" s="7" t="str">
        <f ca="1"/>
        <v>MovieRecFrameCount</v>
      </c>
    </row>
    <row r="2229" spans="20:22" x14ac:dyDescent="0.25">
      <c r="T2229" s="7" t="str">
        <f ca="1"/>
        <v>Z5</v>
      </c>
      <c r="U2229" s="7" t="str">
        <f ca="1"/>
        <v>0xD1B8</v>
      </c>
      <c r="V2229" s="7" t="str">
        <f ca="1"/>
        <v>CameraLiveViewStatus</v>
      </c>
    </row>
    <row r="2230" spans="20:22" x14ac:dyDescent="0.25">
      <c r="T2230" s="7" t="str">
        <f ca="1"/>
        <v>Z5</v>
      </c>
      <c r="U2230" s="7" t="str">
        <f ca="1"/>
        <v>0xD1B9</v>
      </c>
      <c r="V2230" s="7" t="str">
        <f ca="1"/>
        <v>DetectionPeaking</v>
      </c>
    </row>
    <row r="2231" spans="20:22" x14ac:dyDescent="0.25">
      <c r="T2231" s="7" t="str">
        <f ca="1"/>
        <v>Z5</v>
      </c>
      <c r="U2231" s="7" t="str">
        <f ca="1"/>
        <v>0xD1BA</v>
      </c>
      <c r="V2231" s="7" t="str">
        <f ca="1"/>
        <v>MonitorOffStatus</v>
      </c>
    </row>
    <row r="2232" spans="20:22" x14ac:dyDescent="0.25">
      <c r="T2232" s="7" t="str">
        <f ca="1"/>
        <v>Z5</v>
      </c>
      <c r="U2232" s="7" t="str">
        <f ca="1"/>
        <v>0xD1BB</v>
      </c>
      <c r="V2232" s="7" t="str">
        <f ca="1"/>
        <v>LiveViewImageStatus</v>
      </c>
    </row>
    <row r="2233" spans="20:22" x14ac:dyDescent="0.25">
      <c r="T2233" s="7" t="str">
        <f ca="1"/>
        <v>Z5</v>
      </c>
      <c r="U2233" s="7" t="str">
        <f ca="1"/>
        <v>0xD1BC</v>
      </c>
      <c r="V2233" s="7" t="str">
        <f ca="1"/>
        <v>LiveViewImageCompression</v>
      </c>
    </row>
    <row r="2234" spans="20:22" x14ac:dyDescent="0.25">
      <c r="T2234" s="7" t="str">
        <f ca="1"/>
        <v>Z5</v>
      </c>
      <c r="U2234" s="7" t="str">
        <f ca="1"/>
        <v>0xD1BD</v>
      </c>
      <c r="V2234" s="7" t="str">
        <f ca="1"/>
        <v>LiveViewZoomArea</v>
      </c>
    </row>
    <row r="2235" spans="20:22" x14ac:dyDescent="0.25">
      <c r="T2235" s="7" t="str">
        <f ca="1"/>
        <v>Z5</v>
      </c>
      <c r="U2235" s="7" t="str">
        <f ca="1"/>
        <v>0xD1C5</v>
      </c>
      <c r="V2235" s="7" t="str">
        <f ca="1"/>
        <v>AutoFlashIsoSensitivityControl</v>
      </c>
    </row>
    <row r="2236" spans="20:22" x14ac:dyDescent="0.25">
      <c r="T2236" s="7" t="str">
        <f ca="1"/>
        <v>Z5</v>
      </c>
      <c r="U2236" s="7" t="str">
        <f ca="1"/>
        <v>0xD1DE</v>
      </c>
      <c r="V2236" s="7" t="str">
        <f ca="1"/>
        <v>ExternalRecordingControl</v>
      </c>
    </row>
    <row r="2237" spans="20:22" x14ac:dyDescent="0.25">
      <c r="T2237" s="7" t="str">
        <f ca="1"/>
        <v>Z5</v>
      </c>
      <c r="U2237" s="7" t="str">
        <f ca="1"/>
        <v>0xD1DF</v>
      </c>
      <c r="V2237" s="7" t="str">
        <f ca="1"/>
        <v>HighlightBrightness</v>
      </c>
    </row>
    <row r="2238" spans="20:22" x14ac:dyDescent="0.25">
      <c r="T2238" s="7" t="str">
        <f ca="1"/>
        <v>Z5</v>
      </c>
      <c r="U2238" s="7" t="str">
        <f ca="1"/>
        <v>0xD1E2</v>
      </c>
      <c r="V2238" s="7" t="str">
        <f ca="1"/>
        <v>SBWirelessMode</v>
      </c>
    </row>
    <row r="2239" spans="20:22" x14ac:dyDescent="0.25">
      <c r="T2239" s="7" t="str">
        <f ca="1"/>
        <v>Z5</v>
      </c>
      <c r="U2239" s="7" t="str">
        <f ca="1"/>
        <v>0xD1E3</v>
      </c>
      <c r="V2239" s="7" t="str">
        <f ca="1"/>
        <v>SBWirelessMultipleFlashMode</v>
      </c>
    </row>
    <row r="2240" spans="20:22" x14ac:dyDescent="0.25">
      <c r="T2240" s="7" t="str">
        <f ca="1"/>
        <v>Z5</v>
      </c>
      <c r="U2240" s="7" t="str">
        <f ca="1"/>
        <v>0xD1E4</v>
      </c>
      <c r="V2240" s="7" t="str">
        <f ca="1"/>
        <v>SBUsableGroup</v>
      </c>
    </row>
    <row r="2241" spans="20:22" x14ac:dyDescent="0.25">
      <c r="T2241" s="7" t="str">
        <f ca="1"/>
        <v>Z5</v>
      </c>
      <c r="U2241" s="7" t="str">
        <f ca="1"/>
        <v>0xD1E5</v>
      </c>
      <c r="V2241" s="7" t="str">
        <f ca="1"/>
        <v>WirelessCLSEntryMode</v>
      </c>
    </row>
    <row r="2242" spans="20:22" x14ac:dyDescent="0.25">
      <c r="T2242" s="7" t="str">
        <f ca="1"/>
        <v>Z5</v>
      </c>
      <c r="U2242" s="7" t="str">
        <f ca="1"/>
        <v>0xD1E6</v>
      </c>
      <c r="V2242" s="7" t="str">
        <f ca="1"/>
        <v>SBPINCode</v>
      </c>
    </row>
    <row r="2243" spans="20:22" x14ac:dyDescent="0.25">
      <c r="T2243" s="7" t="str">
        <f ca="1"/>
        <v>Z5</v>
      </c>
      <c r="U2243" s="7" t="str">
        <f ca="1"/>
        <v>0xD1E7</v>
      </c>
      <c r="V2243" s="7" t="str">
        <f ca="1"/>
        <v>RadioMultipleFlashChannel</v>
      </c>
    </row>
    <row r="2244" spans="20:22" x14ac:dyDescent="0.25">
      <c r="T2244" s="7" t="str">
        <f ca="1"/>
        <v>Z5</v>
      </c>
      <c r="U2244" s="7" t="str">
        <f ca="1"/>
        <v>0xD1E8</v>
      </c>
      <c r="V2244" s="7" t="str">
        <f ca="1"/>
        <v>OpticalMultipleFlashChannel</v>
      </c>
    </row>
    <row r="2245" spans="20:22" x14ac:dyDescent="0.25">
      <c r="T2245" s="7" t="str">
        <f ca="1"/>
        <v>Z5</v>
      </c>
      <c r="U2245" s="7" t="str">
        <f ca="1"/>
        <v>0xD1E9</v>
      </c>
      <c r="V2245" s="7" t="str">
        <f ca="1"/>
        <v>FlashRangeDisplay</v>
      </c>
    </row>
    <row r="2246" spans="20:22" x14ac:dyDescent="0.25">
      <c r="T2246" s="7" t="str">
        <f ca="1"/>
        <v>Z5</v>
      </c>
      <c r="U2246" s="7" t="str">
        <f ca="1"/>
        <v>0xD1EA</v>
      </c>
      <c r="V2246" s="7" t="str">
        <f ca="1"/>
        <v>AllTestFiringDisable</v>
      </c>
    </row>
    <row r="2247" spans="20:22" x14ac:dyDescent="0.25">
      <c r="T2247" s="7" t="str">
        <f ca="1"/>
        <v>Z5</v>
      </c>
      <c r="U2247" s="7" t="str">
        <f ca="1"/>
        <v>0xD1EC</v>
      </c>
      <c r="V2247" s="7" t="str">
        <f ca="1"/>
        <v>SBSettingMemberLock</v>
      </c>
    </row>
    <row r="2248" spans="20:22" x14ac:dyDescent="0.25">
      <c r="T2248" s="7" t="str">
        <f ca="1"/>
        <v>Z5</v>
      </c>
      <c r="U2248" s="7" t="str">
        <f ca="1"/>
        <v>0xD1ED</v>
      </c>
      <c r="V2248" s="7" t="str">
        <f ca="1"/>
        <v>SBIntegrationFlashReady</v>
      </c>
    </row>
    <row r="2249" spans="20:22" x14ac:dyDescent="0.25">
      <c r="T2249" s="7" t="str">
        <f ca="1"/>
        <v>Z5</v>
      </c>
      <c r="U2249" s="7" t="str">
        <f ca="1"/>
        <v>0xD1F0</v>
      </c>
      <c r="V2249" s="7" t="str">
        <f ca="1"/>
        <v>ApplicationMode</v>
      </c>
    </row>
    <row r="2250" spans="20:22" x14ac:dyDescent="0.25">
      <c r="T2250" s="7" t="str">
        <f ca="1"/>
        <v>Z5</v>
      </c>
      <c r="U2250" s="7" t="str">
        <f ca="1"/>
        <v>0xD1F1</v>
      </c>
      <c r="V2250" s="7" t="str">
        <f ca="1"/>
        <v>ExposureRemaining</v>
      </c>
    </row>
    <row r="2251" spans="20:22" x14ac:dyDescent="0.25">
      <c r="T2251" s="7" t="str">
        <f ca="1"/>
        <v>Z5</v>
      </c>
      <c r="U2251" s="7" t="str">
        <f ca="1"/>
        <v>0xD1F2</v>
      </c>
      <c r="V2251" s="7" t="str">
        <f ca="1"/>
        <v>ActiveSlot</v>
      </c>
    </row>
    <row r="2252" spans="20:22" x14ac:dyDescent="0.25">
      <c r="T2252" s="7" t="str">
        <f ca="1"/>
        <v>Z5</v>
      </c>
      <c r="U2252" s="7" t="str">
        <f ca="1"/>
        <v>0xD1F4</v>
      </c>
      <c r="V2252" s="7" t="str">
        <f ca="1"/>
        <v>ISOAutoShutterTimeCorrectionValue</v>
      </c>
    </row>
    <row r="2253" spans="20:22" x14ac:dyDescent="0.25">
      <c r="T2253" s="7" t="str">
        <f ca="1"/>
        <v>Z5</v>
      </c>
      <c r="U2253" s="7" t="str">
        <f ca="1"/>
        <v>0xD1F8</v>
      </c>
      <c r="V2253" s="7" t="str">
        <f ca="1"/>
        <v>MovieAfAreaMode</v>
      </c>
    </row>
    <row r="2254" spans="20:22" x14ac:dyDescent="0.25">
      <c r="T2254" s="7" t="str">
        <f ca="1"/>
        <v>Z5</v>
      </c>
      <c r="U2254" s="7" t="str">
        <f ca="1"/>
        <v>0xD1F9</v>
      </c>
      <c r="V2254" s="7" t="str">
        <f ca="1"/>
        <v>MovieVibrationReduction</v>
      </c>
    </row>
    <row r="2255" spans="20:22" x14ac:dyDescent="0.25">
      <c r="T2255" s="7" t="str">
        <f ca="1"/>
        <v>Z5</v>
      </c>
      <c r="U2255" s="7" t="str">
        <f ca="1"/>
        <v>0xD1FA</v>
      </c>
      <c r="V2255" s="7" t="str">
        <f ca="1"/>
        <v>MovieFocusMode</v>
      </c>
    </row>
    <row r="2256" spans="20:22" x14ac:dyDescent="0.25">
      <c r="T2256" s="7" t="str">
        <f ca="1"/>
        <v>Z5</v>
      </c>
      <c r="U2256" s="7" t="str">
        <f ca="1"/>
        <v>0xD1FB</v>
      </c>
      <c r="V2256" s="7" t="str">
        <f ca="1"/>
        <v>RecordTimeCodes</v>
      </c>
    </row>
    <row r="2257" spans="20:22" x14ac:dyDescent="0.25">
      <c r="T2257" s="7" t="str">
        <f ca="1"/>
        <v>Z5</v>
      </c>
      <c r="U2257" s="7" t="str">
        <f ca="1"/>
        <v>0xD1FC</v>
      </c>
      <c r="V2257" s="7" t="str">
        <f ca="1"/>
        <v>CountUpMethod</v>
      </c>
    </row>
    <row r="2258" spans="20:22" x14ac:dyDescent="0.25">
      <c r="T2258" s="7" t="str">
        <f ca="1"/>
        <v>Z5</v>
      </c>
      <c r="U2258" s="7" t="str">
        <f ca="1"/>
        <v>0xD1FD</v>
      </c>
      <c r="V2258" s="7" t="str">
        <f ca="1"/>
        <v>TimeCodeOrigin</v>
      </c>
    </row>
    <row r="2259" spans="20:22" x14ac:dyDescent="0.25">
      <c r="T2259" s="7" t="str">
        <f ca="1"/>
        <v>Z5</v>
      </c>
      <c r="U2259" s="7" t="str">
        <f ca="1"/>
        <v>0xD1FE</v>
      </c>
      <c r="V2259" s="7" t="str">
        <f ca="1"/>
        <v>DropFrame</v>
      </c>
    </row>
    <row r="2260" spans="20:22" x14ac:dyDescent="0.25">
      <c r="T2260" s="7" t="str">
        <f ca="1"/>
        <v>Z5</v>
      </c>
      <c r="U2260" s="7" t="str">
        <f ca="1"/>
        <v>0xD1FF</v>
      </c>
      <c r="V2260" s="7" t="str">
        <f ca="1"/>
        <v>StillCaptureModeSaveFrame</v>
      </c>
    </row>
    <row r="2261" spans="20:22" x14ac:dyDescent="0.25">
      <c r="T2261" s="7" t="str">
        <f ca="1"/>
        <v>Z5</v>
      </c>
      <c r="U2261" s="7" t="str">
        <f ca="1"/>
        <v>0xD200</v>
      </c>
      <c r="V2261" s="7" t="str">
        <f ca="1"/>
        <v>ActivePicCtrlItem</v>
      </c>
    </row>
    <row r="2262" spans="20:22" x14ac:dyDescent="0.25">
      <c r="T2262" s="7" t="str">
        <f ca="1"/>
        <v>Z5</v>
      </c>
      <c r="U2262" s="7" t="str">
        <f ca="1"/>
        <v>0xD20D</v>
      </c>
      <c r="V2262" s="7" t="str">
        <f ca="1"/>
        <v>ElectronicFrontCurtainShutter</v>
      </c>
    </row>
    <row r="2263" spans="20:22" x14ac:dyDescent="0.25">
      <c r="T2263" s="7" t="str">
        <f ca="1"/>
        <v>Z5</v>
      </c>
      <c r="U2263" s="7" t="str">
        <f ca="1"/>
        <v>0xD20E</v>
      </c>
      <c r="V2263" s="7" t="str">
        <f ca="1"/>
        <v>MovieResetShootingMenu</v>
      </c>
    </row>
    <row r="2264" spans="20:22" x14ac:dyDescent="0.25">
      <c r="T2264" s="7" t="str">
        <f ca="1"/>
        <v>Z5</v>
      </c>
      <c r="U2264" s="7" t="str">
        <f ca="1"/>
        <v>0xD20F</v>
      </c>
      <c r="V2264" s="7" t="str">
        <f ca="1"/>
        <v>MovieCaptureAreaCrop</v>
      </c>
    </row>
    <row r="2265" spans="20:22" x14ac:dyDescent="0.25">
      <c r="T2265" s="7" t="str">
        <f ca="1"/>
        <v>Z5</v>
      </c>
      <c r="U2265" s="7" t="str">
        <f ca="1"/>
        <v>0xD211</v>
      </c>
      <c r="V2265" s="7" t="str">
        <f ca="1"/>
        <v>MovieWbAutoType</v>
      </c>
    </row>
    <row r="2266" spans="20:22" x14ac:dyDescent="0.25">
      <c r="T2266" s="7" t="str">
        <f ca="1"/>
        <v>Z5</v>
      </c>
      <c r="U2266" s="7" t="str">
        <f ca="1"/>
        <v>0xD212</v>
      </c>
      <c r="V2266" s="7" t="str">
        <f ca="1"/>
        <v>MovieWbTuneAuto</v>
      </c>
    </row>
    <row r="2267" spans="20:22" x14ac:dyDescent="0.25">
      <c r="T2267" s="7" t="str">
        <f ca="1"/>
        <v>Z5</v>
      </c>
      <c r="U2267" s="7" t="str">
        <f ca="1"/>
        <v>0xD213</v>
      </c>
      <c r="V2267" s="7" t="str">
        <f ca="1"/>
        <v>MovieWbTuneIncandescent</v>
      </c>
    </row>
    <row r="2268" spans="20:22" x14ac:dyDescent="0.25">
      <c r="T2268" s="7" t="str">
        <f ca="1"/>
        <v>Z5</v>
      </c>
      <c r="U2268" s="7" t="str">
        <f ca="1"/>
        <v>0xD214</v>
      </c>
      <c r="V2268" s="7" t="str">
        <f ca="1"/>
        <v>MovieWbFluorescentType</v>
      </c>
    </row>
    <row r="2269" spans="20:22" x14ac:dyDescent="0.25">
      <c r="T2269" s="7" t="str">
        <f ca="1"/>
        <v>Z5</v>
      </c>
      <c r="U2269" s="7" t="str">
        <f ca="1"/>
        <v>0xD215</v>
      </c>
      <c r="V2269" s="7" t="str">
        <f ca="1"/>
        <v>MovieWbTuneFluorescent</v>
      </c>
    </row>
    <row r="2270" spans="20:22" x14ac:dyDescent="0.25">
      <c r="T2270" s="7" t="str">
        <f ca="1"/>
        <v>Z5</v>
      </c>
      <c r="U2270" s="7" t="str">
        <f ca="1"/>
        <v>0xD216</v>
      </c>
      <c r="V2270" s="7" t="str">
        <f ca="1"/>
        <v>MovieWbTuneSunny</v>
      </c>
    </row>
    <row r="2271" spans="20:22" x14ac:dyDescent="0.25">
      <c r="T2271" s="7" t="str">
        <f ca="1"/>
        <v>Z5</v>
      </c>
      <c r="U2271" s="7" t="str">
        <f ca="1"/>
        <v>0xD218</v>
      </c>
      <c r="V2271" s="7" t="str">
        <f ca="1"/>
        <v>MovieWbTuneCloudy</v>
      </c>
    </row>
    <row r="2272" spans="20:22" x14ac:dyDescent="0.25">
      <c r="T2272" s="7" t="str">
        <f ca="1"/>
        <v>Z5</v>
      </c>
      <c r="U2272" s="7" t="str">
        <f ca="1"/>
        <v>0xD219</v>
      </c>
      <c r="V2272" s="7" t="str">
        <f ca="1"/>
        <v>MovieWbTuneShade</v>
      </c>
    </row>
    <row r="2273" spans="20:22" x14ac:dyDescent="0.25">
      <c r="T2273" s="7" t="str">
        <f ca="1"/>
        <v>Z5</v>
      </c>
      <c r="U2273" s="7" t="str">
        <f ca="1"/>
        <v>0xD21A</v>
      </c>
      <c r="V2273" s="7" t="str">
        <f ca="1"/>
        <v>MovieWbColorTemp</v>
      </c>
    </row>
    <row r="2274" spans="20:22" x14ac:dyDescent="0.25">
      <c r="T2274" s="7" t="str">
        <f ca="1"/>
        <v>Z5</v>
      </c>
      <c r="U2274" s="7" t="str">
        <f ca="1"/>
        <v>0xD21B</v>
      </c>
      <c r="V2274" s="7" t="str">
        <f ca="1"/>
        <v>MovieWbTuneColorTemp</v>
      </c>
    </row>
    <row r="2275" spans="20:22" x14ac:dyDescent="0.25">
      <c r="T2275" s="7" t="str">
        <f ca="1"/>
        <v>Z5</v>
      </c>
      <c r="U2275" s="7" t="str">
        <f ca="1"/>
        <v>0xD21C</v>
      </c>
      <c r="V2275" s="7" t="str">
        <f ca="1"/>
        <v>MovieWbPresetDataNo</v>
      </c>
    </row>
    <row r="2276" spans="20:22" x14ac:dyDescent="0.25">
      <c r="T2276" s="7" t="str">
        <f ca="1"/>
        <v>Z5</v>
      </c>
      <c r="U2276" s="7" t="str">
        <f ca="1"/>
        <v>0xD21D</v>
      </c>
      <c r="V2276" s="7" t="str">
        <f ca="1"/>
        <v>MovieWbPresetDataComment1</v>
      </c>
    </row>
    <row r="2277" spans="20:22" x14ac:dyDescent="0.25">
      <c r="T2277" s="7" t="str">
        <f ca="1"/>
        <v>Z5</v>
      </c>
      <c r="U2277" s="7" t="str">
        <f ca="1"/>
        <v>0xD21E</v>
      </c>
      <c r="V2277" s="7" t="str">
        <f ca="1"/>
        <v>MovieWbPresetDataComment2</v>
      </c>
    </row>
    <row r="2278" spans="20:22" x14ac:dyDescent="0.25">
      <c r="T2278" s="7" t="str">
        <f ca="1"/>
        <v>Z5</v>
      </c>
      <c r="U2278" s="7" t="str">
        <f ca="1"/>
        <v>0xD21F</v>
      </c>
      <c r="V2278" s="7" t="str">
        <f ca="1"/>
        <v>MovieWbPresetDataComment3</v>
      </c>
    </row>
    <row r="2279" spans="20:22" x14ac:dyDescent="0.25">
      <c r="T2279" s="7" t="str">
        <f ca="1"/>
        <v>Z5</v>
      </c>
      <c r="U2279" s="7" t="str">
        <f ca="1"/>
        <v>0xD220</v>
      </c>
      <c r="V2279" s="7" t="str">
        <f ca="1"/>
        <v>MovieWbPresetDataComment4</v>
      </c>
    </row>
    <row r="2280" spans="20:22" x14ac:dyDescent="0.25">
      <c r="T2280" s="7" t="str">
        <f ca="1"/>
        <v>Z5</v>
      </c>
      <c r="U2280" s="7" t="str">
        <f ca="1"/>
        <v>0xD221</v>
      </c>
      <c r="V2280" s="7" t="str">
        <f ca="1"/>
        <v>MovieWbPresetDataComment5</v>
      </c>
    </row>
    <row r="2281" spans="20:22" x14ac:dyDescent="0.25">
      <c r="T2281" s="7" t="str">
        <f ca="1"/>
        <v>Z5</v>
      </c>
      <c r="U2281" s="7" t="str">
        <f ca="1"/>
        <v>0xD222</v>
      </c>
      <c r="V2281" s="7" t="str">
        <f ca="1"/>
        <v>MovieWbPresetDataComment6</v>
      </c>
    </row>
    <row r="2282" spans="20:22" x14ac:dyDescent="0.25">
      <c r="T2282" s="7" t="str">
        <f ca="1"/>
        <v>Z5</v>
      </c>
      <c r="U2282" s="7" t="str">
        <f ca="1"/>
        <v>0xD223</v>
      </c>
      <c r="V2282" s="7" t="str">
        <f ca="1"/>
        <v>MovieWbPresetDataValue1</v>
      </c>
    </row>
    <row r="2283" spans="20:22" x14ac:dyDescent="0.25">
      <c r="T2283" s="7" t="str">
        <f ca="1"/>
        <v>Z5</v>
      </c>
      <c r="U2283" s="7" t="str">
        <f ca="1"/>
        <v>0xD224</v>
      </c>
      <c r="V2283" s="7" t="str">
        <f ca="1"/>
        <v>MovieWbPresetDataValue2</v>
      </c>
    </row>
    <row r="2284" spans="20:22" x14ac:dyDescent="0.25">
      <c r="T2284" s="7" t="str">
        <f ca="1"/>
        <v>Z5</v>
      </c>
      <c r="U2284" s="7" t="str">
        <f ca="1"/>
        <v>0xD225</v>
      </c>
      <c r="V2284" s="7" t="str">
        <f ca="1"/>
        <v>MovieWbPresetDataValue3</v>
      </c>
    </row>
    <row r="2285" spans="20:22" x14ac:dyDescent="0.25">
      <c r="T2285" s="7" t="str">
        <f ca="1"/>
        <v>Z5</v>
      </c>
      <c r="U2285" s="7" t="str">
        <f ca="1"/>
        <v>0xD226</v>
      </c>
      <c r="V2285" s="7" t="str">
        <f ca="1"/>
        <v>MovieWbPresetDataValue4</v>
      </c>
    </row>
    <row r="2286" spans="20:22" x14ac:dyDescent="0.25">
      <c r="T2286" s="7" t="str">
        <f ca="1"/>
        <v>Z5</v>
      </c>
      <c r="U2286" s="7" t="str">
        <f ca="1"/>
        <v>0xD227</v>
      </c>
      <c r="V2286" s="7" t="str">
        <f ca="1"/>
        <v>MovieWbPresetDataValue5</v>
      </c>
    </row>
    <row r="2287" spans="20:22" x14ac:dyDescent="0.25">
      <c r="T2287" s="7" t="str">
        <f ca="1"/>
        <v>Z5</v>
      </c>
      <c r="U2287" s="7" t="str">
        <f ca="1"/>
        <v>0xD228</v>
      </c>
      <c r="V2287" s="7" t="str">
        <f ca="1"/>
        <v>MovieWbPresetDataValue6</v>
      </c>
    </row>
    <row r="2288" spans="20:22" x14ac:dyDescent="0.25">
      <c r="T2288" s="7" t="str">
        <f ca="1"/>
        <v>Z5</v>
      </c>
      <c r="U2288" s="7" t="str">
        <f ca="1"/>
        <v>0xD229</v>
      </c>
      <c r="V2288" s="7" t="str">
        <f ca="1"/>
        <v>MovieWbTunePreset1</v>
      </c>
    </row>
    <row r="2289" spans="20:22" x14ac:dyDescent="0.25">
      <c r="T2289" s="7" t="str">
        <f ca="1"/>
        <v>Z5</v>
      </c>
      <c r="U2289" s="7" t="str">
        <f ca="1"/>
        <v>0xD22A</v>
      </c>
      <c r="V2289" s="7" t="str">
        <f ca="1"/>
        <v>MovieWbTunePreset2</v>
      </c>
    </row>
    <row r="2290" spans="20:22" x14ac:dyDescent="0.25">
      <c r="T2290" s="7" t="str">
        <f ca="1"/>
        <v>Z5</v>
      </c>
      <c r="U2290" s="7" t="str">
        <f ca="1"/>
        <v>0xD22B</v>
      </c>
      <c r="V2290" s="7" t="str">
        <f ca="1"/>
        <v>MovieWbTunePreset3</v>
      </c>
    </row>
    <row r="2291" spans="20:22" x14ac:dyDescent="0.25">
      <c r="T2291" s="7" t="str">
        <f ca="1"/>
        <v>Z5</v>
      </c>
      <c r="U2291" s="7" t="str">
        <f ca="1"/>
        <v>0xD22C</v>
      </c>
      <c r="V2291" s="7" t="str">
        <f ca="1"/>
        <v>MovieWbTunePreset4</v>
      </c>
    </row>
    <row r="2292" spans="20:22" x14ac:dyDescent="0.25">
      <c r="T2292" s="7" t="str">
        <f ca="1"/>
        <v>Z5</v>
      </c>
      <c r="U2292" s="7" t="str">
        <f ca="1"/>
        <v>0xD22D</v>
      </c>
      <c r="V2292" s="7" t="str">
        <f ca="1"/>
        <v>MovieWbTunePreset5</v>
      </c>
    </row>
    <row r="2293" spans="20:22" x14ac:dyDescent="0.25">
      <c r="T2293" s="7" t="str">
        <f ca="1"/>
        <v>Z5</v>
      </c>
      <c r="U2293" s="7" t="str">
        <f ca="1"/>
        <v>0xD22E</v>
      </c>
      <c r="V2293" s="7" t="str">
        <f ca="1"/>
        <v>MovieWbTunePreset6</v>
      </c>
    </row>
    <row r="2294" spans="20:22" x14ac:dyDescent="0.25">
      <c r="T2294" s="7" t="str">
        <f ca="1"/>
        <v>Z5</v>
      </c>
      <c r="U2294" s="7" t="str">
        <f ca="1"/>
        <v>0xD22F</v>
      </c>
      <c r="V2294" s="7" t="str">
        <f ca="1"/>
        <v>MovieWbPresetProtect1</v>
      </c>
    </row>
    <row r="2295" spans="20:22" x14ac:dyDescent="0.25">
      <c r="T2295" s="7" t="str">
        <f ca="1"/>
        <v>Z5</v>
      </c>
      <c r="U2295" s="7" t="str">
        <f ca="1"/>
        <v>0xD230</v>
      </c>
      <c r="V2295" s="7" t="str">
        <f ca="1"/>
        <v>MovieWbPresetProtect2</v>
      </c>
    </row>
    <row r="2296" spans="20:22" x14ac:dyDescent="0.25">
      <c r="T2296" s="7" t="str">
        <f ca="1"/>
        <v>Z5</v>
      </c>
      <c r="U2296" s="7" t="str">
        <f ca="1"/>
        <v>0xD231</v>
      </c>
      <c r="V2296" s="7" t="str">
        <f ca="1"/>
        <v>MovieWbPresetProtect3</v>
      </c>
    </row>
    <row r="2297" spans="20:22" x14ac:dyDescent="0.25">
      <c r="T2297" s="7" t="str">
        <f ca="1"/>
        <v>Z5</v>
      </c>
      <c r="U2297" s="7" t="str">
        <f ca="1"/>
        <v>0xD232</v>
      </c>
      <c r="V2297" s="7" t="str">
        <f ca="1"/>
        <v>MovieWbPresetProtect4</v>
      </c>
    </row>
    <row r="2298" spans="20:22" x14ac:dyDescent="0.25">
      <c r="T2298" s="7" t="str">
        <f ca="1"/>
        <v>Z5</v>
      </c>
      <c r="U2298" s="7" t="str">
        <f ca="1"/>
        <v>0xD233</v>
      </c>
      <c r="V2298" s="7" t="str">
        <f ca="1"/>
        <v>MovieWbPresetProtect5</v>
      </c>
    </row>
    <row r="2299" spans="20:22" x14ac:dyDescent="0.25">
      <c r="T2299" s="7" t="str">
        <f ca="1"/>
        <v>Z5</v>
      </c>
      <c r="U2299" s="7" t="str">
        <f ca="1"/>
        <v>0xD234</v>
      </c>
      <c r="V2299" s="7" t="str">
        <f ca="1"/>
        <v>MovieWbPresetProtect6</v>
      </c>
    </row>
    <row r="2300" spans="20:22" x14ac:dyDescent="0.25">
      <c r="T2300" s="7" t="str">
        <f ca="1"/>
        <v>Z5</v>
      </c>
      <c r="U2300" s="7" t="str">
        <f ca="1"/>
        <v>0xD235</v>
      </c>
      <c r="V2300" s="7" t="str">
        <f ca="1"/>
        <v>MovieWhiteBalanceReset</v>
      </c>
    </row>
    <row r="2301" spans="20:22" x14ac:dyDescent="0.25">
      <c r="T2301" s="7" t="str">
        <f ca="1"/>
        <v>Z5</v>
      </c>
      <c r="U2301" s="7" t="str">
        <f ca="1"/>
        <v>0xD236</v>
      </c>
      <c r="V2301" s="7" t="str">
        <f ca="1"/>
        <v>MovieNoiseReductionHiIso</v>
      </c>
    </row>
    <row r="2302" spans="20:22" x14ac:dyDescent="0.25">
      <c r="T2302" s="7" t="str">
        <f ca="1"/>
        <v>Z5</v>
      </c>
      <c r="U2302" s="7" t="str">
        <f ca="1"/>
        <v>0xD237</v>
      </c>
      <c r="V2302" s="7" t="str">
        <f ca="1"/>
        <v>MovieActivePicCtrlItem</v>
      </c>
    </row>
    <row r="2303" spans="20:22" x14ac:dyDescent="0.25">
      <c r="T2303" s="7" t="str">
        <f ca="1"/>
        <v>Z5</v>
      </c>
      <c r="U2303" s="7" t="str">
        <f ca="1"/>
        <v>0xD239</v>
      </c>
      <c r="V2303" s="7" t="str">
        <f ca="1"/>
        <v>ExposureBaseCompHighlight</v>
      </c>
    </row>
    <row r="2304" spans="20:22" x14ac:dyDescent="0.25">
      <c r="T2304" s="7" t="str">
        <f ca="1"/>
        <v>Z5</v>
      </c>
      <c r="U2304" s="7" t="str">
        <f ca="1"/>
        <v>0xD23A</v>
      </c>
      <c r="V2304" s="7" t="str">
        <f ca="1"/>
        <v>MovieWhiteBalance</v>
      </c>
    </row>
    <row r="2305" spans="20:22" x14ac:dyDescent="0.25">
      <c r="T2305" s="7" t="str">
        <f ca="1"/>
        <v>Z5</v>
      </c>
      <c r="U2305" s="7" t="str">
        <f ca="1"/>
        <v>0xD23B</v>
      </c>
      <c r="V2305" s="7" t="str">
        <f ca="1"/>
        <v>MovieActive</v>
      </c>
    </row>
    <row r="2306" spans="20:22" x14ac:dyDescent="0.25">
      <c r="T2306" s="7" t="str">
        <f ca="1"/>
        <v>Z5</v>
      </c>
      <c r="U2306" s="7" t="str">
        <f ca="1"/>
        <v>0xD23C</v>
      </c>
      <c r="V2306" s="7" t="str">
        <f ca="1"/>
        <v>MovieWbTuneNatural</v>
      </c>
    </row>
    <row r="2307" spans="20:22" x14ac:dyDescent="0.25">
      <c r="T2307" s="7" t="str">
        <f ca="1"/>
        <v>Z5</v>
      </c>
      <c r="U2307" s="7" t="str">
        <f ca="1"/>
        <v>0xD23D</v>
      </c>
      <c r="V2307" s="7" t="str">
        <f ca="1"/>
        <v>MovieAttenuator</v>
      </c>
    </row>
    <row r="2308" spans="20:22" x14ac:dyDescent="0.25">
      <c r="T2308" s="7" t="str">
        <f ca="1"/>
        <v>Z5</v>
      </c>
      <c r="U2308" s="7" t="str">
        <f ca="1"/>
        <v>0xD23E</v>
      </c>
      <c r="V2308" s="7" t="str">
        <f ca="1"/>
        <v>MovieVignetteControl</v>
      </c>
    </row>
    <row r="2309" spans="20:22" x14ac:dyDescent="0.25">
      <c r="T2309" s="7" t="str">
        <f ca="1"/>
        <v>Z5</v>
      </c>
      <c r="U2309" s="7" t="str">
        <f ca="1"/>
        <v>0xD23F</v>
      </c>
      <c r="V2309" s="7" t="str">
        <f ca="1"/>
        <v>MovieDiffractionCompensation</v>
      </c>
    </row>
    <row r="2310" spans="20:22" x14ac:dyDescent="0.25">
      <c r="T2310" s="7" t="str">
        <f ca="1"/>
        <v>Z5</v>
      </c>
      <c r="U2310" s="7" t="str">
        <f ca="1"/>
        <v>0xD303</v>
      </c>
      <c r="V2310" s="7" t="str">
        <f ca="1"/>
        <v>UseDeviceStageFlag</v>
      </c>
    </row>
    <row r="2311" spans="20:22" x14ac:dyDescent="0.25">
      <c r="T2311" s="7" t="str">
        <f ca="1"/>
        <v>Z5</v>
      </c>
      <c r="U2311" s="7" t="str">
        <f ca="1"/>
        <v>0xD314</v>
      </c>
      <c r="V2311" s="7" t="str">
        <f ca="1"/>
        <v>ElectronicVR</v>
      </c>
    </row>
    <row r="2312" spans="20:22" x14ac:dyDescent="0.25">
      <c r="T2312" s="7" t="str">
        <f ca="1"/>
        <v>Z5</v>
      </c>
      <c r="U2312" s="7" t="str">
        <f ca="1"/>
        <v>0xD406</v>
      </c>
      <c r="V2312" s="7" t="str">
        <f ca="1"/>
        <v>SessionInitiatorVersionInfo</v>
      </c>
    </row>
    <row r="2313" spans="20:22" x14ac:dyDescent="0.25">
      <c r="T2313" s="7" t="str">
        <f ca="1"/>
        <v>Z5</v>
      </c>
      <c r="U2313" s="7" t="str">
        <f ca="1"/>
        <v>0xD407</v>
      </c>
      <c r="V2313" s="7" t="str">
        <f ca="1"/>
        <v>PerceivedDeviceType</v>
      </c>
    </row>
    <row r="2314" spans="20:22" x14ac:dyDescent="0.25">
      <c r="T2314" s="7" t="str">
        <f ca="1"/>
        <v>D6</v>
      </c>
      <c r="U2314" s="7" t="str">
        <f ca="1"/>
        <v>0x5001</v>
      </c>
      <c r="V2314" s="7" t="str">
        <f ca="1"/>
        <v>BatteryLevel</v>
      </c>
    </row>
    <row r="2315" spans="20:22" x14ac:dyDescent="0.25">
      <c r="T2315" s="7" t="str">
        <f ca="1"/>
        <v>D6</v>
      </c>
      <c r="U2315" s="7" t="str">
        <f ca="1"/>
        <v>0x5003</v>
      </c>
      <c r="V2315" s="7" t="str">
        <f ca="1"/>
        <v>ImageSize</v>
      </c>
    </row>
    <row r="2316" spans="20:22" x14ac:dyDescent="0.25">
      <c r="T2316" s="7" t="str">
        <f ca="1"/>
        <v>D6</v>
      </c>
      <c r="U2316" s="7" t="str">
        <f ca="1"/>
        <v>0x5004</v>
      </c>
      <c r="V2316" s="7" t="str">
        <f ca="1"/>
        <v>CompressionSetting</v>
      </c>
    </row>
    <row r="2317" spans="20:22" x14ac:dyDescent="0.25">
      <c r="T2317" s="7" t="str">
        <f ca="1"/>
        <v>D6</v>
      </c>
      <c r="U2317" s="7" t="str">
        <f ca="1"/>
        <v>0x5005</v>
      </c>
      <c r="V2317" s="7" t="str">
        <f ca="1"/>
        <v>WhiteBalance</v>
      </c>
    </row>
    <row r="2318" spans="20:22" x14ac:dyDescent="0.25">
      <c r="T2318" s="7" t="str">
        <f ca="1"/>
        <v>D6</v>
      </c>
      <c r="U2318" s="7" t="str">
        <f ca="1"/>
        <v>0x5007</v>
      </c>
      <c r="V2318" s="7" t="str">
        <f ca="1"/>
        <v>Fnumber</v>
      </c>
    </row>
    <row r="2319" spans="20:22" x14ac:dyDescent="0.25">
      <c r="T2319" s="7" t="str">
        <f ca="1"/>
        <v>D6</v>
      </c>
      <c r="U2319" s="7" t="str">
        <f ca="1"/>
        <v>0x5008</v>
      </c>
      <c r="V2319" s="7" t="str">
        <f ca="1"/>
        <v>FocalLength</v>
      </c>
    </row>
    <row r="2320" spans="20:22" x14ac:dyDescent="0.25">
      <c r="T2320" s="7" t="str">
        <f ca="1"/>
        <v>D6</v>
      </c>
      <c r="U2320" s="7" t="str">
        <f ca="1"/>
        <v>0x500A</v>
      </c>
      <c r="V2320" s="7" t="str">
        <f ca="1"/>
        <v>FocusMode</v>
      </c>
    </row>
    <row r="2321" spans="20:22" x14ac:dyDescent="0.25">
      <c r="T2321" s="7" t="str">
        <f ca="1"/>
        <v>D6</v>
      </c>
      <c r="U2321" s="7" t="str">
        <f ca="1"/>
        <v>0x500B</v>
      </c>
      <c r="V2321" s="7" t="str">
        <f ca="1"/>
        <v>ExposureMeteringMode</v>
      </c>
    </row>
    <row r="2322" spans="20:22" x14ac:dyDescent="0.25">
      <c r="T2322" s="7" t="str">
        <f ca="1"/>
        <v>D6</v>
      </c>
      <c r="U2322" s="7" t="str">
        <f ca="1"/>
        <v>0x500C</v>
      </c>
      <c r="V2322" s="7" t="str">
        <f ca="1"/>
        <v>FlashMode</v>
      </c>
    </row>
    <row r="2323" spans="20:22" x14ac:dyDescent="0.25">
      <c r="T2323" s="7" t="str">
        <f ca="1"/>
        <v>D6</v>
      </c>
      <c r="U2323" s="7" t="str">
        <f ca="1"/>
        <v>0x500D</v>
      </c>
      <c r="V2323" s="7" t="str">
        <f ca="1"/>
        <v>ExposureTime</v>
      </c>
    </row>
    <row r="2324" spans="20:22" x14ac:dyDescent="0.25">
      <c r="T2324" s="7" t="str">
        <f ca="1"/>
        <v>D6</v>
      </c>
      <c r="U2324" s="7" t="str">
        <f ca="1"/>
        <v>0x500E</v>
      </c>
      <c r="V2324" s="7" t="str">
        <f ca="1"/>
        <v>ExposureProgramMode</v>
      </c>
    </row>
    <row r="2325" spans="20:22" x14ac:dyDescent="0.25">
      <c r="T2325" s="7" t="str">
        <f ca="1"/>
        <v>D6</v>
      </c>
      <c r="U2325" s="7" t="str">
        <f ca="1"/>
        <v>0x500F</v>
      </c>
      <c r="V2325" s="7" t="str">
        <f ca="1"/>
        <v>ExposureIndex</v>
      </c>
    </row>
    <row r="2326" spans="20:22" x14ac:dyDescent="0.25">
      <c r="T2326" s="7" t="str">
        <f ca="1"/>
        <v>D6</v>
      </c>
      <c r="U2326" s="7" t="str">
        <f ca="1"/>
        <v>0x5010</v>
      </c>
      <c r="V2326" s="7" t="str">
        <f ca="1"/>
        <v>ExposureBiasCompensation</v>
      </c>
    </row>
    <row r="2327" spans="20:22" x14ac:dyDescent="0.25">
      <c r="T2327" s="7" t="str">
        <f ca="1"/>
        <v>D6</v>
      </c>
      <c r="U2327" s="7" t="str">
        <f ca="1"/>
        <v>0x5011</v>
      </c>
      <c r="V2327" s="7" t="str">
        <f ca="1"/>
        <v>DateTime</v>
      </c>
    </row>
    <row r="2328" spans="20:22" x14ac:dyDescent="0.25">
      <c r="T2328" s="7" t="str">
        <f ca="1"/>
        <v>D6</v>
      </c>
      <c r="U2328" s="7" t="str">
        <f ca="1"/>
        <v>0x5013</v>
      </c>
      <c r="V2328" s="7" t="str">
        <f ca="1"/>
        <v>StillCaptureMode</v>
      </c>
    </row>
    <row r="2329" spans="20:22" x14ac:dyDescent="0.25">
      <c r="T2329" s="7" t="str">
        <f ca="1"/>
        <v>D6</v>
      </c>
      <c r="U2329" s="7" t="str">
        <f ca="1"/>
        <v>0x5018</v>
      </c>
      <c r="V2329" s="7" t="str">
        <f ca="1"/>
        <v>BurstNumber</v>
      </c>
    </row>
    <row r="2330" spans="20:22" x14ac:dyDescent="0.25">
      <c r="T2330" s="7" t="str">
        <f ca="1"/>
        <v>D6</v>
      </c>
      <c r="U2330" s="7" t="str">
        <f ca="1"/>
        <v>0x501C</v>
      </c>
      <c r="V2330" s="7" t="str">
        <f ca="1"/>
        <v>FocusMeteringMode</v>
      </c>
    </row>
    <row r="2331" spans="20:22" x14ac:dyDescent="0.25">
      <c r="T2331" s="7" t="str">
        <f ca="1"/>
        <v>D6</v>
      </c>
      <c r="U2331" s="7" t="str">
        <f ca="1"/>
        <v>0x501E</v>
      </c>
      <c r="V2331" s="7" t="str">
        <f ca="1"/>
        <v>Artist</v>
      </c>
    </row>
    <row r="2332" spans="20:22" x14ac:dyDescent="0.25">
      <c r="T2332" s="7" t="str">
        <f ca="1"/>
        <v>D6</v>
      </c>
      <c r="U2332" s="7" t="str">
        <f ca="1"/>
        <v>0x501F</v>
      </c>
      <c r="V2332" s="7" t="str">
        <f ca="1"/>
        <v>Copyright</v>
      </c>
    </row>
    <row r="2333" spans="20:22" x14ac:dyDescent="0.25">
      <c r="T2333" s="7" t="str">
        <f ca="1"/>
        <v>D6</v>
      </c>
      <c r="U2333" s="7" t="str">
        <f ca="1"/>
        <v>0xD010</v>
      </c>
      <c r="V2333" s="7" t="str">
        <f ca="1"/>
        <v>ShootingMenuBank</v>
      </c>
    </row>
    <row r="2334" spans="20:22" x14ac:dyDescent="0.25">
      <c r="T2334" s="7" t="str">
        <f ca="1"/>
        <v>D6</v>
      </c>
      <c r="U2334" s="7" t="str">
        <f ca="1"/>
        <v>0xD011</v>
      </c>
      <c r="V2334" s="7" t="str">
        <f ca="1"/>
        <v>ShootingBankNameA</v>
      </c>
    </row>
    <row r="2335" spans="20:22" x14ac:dyDescent="0.25">
      <c r="T2335" s="7" t="str">
        <f ca="1"/>
        <v>D6</v>
      </c>
      <c r="U2335" s="7" t="str">
        <f ca="1"/>
        <v>0xD012</v>
      </c>
      <c r="V2335" s="7" t="str">
        <f ca="1"/>
        <v>ShootingBankNameB</v>
      </c>
    </row>
    <row r="2336" spans="20:22" x14ac:dyDescent="0.25">
      <c r="T2336" s="7" t="str">
        <f ca="1"/>
        <v>D6</v>
      </c>
      <c r="U2336" s="7" t="str">
        <f ca="1"/>
        <v>0xD013</v>
      </c>
      <c r="V2336" s="7" t="str">
        <f ca="1"/>
        <v>ShootingBankNameC</v>
      </c>
    </row>
    <row r="2337" spans="20:22" x14ac:dyDescent="0.25">
      <c r="T2337" s="7" t="str">
        <f ca="1"/>
        <v>D6</v>
      </c>
      <c r="U2337" s="7" t="str">
        <f ca="1"/>
        <v>0xD014</v>
      </c>
      <c r="V2337" s="7" t="str">
        <f ca="1"/>
        <v>ShootingBankNameD</v>
      </c>
    </row>
    <row r="2338" spans="20:22" x14ac:dyDescent="0.25">
      <c r="T2338" s="7" t="str">
        <f ca="1"/>
        <v>D6</v>
      </c>
      <c r="U2338" s="7" t="str">
        <f ca="1"/>
        <v>0xD016</v>
      </c>
      <c r="V2338" s="7" t="str">
        <f ca="1"/>
        <v>RawCompressionType</v>
      </c>
    </row>
    <row r="2339" spans="20:22" x14ac:dyDescent="0.25">
      <c r="T2339" s="7" t="str">
        <f ca="1"/>
        <v>D6</v>
      </c>
      <c r="U2339" s="7" t="str">
        <f ca="1"/>
        <v>0xD017</v>
      </c>
      <c r="V2339" s="7" t="str">
        <f ca="1"/>
        <v>WbTuneAuto</v>
      </c>
    </row>
    <row r="2340" spans="20:22" x14ac:dyDescent="0.25">
      <c r="T2340" s="7" t="str">
        <f ca="1"/>
        <v>D6</v>
      </c>
      <c r="U2340" s="7" t="str">
        <f ca="1"/>
        <v>0xD018</v>
      </c>
      <c r="V2340" s="7" t="str">
        <f ca="1"/>
        <v>WbTuneIncandescent</v>
      </c>
    </row>
    <row r="2341" spans="20:22" x14ac:dyDescent="0.25">
      <c r="T2341" s="7" t="str">
        <f ca="1"/>
        <v>D6</v>
      </c>
      <c r="U2341" s="7" t="str">
        <f ca="1"/>
        <v>0xD019</v>
      </c>
      <c r="V2341" s="7" t="str">
        <f ca="1"/>
        <v>WbTuneFluorescent</v>
      </c>
    </row>
    <row r="2342" spans="20:22" x14ac:dyDescent="0.25">
      <c r="T2342" s="7" t="str">
        <f ca="1"/>
        <v>D6</v>
      </c>
      <c r="U2342" s="7" t="str">
        <f ca="1"/>
        <v>0xD01A</v>
      </c>
      <c r="V2342" s="7" t="str">
        <f ca="1"/>
        <v>WbTuneSunny</v>
      </c>
    </row>
    <row r="2343" spans="20:22" x14ac:dyDescent="0.25">
      <c r="T2343" s="7" t="str">
        <f ca="1"/>
        <v>D6</v>
      </c>
      <c r="U2343" s="7" t="str">
        <f ca="1"/>
        <v>0xD01B</v>
      </c>
      <c r="V2343" s="7" t="str">
        <f ca="1"/>
        <v>WbTuneFlash</v>
      </c>
    </row>
    <row r="2344" spans="20:22" x14ac:dyDescent="0.25">
      <c r="T2344" s="7" t="str">
        <f ca="1"/>
        <v>D6</v>
      </c>
      <c r="U2344" s="7" t="str">
        <f ca="1"/>
        <v>0xD01C</v>
      </c>
      <c r="V2344" s="7" t="str">
        <f ca="1"/>
        <v>WbTuneCloudy</v>
      </c>
    </row>
    <row r="2345" spans="20:22" x14ac:dyDescent="0.25">
      <c r="T2345" s="7" t="str">
        <f ca="1"/>
        <v>D6</v>
      </c>
      <c r="U2345" s="7" t="str">
        <f ca="1"/>
        <v>0xD01D</v>
      </c>
      <c r="V2345" s="7" t="str">
        <f ca="1"/>
        <v>WbTuneShade</v>
      </c>
    </row>
    <row r="2346" spans="20:22" x14ac:dyDescent="0.25">
      <c r="T2346" s="7" t="str">
        <f ca="1"/>
        <v>D6</v>
      </c>
      <c r="U2346" s="7" t="str">
        <f ca="1"/>
        <v>0xD01E</v>
      </c>
      <c r="V2346" s="7" t="str">
        <f ca="1"/>
        <v>WbColorTemp</v>
      </c>
    </row>
    <row r="2347" spans="20:22" x14ac:dyDescent="0.25">
      <c r="T2347" s="7" t="str">
        <f ca="1"/>
        <v>D6</v>
      </c>
      <c r="U2347" s="7" t="str">
        <f ca="1"/>
        <v>0xD01F</v>
      </c>
      <c r="V2347" s="7" t="str">
        <f ca="1"/>
        <v>WbPresetDataNo</v>
      </c>
    </row>
    <row r="2348" spans="20:22" x14ac:dyDescent="0.25">
      <c r="T2348" s="7" t="str">
        <f ca="1"/>
        <v>D6</v>
      </c>
      <c r="U2348" s="7" t="str">
        <f ca="1"/>
        <v>0xD021</v>
      </c>
      <c r="V2348" s="7" t="str">
        <f ca="1"/>
        <v>WbPresetDataComment1</v>
      </c>
    </row>
    <row r="2349" spans="20:22" x14ac:dyDescent="0.25">
      <c r="T2349" s="7" t="str">
        <f ca="1"/>
        <v>D6</v>
      </c>
      <c r="U2349" s="7" t="str">
        <f ca="1"/>
        <v>0xD022</v>
      </c>
      <c r="V2349" s="7" t="str">
        <f ca="1"/>
        <v>WbPresetDataComment2</v>
      </c>
    </row>
    <row r="2350" spans="20:22" x14ac:dyDescent="0.25">
      <c r="T2350" s="7" t="str">
        <f ca="1"/>
        <v>D6</v>
      </c>
      <c r="U2350" s="7" t="str">
        <f ca="1"/>
        <v>0xD023</v>
      </c>
      <c r="V2350" s="7" t="str">
        <f ca="1"/>
        <v>WbPresetDataComment3</v>
      </c>
    </row>
    <row r="2351" spans="20:22" x14ac:dyDescent="0.25">
      <c r="T2351" s="7" t="str">
        <f ca="1"/>
        <v>D6</v>
      </c>
      <c r="U2351" s="7" t="str">
        <f ca="1"/>
        <v>0xD024</v>
      </c>
      <c r="V2351" s="7" t="str">
        <f ca="1"/>
        <v>WbPresetDataComment4</v>
      </c>
    </row>
    <row r="2352" spans="20:22" x14ac:dyDescent="0.25">
      <c r="T2352" s="7" t="str">
        <f ca="1"/>
        <v>D6</v>
      </c>
      <c r="U2352" s="7" t="str">
        <f ca="1"/>
        <v>0xD026</v>
      </c>
      <c r="V2352" s="7" t="str">
        <f ca="1"/>
        <v>WbPresetDataValue1</v>
      </c>
    </row>
    <row r="2353" spans="20:22" x14ac:dyDescent="0.25">
      <c r="T2353" s="7" t="str">
        <f ca="1"/>
        <v>D6</v>
      </c>
      <c r="U2353" s="7" t="str">
        <f ca="1"/>
        <v>0xD027</v>
      </c>
      <c r="V2353" s="7" t="str">
        <f ca="1"/>
        <v>WbPresetDataValue2</v>
      </c>
    </row>
    <row r="2354" spans="20:22" x14ac:dyDescent="0.25">
      <c r="T2354" s="7" t="str">
        <f ca="1"/>
        <v>D6</v>
      </c>
      <c r="U2354" s="7" t="str">
        <f ca="1"/>
        <v>0xD028</v>
      </c>
      <c r="V2354" s="7" t="str">
        <f ca="1"/>
        <v>WbPresetDataValue3</v>
      </c>
    </row>
    <row r="2355" spans="20:22" x14ac:dyDescent="0.25">
      <c r="T2355" s="7" t="str">
        <f ca="1"/>
        <v>D6</v>
      </c>
      <c r="U2355" s="7" t="str">
        <f ca="1"/>
        <v>0xD029</v>
      </c>
      <c r="V2355" s="7" t="str">
        <f ca="1"/>
        <v>WbPresetDataValue4</v>
      </c>
    </row>
    <row r="2356" spans="20:22" x14ac:dyDescent="0.25">
      <c r="T2356" s="7" t="str">
        <f ca="1"/>
        <v>D6</v>
      </c>
      <c r="U2356" s="7" t="str">
        <f ca="1"/>
        <v>0xD02E</v>
      </c>
      <c r="V2356" s="7" t="str">
        <f ca="1"/>
        <v>FmmManualSetting</v>
      </c>
    </row>
    <row r="2357" spans="20:22" x14ac:dyDescent="0.25">
      <c r="T2357" s="7" t="str">
        <f ca="1"/>
        <v>D6</v>
      </c>
      <c r="U2357" s="7" t="str">
        <f ca="1"/>
        <v>0xD02F</v>
      </c>
      <c r="V2357" s="7" t="str">
        <f ca="1"/>
        <v>F0ManualSetting</v>
      </c>
    </row>
    <row r="2358" spans="20:22" x14ac:dyDescent="0.25">
      <c r="T2358" s="7" t="str">
        <f ca="1"/>
        <v>D6</v>
      </c>
      <c r="U2358" s="7" t="str">
        <f ca="1"/>
        <v>0xD030</v>
      </c>
      <c r="V2358" s="7" t="str">
        <f ca="1"/>
        <v>CaptureAreaCrop</v>
      </c>
    </row>
    <row r="2359" spans="20:22" x14ac:dyDescent="0.25">
      <c r="T2359" s="7" t="str">
        <f ca="1"/>
        <v>D6</v>
      </c>
      <c r="U2359" s="7" t="str">
        <f ca="1"/>
        <v>0xD032</v>
      </c>
      <c r="V2359" s="7" t="str">
        <f ca="1"/>
        <v>ColorSpace</v>
      </c>
    </row>
    <row r="2360" spans="20:22" x14ac:dyDescent="0.25">
      <c r="T2360" s="7" t="str">
        <f ca="1"/>
        <v>D6</v>
      </c>
      <c r="U2360" s="7" t="str">
        <f ca="1"/>
        <v>0xD033</v>
      </c>
      <c r="V2360" s="7" t="str">
        <f ca="1"/>
        <v>AutoDxCrop</v>
      </c>
    </row>
    <row r="2361" spans="20:22" x14ac:dyDescent="0.25">
      <c r="T2361" s="7" t="str">
        <f ca="1"/>
        <v>D6</v>
      </c>
      <c r="U2361" s="7" t="str">
        <f ca="1"/>
        <v>0xD034</v>
      </c>
      <c r="V2361" s="7" t="str">
        <f ca="1"/>
        <v>DecreaseFlicker</v>
      </c>
    </row>
    <row r="2362" spans="20:22" x14ac:dyDescent="0.25">
      <c r="T2362" s="7" t="str">
        <f ca="1"/>
        <v>D6</v>
      </c>
      <c r="U2362" s="7" t="str">
        <f ca="1"/>
        <v>0xD038</v>
      </c>
      <c r="V2362" s="7" t="str">
        <f ca="1"/>
        <v>WbPresetDataComment5</v>
      </c>
    </row>
    <row r="2363" spans="20:22" x14ac:dyDescent="0.25">
      <c r="T2363" s="7" t="str">
        <f ca="1"/>
        <v>D6</v>
      </c>
      <c r="U2363" s="7" t="str">
        <f ca="1"/>
        <v>0xD039</v>
      </c>
      <c r="V2363" s="7" t="str">
        <f ca="1"/>
        <v>WbPresetDataComment6</v>
      </c>
    </row>
    <row r="2364" spans="20:22" x14ac:dyDescent="0.25">
      <c r="T2364" s="7" t="str">
        <f ca="1"/>
        <v>D6</v>
      </c>
      <c r="U2364" s="7" t="str">
        <f ca="1"/>
        <v>0xD03A</v>
      </c>
      <c r="V2364" s="7" t="str">
        <f ca="1"/>
        <v>WbTunePreset5</v>
      </c>
    </row>
    <row r="2365" spans="20:22" x14ac:dyDescent="0.25">
      <c r="T2365" s="7" t="str">
        <f ca="1"/>
        <v>D6</v>
      </c>
      <c r="U2365" s="7" t="str">
        <f ca="1"/>
        <v>0xD03B</v>
      </c>
      <c r="V2365" s="7" t="str">
        <f ca="1"/>
        <v>WbTunePreset6</v>
      </c>
    </row>
    <row r="2366" spans="20:22" x14ac:dyDescent="0.25">
      <c r="T2366" s="7" t="str">
        <f ca="1"/>
        <v>D6</v>
      </c>
      <c r="U2366" s="7" t="str">
        <f ca="1"/>
        <v>0xD03C</v>
      </c>
      <c r="V2366" s="7" t="str">
        <f ca="1"/>
        <v>WbPresetProtect5</v>
      </c>
    </row>
    <row r="2367" spans="20:22" x14ac:dyDescent="0.25">
      <c r="T2367" s="7" t="str">
        <f ca="1"/>
        <v>D6</v>
      </c>
      <c r="U2367" s="7" t="str">
        <f ca="1"/>
        <v>0xD03D</v>
      </c>
      <c r="V2367" s="7" t="str">
        <f ca="1"/>
        <v>WbPresetProtect6</v>
      </c>
    </row>
    <row r="2368" spans="20:22" x14ac:dyDescent="0.25">
      <c r="T2368" s="7" t="str">
        <f ca="1"/>
        <v>D6</v>
      </c>
      <c r="U2368" s="7" t="str">
        <f ca="1"/>
        <v>0xD03E</v>
      </c>
      <c r="V2368" s="7" t="str">
        <f ca="1"/>
        <v>WbPresetDataValue5</v>
      </c>
    </row>
    <row r="2369" spans="20:22" x14ac:dyDescent="0.25">
      <c r="T2369" s="7" t="str">
        <f ca="1"/>
        <v>D6</v>
      </c>
      <c r="U2369" s="7" t="str">
        <f ca="1"/>
        <v>0xD03F</v>
      </c>
      <c r="V2369" s="7" t="str">
        <f ca="1"/>
        <v>WbPresetDataValue6</v>
      </c>
    </row>
    <row r="2370" spans="20:22" x14ac:dyDescent="0.25">
      <c r="T2370" s="7" t="str">
        <f ca="1"/>
        <v>D6</v>
      </c>
      <c r="U2370" s="7" t="str">
        <f ca="1"/>
        <v>0xD040</v>
      </c>
      <c r="V2370" s="7" t="str">
        <f ca="1"/>
        <v>CustomSettingBank</v>
      </c>
    </row>
    <row r="2371" spans="20:22" x14ac:dyDescent="0.25">
      <c r="T2371" s="7" t="str">
        <f ca="1"/>
        <v>D6</v>
      </c>
      <c r="U2371" s="7" t="str">
        <f ca="1"/>
        <v>0xD041</v>
      </c>
      <c r="V2371" s="7" t="str">
        <f ca="1"/>
        <v>CustomBankNameA</v>
      </c>
    </row>
    <row r="2372" spans="20:22" x14ac:dyDescent="0.25">
      <c r="T2372" s="7" t="str">
        <f ca="1"/>
        <v>D6</v>
      </c>
      <c r="U2372" s="7" t="str">
        <f ca="1"/>
        <v>0xD042</v>
      </c>
      <c r="V2372" s="7" t="str">
        <f ca="1"/>
        <v>CustomBankNameB</v>
      </c>
    </row>
    <row r="2373" spans="20:22" x14ac:dyDescent="0.25">
      <c r="T2373" s="7" t="str">
        <f ca="1"/>
        <v>D6</v>
      </c>
      <c r="U2373" s="7" t="str">
        <f ca="1"/>
        <v>0xD043</v>
      </c>
      <c r="V2373" s="7" t="str">
        <f ca="1"/>
        <v>CustomBankNameC</v>
      </c>
    </row>
    <row r="2374" spans="20:22" x14ac:dyDescent="0.25">
      <c r="T2374" s="7" t="str">
        <f ca="1"/>
        <v>D6</v>
      </c>
      <c r="U2374" s="7" t="str">
        <f ca="1"/>
        <v>0xD044</v>
      </c>
      <c r="V2374" s="7" t="str">
        <f ca="1"/>
        <v>CustomBankNameD</v>
      </c>
    </row>
    <row r="2375" spans="20:22" x14ac:dyDescent="0.25">
      <c r="T2375" s="7" t="str">
        <f ca="1"/>
        <v>D6</v>
      </c>
      <c r="U2375" s="7" t="str">
        <f ca="1"/>
        <v>0xD046</v>
      </c>
      <c r="V2375" s="7" t="str">
        <f ca="1"/>
        <v>AFStillLockOnAcross</v>
      </c>
    </row>
    <row r="2376" spans="20:22" x14ac:dyDescent="0.25">
      <c r="T2376" s="7" t="str">
        <f ca="1"/>
        <v>D6</v>
      </c>
      <c r="U2376" s="7" t="str">
        <f ca="1"/>
        <v>0xD047</v>
      </c>
      <c r="V2376" s="7" t="str">
        <f ca="1"/>
        <v>AFStillLockOnMove</v>
      </c>
    </row>
    <row r="2377" spans="20:22" x14ac:dyDescent="0.25">
      <c r="T2377" s="7" t="str">
        <f ca="1"/>
        <v>D6</v>
      </c>
      <c r="U2377" s="7" t="str">
        <f ca="1"/>
        <v>0xD048</v>
      </c>
      <c r="V2377" s="7" t="str">
        <f ca="1"/>
        <v>DynamicAFonAFC</v>
      </c>
    </row>
    <row r="2378" spans="20:22" x14ac:dyDescent="0.25">
      <c r="T2378" s="7" t="str">
        <f ca="1"/>
        <v>D6</v>
      </c>
      <c r="U2378" s="7" t="str">
        <f ca="1"/>
        <v>0xD049</v>
      </c>
      <c r="V2378" s="7" t="str">
        <f ca="1"/>
        <v>DynamicAFonAFS</v>
      </c>
    </row>
    <row r="2379" spans="20:22" x14ac:dyDescent="0.25">
      <c r="T2379" s="7" t="str">
        <f ca="1"/>
        <v>D6</v>
      </c>
      <c r="U2379" s="7" t="str">
        <f ca="1"/>
        <v>0xD04F</v>
      </c>
      <c r="V2379" s="7" t="str">
        <f ca="1"/>
        <v>FocusAreaSelect</v>
      </c>
    </row>
    <row r="2380" spans="20:22" x14ac:dyDescent="0.25">
      <c r="T2380" s="7" t="str">
        <f ca="1"/>
        <v>D6</v>
      </c>
      <c r="U2380" s="7" t="str">
        <f ca="1"/>
        <v>0xD053</v>
      </c>
      <c r="V2380" s="7" t="str">
        <f ca="1"/>
        <v>EnableCopyright</v>
      </c>
    </row>
    <row r="2381" spans="20:22" x14ac:dyDescent="0.25">
      <c r="T2381" s="7" t="str">
        <f ca="1"/>
        <v>D6</v>
      </c>
      <c r="U2381" s="7" t="str">
        <f ca="1"/>
        <v>0xD054</v>
      </c>
      <c r="V2381" s="7" t="str">
        <f ca="1"/>
        <v>ISOAutoControl</v>
      </c>
    </row>
    <row r="2382" spans="20:22" x14ac:dyDescent="0.25">
      <c r="T2382" s="7" t="str">
        <f ca="1"/>
        <v>D6</v>
      </c>
      <c r="U2382" s="7" t="str">
        <f ca="1"/>
        <v>0xD055</v>
      </c>
      <c r="V2382" s="7" t="str">
        <f ca="1"/>
        <v>IsoStep</v>
      </c>
    </row>
    <row r="2383" spans="20:22" x14ac:dyDescent="0.25">
      <c r="T2383" s="7" t="str">
        <f ca="1"/>
        <v>D6</v>
      </c>
      <c r="U2383" s="7" t="str">
        <f ca="1"/>
        <v>0xD056</v>
      </c>
      <c r="V2383" s="7" t="str">
        <f ca="1"/>
        <v>ExposureEVStep</v>
      </c>
    </row>
    <row r="2384" spans="20:22" x14ac:dyDescent="0.25">
      <c r="T2384" s="7" t="str">
        <f ca="1"/>
        <v>D6</v>
      </c>
      <c r="U2384" s="7" t="str">
        <f ca="1"/>
        <v>0xD057</v>
      </c>
      <c r="V2384" s="7" t="str">
        <f ca="1"/>
        <v>ExposureCompEVStep</v>
      </c>
    </row>
    <row r="2385" spans="20:22" x14ac:dyDescent="0.25">
      <c r="T2385" s="7" t="str">
        <f ca="1"/>
        <v>D6</v>
      </c>
      <c r="U2385" s="7" t="str">
        <f ca="1"/>
        <v>0xD059</v>
      </c>
      <c r="V2385" s="7" t="str">
        <f ca="1"/>
        <v>CenterWeightedExRange</v>
      </c>
    </row>
    <row r="2386" spans="20:22" x14ac:dyDescent="0.25">
      <c r="T2386" s="7" t="str">
        <f ca="1"/>
        <v>D6</v>
      </c>
      <c r="U2386" s="7" t="str">
        <f ca="1"/>
        <v>0xD05A</v>
      </c>
      <c r="V2386" s="7" t="str">
        <f ca="1"/>
        <v>ExposureBaseCompMatrix</v>
      </c>
    </row>
    <row r="2387" spans="20:22" x14ac:dyDescent="0.25">
      <c r="T2387" s="7" t="str">
        <f ca="1"/>
        <v>D6</v>
      </c>
      <c r="U2387" s="7" t="str">
        <f ca="1"/>
        <v>0xD05B</v>
      </c>
      <c r="V2387" s="7" t="str">
        <f ca="1"/>
        <v>ExposureBaseCompCenter</v>
      </c>
    </row>
    <row r="2388" spans="20:22" x14ac:dyDescent="0.25">
      <c r="T2388" s="7" t="str">
        <f ca="1"/>
        <v>D6</v>
      </c>
      <c r="U2388" s="7" t="str">
        <f ca="1"/>
        <v>0xD05C</v>
      </c>
      <c r="V2388" s="7" t="str">
        <f ca="1"/>
        <v>ExposureBaseCompSpot</v>
      </c>
    </row>
    <row r="2389" spans="20:22" x14ac:dyDescent="0.25">
      <c r="T2389" s="7" t="str">
        <f ca="1"/>
        <v>D6</v>
      </c>
      <c r="U2389" s="7" t="str">
        <f ca="1"/>
        <v>0xD05D</v>
      </c>
      <c r="V2389" s="7" t="str">
        <f ca="1"/>
        <v>StillFocusMeteringMode</v>
      </c>
    </row>
    <row r="2390" spans="20:22" x14ac:dyDescent="0.25">
      <c r="T2390" s="7" t="str">
        <f ca="1"/>
        <v>D6</v>
      </c>
      <c r="U2390" s="7" t="str">
        <f ca="1"/>
        <v>0xD060</v>
      </c>
      <c r="V2390" s="7" t="str">
        <f ca="1"/>
        <v>IPTCPresetSelect</v>
      </c>
    </row>
    <row r="2391" spans="20:22" x14ac:dyDescent="0.25">
      <c r="T2391" s="7" t="str">
        <f ca="1"/>
        <v>D6</v>
      </c>
      <c r="U2391" s="7" t="str">
        <f ca="1"/>
        <v>0xD061</v>
      </c>
      <c r="V2391" s="7" t="str">
        <f ca="1"/>
        <v>StillFocusMode</v>
      </c>
    </row>
    <row r="2392" spans="20:22" x14ac:dyDescent="0.25">
      <c r="T2392" s="7" t="str">
        <f ca="1"/>
        <v>D6</v>
      </c>
      <c r="U2392" s="7" t="str">
        <f ca="1"/>
        <v>0xD067</v>
      </c>
      <c r="V2392" s="7" t="str">
        <f ca="1"/>
        <v>AngleLevel</v>
      </c>
    </row>
    <row r="2393" spans="20:22" x14ac:dyDescent="0.25">
      <c r="T2393" s="7" t="str">
        <f ca="1"/>
        <v>D6</v>
      </c>
      <c r="U2393" s="7" t="str">
        <f ca="1"/>
        <v>0xD068</v>
      </c>
      <c r="V2393" s="7" t="str">
        <f ca="1"/>
        <v>CSpeedLow</v>
      </c>
    </row>
    <row r="2394" spans="20:22" x14ac:dyDescent="0.25">
      <c r="T2394" s="7" t="str">
        <f ca="1"/>
        <v>D6</v>
      </c>
      <c r="U2394" s="7" t="str">
        <f ca="1"/>
        <v>0xD069</v>
      </c>
      <c r="V2394" s="7" t="str">
        <f ca="1"/>
        <v>BurstMaxNumber</v>
      </c>
    </row>
    <row r="2395" spans="20:22" x14ac:dyDescent="0.25">
      <c r="T2395" s="7" t="str">
        <f ca="1"/>
        <v>D6</v>
      </c>
      <c r="U2395" s="7" t="str">
        <f ca="1"/>
        <v>0xD06A</v>
      </c>
      <c r="V2395" s="7" t="str">
        <f ca="1"/>
        <v>ExposureDelay</v>
      </c>
    </row>
    <row r="2396" spans="20:22" x14ac:dyDescent="0.25">
      <c r="T2396" s="7" t="str">
        <f ca="1"/>
        <v>D6</v>
      </c>
      <c r="U2396" s="7" t="str">
        <f ca="1"/>
        <v>0xD06B</v>
      </c>
      <c r="V2396" s="7" t="str">
        <f ca="1"/>
        <v>NoiseReduction</v>
      </c>
    </row>
    <row r="2397" spans="20:22" x14ac:dyDescent="0.25">
      <c r="T2397" s="7" t="str">
        <f ca="1"/>
        <v>D6</v>
      </c>
      <c r="U2397" s="7" t="str">
        <f ca="1"/>
        <v>0xD06C</v>
      </c>
      <c r="V2397" s="7" t="str">
        <f ca="1"/>
        <v>NumberingMode</v>
      </c>
    </row>
    <row r="2398" spans="20:22" x14ac:dyDescent="0.25">
      <c r="T2398" s="7" t="str">
        <f ca="1"/>
        <v>D6</v>
      </c>
      <c r="U2398" s="7" t="str">
        <f ca="1"/>
        <v>0xD070</v>
      </c>
      <c r="V2398" s="7" t="str">
        <f ca="1"/>
        <v>NoiseReductionHiIso</v>
      </c>
    </row>
    <row r="2399" spans="20:22" x14ac:dyDescent="0.25">
      <c r="T2399" s="7" t="str">
        <f ca="1"/>
        <v>D6</v>
      </c>
      <c r="U2399" s="7" t="str">
        <f ca="1"/>
        <v>0xD072</v>
      </c>
      <c r="V2399" s="7" t="str">
        <f ca="1"/>
        <v>ArtistV</v>
      </c>
    </row>
    <row r="2400" spans="20:22" x14ac:dyDescent="0.25">
      <c r="T2400" s="7" t="str">
        <f ca="1"/>
        <v>D6</v>
      </c>
      <c r="U2400" s="7" t="str">
        <f ca="1"/>
        <v>0xD073</v>
      </c>
      <c r="V2400" s="7" t="str">
        <f ca="1"/>
        <v>CopyrightV</v>
      </c>
    </row>
    <row r="2401" spans="20:22" x14ac:dyDescent="0.25">
      <c r="T2401" s="7" t="str">
        <f ca="1"/>
        <v>D6</v>
      </c>
      <c r="U2401" s="7" t="str">
        <f ca="1"/>
        <v>0xD074</v>
      </c>
      <c r="V2401" s="7" t="str">
        <f ca="1"/>
        <v>FlashSyncSpeed</v>
      </c>
    </row>
    <row r="2402" spans="20:22" x14ac:dyDescent="0.25">
      <c r="T2402" s="7" t="str">
        <f ca="1"/>
        <v>D6</v>
      </c>
      <c r="U2402" s="7" t="str">
        <f ca="1"/>
        <v>0xD075</v>
      </c>
      <c r="V2402" s="7" t="str">
        <f ca="1"/>
        <v>FlashSlowSpeedLimit</v>
      </c>
    </row>
    <row r="2403" spans="20:22" x14ac:dyDescent="0.25">
      <c r="T2403" s="7" t="str">
        <f ca="1"/>
        <v>D6</v>
      </c>
      <c r="U2403" s="7" t="str">
        <f ca="1"/>
        <v>0xD078</v>
      </c>
      <c r="V2403" s="7" t="str">
        <f ca="1"/>
        <v>BracketingType</v>
      </c>
    </row>
    <row r="2404" spans="20:22" x14ac:dyDescent="0.25">
      <c r="T2404" s="7" t="str">
        <f ca="1"/>
        <v>D6</v>
      </c>
      <c r="U2404" s="7" t="str">
        <f ca="1"/>
        <v>0xD079</v>
      </c>
      <c r="V2404" s="7" t="str">
        <f ca="1"/>
        <v>SelectBracketChangeFactor</v>
      </c>
    </row>
    <row r="2405" spans="20:22" x14ac:dyDescent="0.25">
      <c r="T2405" s="7" t="str">
        <f ca="1"/>
        <v>D6</v>
      </c>
      <c r="U2405" s="7" t="str">
        <f ca="1"/>
        <v>0xD07A</v>
      </c>
      <c r="V2405" s="7" t="str">
        <f ca="1"/>
        <v>BracketingOrder</v>
      </c>
    </row>
    <row r="2406" spans="20:22" x14ac:dyDescent="0.25">
      <c r="T2406" s="7" t="str">
        <f ca="1"/>
        <v>D6</v>
      </c>
      <c r="U2406" s="7" t="str">
        <f ca="1"/>
        <v>0xD07D</v>
      </c>
      <c r="V2406" s="7" t="str">
        <f ca="1"/>
        <v>AngleLevelPitching</v>
      </c>
    </row>
    <row r="2407" spans="20:22" x14ac:dyDescent="0.25">
      <c r="T2407" s="7" t="str">
        <f ca="1"/>
        <v>D6</v>
      </c>
      <c r="U2407" s="7" t="str">
        <f ca="1"/>
        <v>0xD07E</v>
      </c>
      <c r="V2407" s="7" t="str">
        <f ca="1"/>
        <v>AngleLevelYawing</v>
      </c>
    </row>
    <row r="2408" spans="20:22" x14ac:dyDescent="0.25">
      <c r="T2408" s="7" t="str">
        <f ca="1"/>
        <v>D6</v>
      </c>
      <c r="U2408" s="7" t="str">
        <f ca="1"/>
        <v>0xD07F</v>
      </c>
      <c r="V2408" s="7" t="str">
        <f ca="1"/>
        <v>ExtendShootingMenu</v>
      </c>
    </row>
    <row r="2409" spans="20:22" x14ac:dyDescent="0.25">
      <c r="T2409" s="7" t="str">
        <f ca="1"/>
        <v>D6</v>
      </c>
      <c r="U2409" s="7" t="str">
        <f ca="1"/>
        <v>0xD08A</v>
      </c>
      <c r="V2409" s="7" t="str">
        <f ca="1"/>
        <v>EnableShutter</v>
      </c>
    </row>
    <row r="2410" spans="20:22" x14ac:dyDescent="0.25">
      <c r="T2410" s="7" t="str">
        <f ca="1"/>
        <v>D6</v>
      </c>
      <c r="U2410" s="7" t="str">
        <f ca="1"/>
        <v>0xD08D</v>
      </c>
      <c r="V2410" s="7" t="str">
        <f ca="1"/>
        <v>EnableAFAreaPoint</v>
      </c>
    </row>
    <row r="2411" spans="20:22" x14ac:dyDescent="0.25">
      <c r="T2411" s="7" t="str">
        <f ca="1"/>
        <v>D6</v>
      </c>
      <c r="U2411" s="7" t="str">
        <f ca="1"/>
        <v>0xD08F</v>
      </c>
      <c r="V2411" s="7" t="str">
        <f ca="1"/>
        <v>ImageSensorCleaning</v>
      </c>
    </row>
    <row r="2412" spans="20:22" x14ac:dyDescent="0.25">
      <c r="T2412" s="7" t="str">
        <f ca="1"/>
        <v>D6</v>
      </c>
      <c r="U2412" s="7" t="str">
        <f ca="1"/>
        <v>0xD090</v>
      </c>
      <c r="V2412" s="7" t="str">
        <f ca="1"/>
        <v>CommentString</v>
      </c>
    </row>
    <row r="2413" spans="20:22" x14ac:dyDescent="0.25">
      <c r="T2413" s="7" t="str">
        <f ca="1"/>
        <v>D6</v>
      </c>
      <c r="U2413" s="7" t="str">
        <f ca="1"/>
        <v>0xD091</v>
      </c>
      <c r="V2413" s="7" t="str">
        <f ca="1"/>
        <v>EnableComment</v>
      </c>
    </row>
    <row r="2414" spans="20:22" x14ac:dyDescent="0.25">
      <c r="T2414" s="7" t="str">
        <f ca="1"/>
        <v>D6</v>
      </c>
      <c r="U2414" s="7" t="str">
        <f ca="1"/>
        <v>0xD093</v>
      </c>
      <c r="V2414" s="7" t="str">
        <f ca="1"/>
        <v>ManualSettingLensNo</v>
      </c>
    </row>
    <row r="2415" spans="20:22" x14ac:dyDescent="0.25">
      <c r="T2415" s="7" t="str">
        <f ca="1"/>
        <v>D6</v>
      </c>
      <c r="U2415" s="7" t="str">
        <f ca="1"/>
        <v>0xD09C</v>
      </c>
      <c r="V2415" s="7" t="str">
        <f ca="1"/>
        <v>RetractableLensWarning</v>
      </c>
    </row>
    <row r="2416" spans="20:22" x14ac:dyDescent="0.25">
      <c r="T2416" s="7" t="str">
        <f ca="1"/>
        <v>D6</v>
      </c>
      <c r="U2416" s="7" t="str">
        <f ca="1"/>
        <v>0xD09D</v>
      </c>
      <c r="V2416" s="7" t="str">
        <f ca="1"/>
        <v>AutoAreaAfFaceDetection</v>
      </c>
    </row>
    <row r="2417" spans="20:22" x14ac:dyDescent="0.25">
      <c r="T2417" s="7" t="str">
        <f ca="1"/>
        <v>D6</v>
      </c>
      <c r="U2417" s="7" t="str">
        <f ca="1"/>
        <v>0xD09F</v>
      </c>
      <c r="V2417" s="7" t="str">
        <f ca="1"/>
        <v>MatrixMetering</v>
      </c>
    </row>
    <row r="2418" spans="20:22" x14ac:dyDescent="0.25">
      <c r="T2418" s="7" t="str">
        <f ca="1"/>
        <v>D6</v>
      </c>
      <c r="U2418" s="7" t="str">
        <f ca="1"/>
        <v>0xD0A0</v>
      </c>
      <c r="V2418" s="7" t="str">
        <f ca="1"/>
        <v>MovieRecordScreenSize</v>
      </c>
    </row>
    <row r="2419" spans="20:22" x14ac:dyDescent="0.25">
      <c r="T2419" s="7" t="str">
        <f ca="1"/>
        <v>D6</v>
      </c>
      <c r="U2419" s="7" t="str">
        <f ca="1"/>
        <v>0xD0A2</v>
      </c>
      <c r="V2419" s="7" t="str">
        <f ca="1"/>
        <v>MovieRecordMicrophoneLevel</v>
      </c>
    </row>
    <row r="2420" spans="20:22" x14ac:dyDescent="0.25">
      <c r="T2420" s="7" t="str">
        <f ca="1"/>
        <v>D6</v>
      </c>
      <c r="U2420" s="7" t="str">
        <f ca="1"/>
        <v>0xD0A3</v>
      </c>
      <c r="V2420" s="7" t="str">
        <f ca="1"/>
        <v>MovieRecordDestination</v>
      </c>
    </row>
    <row r="2421" spans="20:22" x14ac:dyDescent="0.25">
      <c r="T2421" s="7" t="str">
        <f ca="1"/>
        <v>D6</v>
      </c>
      <c r="U2421" s="7" t="str">
        <f ca="1"/>
        <v>0xD0A4</v>
      </c>
      <c r="V2421" s="7" t="str">
        <f ca="1"/>
        <v>MovieRecProhibitionCondition</v>
      </c>
    </row>
    <row r="2422" spans="20:22" x14ac:dyDescent="0.25">
      <c r="T2422" s="7" t="str">
        <f ca="1"/>
        <v>D6</v>
      </c>
      <c r="U2422" s="7" t="str">
        <f ca="1"/>
        <v>0xD0A7</v>
      </c>
      <c r="V2422" s="7" t="str">
        <f ca="1"/>
        <v>MovieRecordQuality</v>
      </c>
    </row>
    <row r="2423" spans="20:22" x14ac:dyDescent="0.25">
      <c r="T2423" s="7" t="str">
        <f ca="1"/>
        <v>D6</v>
      </c>
      <c r="U2423" s="7" t="str">
        <f ca="1"/>
        <v>0xD0A8</v>
      </c>
      <c r="V2423" s="7" t="str">
        <f ca="1"/>
        <v>MovieRecordMicrophoneLevelValue</v>
      </c>
    </row>
    <row r="2424" spans="20:22" x14ac:dyDescent="0.25">
      <c r="T2424" s="7" t="str">
        <f ca="1"/>
        <v>D6</v>
      </c>
      <c r="U2424" s="7" t="str">
        <f ca="1"/>
        <v>0xD0AA</v>
      </c>
      <c r="V2424" s="7" t="str">
        <f ca="1"/>
        <v>MovieWindNoiseReduction</v>
      </c>
    </row>
    <row r="2425" spans="20:22" x14ac:dyDescent="0.25">
      <c r="T2425" s="7" t="str">
        <f ca="1"/>
        <v>D6</v>
      </c>
      <c r="U2425" s="7" t="str">
        <f ca="1"/>
        <v>0xD0AC</v>
      </c>
      <c r="V2425" s="7" t="str">
        <f ca="1"/>
        <v>MovieRecordingZone</v>
      </c>
    </row>
    <row r="2426" spans="20:22" x14ac:dyDescent="0.25">
      <c r="T2426" s="7" t="str">
        <f ca="1"/>
        <v>D6</v>
      </c>
      <c r="U2426" s="7" t="str">
        <f ca="1"/>
        <v>0xD0AD</v>
      </c>
      <c r="V2426" s="7" t="str">
        <f ca="1"/>
        <v>MovieISOAutoControl</v>
      </c>
    </row>
    <row r="2427" spans="20:22" x14ac:dyDescent="0.25">
      <c r="T2427" s="7" t="str">
        <f ca="1"/>
        <v>D6</v>
      </c>
      <c r="U2427" s="7" t="str">
        <f ca="1"/>
        <v>0xD0AE</v>
      </c>
      <c r="V2427" s="7" t="str">
        <f ca="1"/>
        <v>MovieISOAutoHighLimit</v>
      </c>
    </row>
    <row r="2428" spans="20:22" x14ac:dyDescent="0.25">
      <c r="T2428" s="7" t="str">
        <f ca="1"/>
        <v>D6</v>
      </c>
      <c r="U2428" s="7" t="str">
        <f ca="1"/>
        <v>0xD0AF</v>
      </c>
      <c r="V2428" s="7" t="str">
        <f ca="1"/>
        <v>MovieFileType</v>
      </c>
    </row>
    <row r="2429" spans="20:22" x14ac:dyDescent="0.25">
      <c r="T2429" s="7" t="str">
        <f ca="1"/>
        <v>D6</v>
      </c>
      <c r="U2429" s="7" t="str">
        <f ca="1"/>
        <v>0xD0B4</v>
      </c>
      <c r="V2429" s="7" t="str">
        <f ca="1"/>
        <v>ExposureIndexEx</v>
      </c>
    </row>
    <row r="2430" spans="20:22" x14ac:dyDescent="0.25">
      <c r="T2430" s="7" t="str">
        <f ca="1"/>
        <v>D6</v>
      </c>
      <c r="U2430" s="7" t="str">
        <f ca="1"/>
        <v>0xD0B5</v>
      </c>
      <c r="V2430" s="7" t="str">
        <f ca="1"/>
        <v>ISOControlSensitivity</v>
      </c>
    </row>
    <row r="2431" spans="20:22" x14ac:dyDescent="0.25">
      <c r="T2431" s="7" t="str">
        <f ca="1"/>
        <v>D6</v>
      </c>
      <c r="U2431" s="7" t="str">
        <f ca="1"/>
        <v>0xD0B6</v>
      </c>
      <c r="V2431" s="7" t="str">
        <f ca="1"/>
        <v>RawImageSize</v>
      </c>
    </row>
    <row r="2432" spans="20:22" x14ac:dyDescent="0.25">
      <c r="T2432" s="7" t="str">
        <f ca="1"/>
        <v>D6</v>
      </c>
      <c r="U2432" s="7" t="str">
        <f ca="1"/>
        <v>0xD0B7</v>
      </c>
      <c r="V2432" s="7" t="str">
        <f ca="1"/>
        <v>FlickerReductionSetting</v>
      </c>
    </row>
    <row r="2433" spans="20:22" x14ac:dyDescent="0.25">
      <c r="T2433" s="7" t="str">
        <f ca="1"/>
        <v>D6</v>
      </c>
      <c r="U2433" s="7" t="str">
        <f ca="1"/>
        <v>0xD0BA</v>
      </c>
      <c r="V2433" s="7" t="str">
        <f ca="1"/>
        <v>DiffractionCompensation</v>
      </c>
    </row>
    <row r="2434" spans="20:22" x14ac:dyDescent="0.25">
      <c r="T2434" s="7" t="str">
        <f ca="1"/>
        <v>D6</v>
      </c>
      <c r="U2434" s="7" t="str">
        <f ca="1"/>
        <v>0xD0BE</v>
      </c>
      <c r="V2434" s="7" t="str">
        <f ca="1"/>
        <v>RemainingExposureTime</v>
      </c>
    </row>
    <row r="2435" spans="20:22" x14ac:dyDescent="0.25">
      <c r="T2435" s="7" t="str">
        <f ca="1"/>
        <v>D6</v>
      </c>
      <c r="U2435" s="7" t="str">
        <f ca="1"/>
        <v>0xD0C0</v>
      </c>
      <c r="V2435" s="7" t="str">
        <f ca="1"/>
        <v>EnableBracketing</v>
      </c>
    </row>
    <row r="2436" spans="20:22" x14ac:dyDescent="0.25">
      <c r="T2436" s="7" t="str">
        <f ca="1"/>
        <v>D6</v>
      </c>
      <c r="U2436" s="7" t="str">
        <f ca="1"/>
        <v>0xD0C1</v>
      </c>
      <c r="V2436" s="7" t="str">
        <f ca="1"/>
        <v>AEBracketingStep</v>
      </c>
    </row>
    <row r="2437" spans="20:22" x14ac:dyDescent="0.25">
      <c r="T2437" s="7" t="str">
        <f ca="1"/>
        <v>D6</v>
      </c>
      <c r="U2437" s="7" t="str">
        <f ca="1"/>
        <v>0xD0C2</v>
      </c>
      <c r="V2437" s="7" t="str">
        <f ca="1"/>
        <v>AEBracketingPattern</v>
      </c>
    </row>
    <row r="2438" spans="20:22" x14ac:dyDescent="0.25">
      <c r="T2438" s="7" t="str">
        <f ca="1"/>
        <v>D6</v>
      </c>
      <c r="U2438" s="7" t="str">
        <f ca="1"/>
        <v>0xD0C3</v>
      </c>
      <c r="V2438" s="7" t="str">
        <f ca="1"/>
        <v>AEBracketingCount</v>
      </c>
    </row>
    <row r="2439" spans="20:22" x14ac:dyDescent="0.25">
      <c r="T2439" s="7" t="str">
        <f ca="1"/>
        <v>D6</v>
      </c>
      <c r="U2439" s="7" t="str">
        <f ca="1"/>
        <v>0xD0C4</v>
      </c>
      <c r="V2439" s="7" t="str">
        <f ca="1"/>
        <v>WBBracketingStep</v>
      </c>
    </row>
    <row r="2440" spans="20:22" x14ac:dyDescent="0.25">
      <c r="T2440" s="7" t="str">
        <f ca="1"/>
        <v>D6</v>
      </c>
      <c r="U2440" s="7" t="str">
        <f ca="1"/>
        <v>0xD0C5</v>
      </c>
      <c r="V2440" s="7" t="str">
        <f ca="1"/>
        <v>WBBracketingPattern</v>
      </c>
    </row>
    <row r="2441" spans="20:22" x14ac:dyDescent="0.25">
      <c r="T2441" s="7" t="str">
        <f ca="1"/>
        <v>D6</v>
      </c>
      <c r="U2441" s="7" t="str">
        <f ca="1"/>
        <v>0xD0C6</v>
      </c>
      <c r="V2441" s="7" t="str">
        <f ca="1"/>
        <v>ADLBracketingPattern</v>
      </c>
    </row>
    <row r="2442" spans="20:22" x14ac:dyDescent="0.25">
      <c r="T2442" s="7" t="str">
        <f ca="1"/>
        <v>D6</v>
      </c>
      <c r="U2442" s="7" t="str">
        <f ca="1"/>
        <v>0xD0C7</v>
      </c>
      <c r="V2442" s="7" t="str">
        <f ca="1"/>
        <v>ADLBracketingStep</v>
      </c>
    </row>
    <row r="2443" spans="20:22" x14ac:dyDescent="0.25">
      <c r="T2443" s="7" t="str">
        <f ca="1"/>
        <v>D6</v>
      </c>
      <c r="U2443" s="7" t="str">
        <f ca="1"/>
        <v>0xD0E0</v>
      </c>
      <c r="V2443" s="7" t="str">
        <f ca="1"/>
        <v>LensID</v>
      </c>
    </row>
    <row r="2444" spans="20:22" x14ac:dyDescent="0.25">
      <c r="T2444" s="7" t="str">
        <f ca="1"/>
        <v>D6</v>
      </c>
      <c r="U2444" s="7" t="str">
        <f ca="1"/>
        <v>0xD0E1</v>
      </c>
      <c r="V2444" s="7" t="str">
        <f ca="1"/>
        <v>LensSort</v>
      </c>
    </row>
    <row r="2445" spans="20:22" x14ac:dyDescent="0.25">
      <c r="T2445" s="7" t="str">
        <f ca="1"/>
        <v>D6</v>
      </c>
      <c r="U2445" s="7" t="str">
        <f ca="1"/>
        <v>0xD0E2</v>
      </c>
      <c r="V2445" s="7" t="str">
        <f ca="1"/>
        <v>LensTypeF</v>
      </c>
    </row>
    <row r="2446" spans="20:22" x14ac:dyDescent="0.25">
      <c r="T2446" s="7" t="str">
        <f ca="1"/>
        <v>D6</v>
      </c>
      <c r="U2446" s="7" t="str">
        <f ca="1"/>
        <v>0xD0E3</v>
      </c>
      <c r="V2446" s="7" t="str">
        <f ca="1"/>
        <v>LensFocalMin</v>
      </c>
    </row>
    <row r="2447" spans="20:22" x14ac:dyDescent="0.25">
      <c r="T2447" s="7" t="str">
        <f ca="1"/>
        <v>D6</v>
      </c>
      <c r="U2447" s="7" t="str">
        <f ca="1"/>
        <v>0xD0E4</v>
      </c>
      <c r="V2447" s="7" t="str">
        <f ca="1"/>
        <v>LensFocalMax</v>
      </c>
    </row>
    <row r="2448" spans="20:22" x14ac:dyDescent="0.25">
      <c r="T2448" s="7" t="str">
        <f ca="1"/>
        <v>D6</v>
      </c>
      <c r="U2448" s="7" t="str">
        <f ca="1"/>
        <v>0xD0E5</v>
      </c>
      <c r="V2448" s="7" t="str">
        <f ca="1"/>
        <v>LensApatureMin</v>
      </c>
    </row>
    <row r="2449" spans="20:22" x14ac:dyDescent="0.25">
      <c r="T2449" s="7" t="str">
        <f ca="1"/>
        <v>D6</v>
      </c>
      <c r="U2449" s="7" t="str">
        <f ca="1"/>
        <v>0xD0E6</v>
      </c>
      <c r="V2449" s="7" t="str">
        <f ca="1"/>
        <v>LensApatureMax</v>
      </c>
    </row>
    <row r="2450" spans="20:22" x14ac:dyDescent="0.25">
      <c r="T2450" s="7" t="str">
        <f ca="1"/>
        <v>D6</v>
      </c>
      <c r="U2450" s="7" t="str">
        <f ca="1"/>
        <v>0xD0EB</v>
      </c>
      <c r="V2450" s="7" t="str">
        <f ca="1"/>
        <v>CustomGroupingsC2</v>
      </c>
    </row>
    <row r="2451" spans="20:22" x14ac:dyDescent="0.25">
      <c r="T2451" s="7" t="str">
        <f ca="1"/>
        <v>D6</v>
      </c>
      <c r="U2451" s="7" t="str">
        <f ca="1"/>
        <v>0xD0EC</v>
      </c>
      <c r="V2451" s="7" t="str">
        <f ca="1"/>
        <v>AutoAreaAfStartingPoint</v>
      </c>
    </row>
    <row r="2452" spans="20:22" x14ac:dyDescent="0.25">
      <c r="T2452" s="7" t="str">
        <f ca="1"/>
        <v>D6</v>
      </c>
      <c r="U2452" s="7" t="str">
        <f ca="1"/>
        <v>0xD0ED</v>
      </c>
      <c r="V2452" s="7" t="str">
        <f ca="1"/>
        <v>CustomGroupingsC1</v>
      </c>
    </row>
    <row r="2453" spans="20:22" x14ac:dyDescent="0.25">
      <c r="T2453" s="7" t="str">
        <f ca="1"/>
        <v>D6</v>
      </c>
      <c r="U2453" s="7" t="str">
        <f ca="1"/>
        <v>0xD0EE</v>
      </c>
      <c r="V2453" s="7" t="str">
        <f ca="1"/>
        <v>SinglePointAfWatchArea</v>
      </c>
    </row>
    <row r="2454" spans="20:22" x14ac:dyDescent="0.25">
      <c r="T2454" s="7" t="str">
        <f ca="1"/>
        <v>D6</v>
      </c>
      <c r="U2454" s="7" t="str">
        <f ca="1"/>
        <v>0xD0EF</v>
      </c>
      <c r="V2454" s="7" t="str">
        <f ca="1"/>
        <v>GroupAreaFaceDetection</v>
      </c>
    </row>
    <row r="2455" spans="20:22" x14ac:dyDescent="0.25">
      <c r="T2455" s="7" t="str">
        <f ca="1"/>
        <v>D6</v>
      </c>
      <c r="U2455" s="7" t="str">
        <f ca="1"/>
        <v>0xD0F1</v>
      </c>
      <c r="V2455" s="7" t="str">
        <f ca="1"/>
        <v>QuietShutterRelease</v>
      </c>
    </row>
    <row r="2456" spans="20:22" x14ac:dyDescent="0.25">
      <c r="T2456" s="7" t="str">
        <f ca="1"/>
        <v>D6</v>
      </c>
      <c r="U2456" s="7" t="str">
        <f ca="1"/>
        <v>0xD0F6</v>
      </c>
      <c r="V2456" s="7" t="str">
        <f ca="1"/>
        <v>StillCaptureModeQuick</v>
      </c>
    </row>
    <row r="2457" spans="20:22" x14ac:dyDescent="0.25">
      <c r="T2457" s="7" t="str">
        <f ca="1"/>
        <v>D6</v>
      </c>
      <c r="U2457" s="7" t="str">
        <f ca="1"/>
        <v>0xD0F7</v>
      </c>
      <c r="V2457" s="7" t="str">
        <f ca="1"/>
        <v>VignetteControl</v>
      </c>
    </row>
    <row r="2458" spans="20:22" x14ac:dyDescent="0.25">
      <c r="T2458" s="7" t="str">
        <f ca="1"/>
        <v>D6</v>
      </c>
      <c r="U2458" s="7" t="str">
        <f ca="1"/>
        <v>0xD0F8</v>
      </c>
      <c r="V2458" s="7" t="str">
        <f ca="1"/>
        <v>AutoDistortion</v>
      </c>
    </row>
    <row r="2459" spans="20:22" x14ac:dyDescent="0.25">
      <c r="T2459" s="7" t="str">
        <f ca="1"/>
        <v>D6</v>
      </c>
      <c r="U2459" s="7" t="str">
        <f ca="1"/>
        <v>0xD0FA</v>
      </c>
      <c r="V2459" s="7" t="str">
        <f ca="1"/>
        <v>LiveViewWbColorTemp</v>
      </c>
    </row>
    <row r="2460" spans="20:22" x14ac:dyDescent="0.25">
      <c r="T2460" s="7" t="str">
        <f ca="1"/>
        <v>D6</v>
      </c>
      <c r="U2460" s="7" t="str">
        <f ca="1"/>
        <v>0xD0FB</v>
      </c>
      <c r="V2460" s="7" t="str">
        <f ca="1"/>
        <v>LiveViewWbTuneColorTemp</v>
      </c>
    </row>
    <row r="2461" spans="20:22" x14ac:dyDescent="0.25">
      <c r="T2461" s="7" t="str">
        <f ca="1"/>
        <v>D6</v>
      </c>
      <c r="U2461" s="7" t="str">
        <f ca="1"/>
        <v>0xD100</v>
      </c>
      <c r="V2461" s="7" t="str">
        <f ca="1"/>
        <v>ShutterSpeed</v>
      </c>
    </row>
    <row r="2462" spans="20:22" x14ac:dyDescent="0.25">
      <c r="T2462" s="7" t="str">
        <f ca="1"/>
        <v>D6</v>
      </c>
      <c r="U2462" s="7" t="str">
        <f ca="1"/>
        <v>0xD101</v>
      </c>
      <c r="V2462" s="7" t="str">
        <f ca="1"/>
        <v>ExternalDC</v>
      </c>
    </row>
    <row r="2463" spans="20:22" x14ac:dyDescent="0.25">
      <c r="T2463" s="7" t="str">
        <f ca="1"/>
        <v>D6</v>
      </c>
      <c r="U2463" s="7" t="str">
        <f ca="1"/>
        <v>0xD102</v>
      </c>
      <c r="V2463" s="7" t="str">
        <f ca="1"/>
        <v>WarningStatus</v>
      </c>
    </row>
    <row r="2464" spans="20:22" x14ac:dyDescent="0.25">
      <c r="T2464" s="7" t="str">
        <f ca="1"/>
        <v>D6</v>
      </c>
      <c r="U2464" s="7" t="str">
        <f ca="1"/>
        <v>0xD104</v>
      </c>
      <c r="V2464" s="7" t="str">
        <f ca="1"/>
        <v>AFLockStatus</v>
      </c>
    </row>
    <row r="2465" spans="20:22" x14ac:dyDescent="0.25">
      <c r="T2465" s="7" t="str">
        <f ca="1"/>
        <v>D6</v>
      </c>
      <c r="U2465" s="7" t="str">
        <f ca="1"/>
        <v>0xD105</v>
      </c>
      <c r="V2465" s="7" t="str">
        <f ca="1"/>
        <v>AELockStatus</v>
      </c>
    </row>
    <row r="2466" spans="20:22" x14ac:dyDescent="0.25">
      <c r="T2466" s="7" t="str">
        <f ca="1"/>
        <v>D6</v>
      </c>
      <c r="U2466" s="7" t="str">
        <f ca="1"/>
        <v>0xD106</v>
      </c>
      <c r="V2466" s="7" t="str">
        <f ca="1"/>
        <v>FVLockStatus</v>
      </c>
    </row>
    <row r="2467" spans="20:22" x14ac:dyDescent="0.25">
      <c r="T2467" s="7" t="str">
        <f ca="1"/>
        <v>D6</v>
      </c>
      <c r="U2467" s="7" t="str">
        <f ca="1"/>
        <v>0xD108</v>
      </c>
      <c r="V2467" s="7" t="str">
        <f ca="1"/>
        <v>FocusArea</v>
      </c>
    </row>
    <row r="2468" spans="20:22" x14ac:dyDescent="0.25">
      <c r="T2468" s="7" t="str">
        <f ca="1"/>
        <v>D6</v>
      </c>
      <c r="U2468" s="7" t="str">
        <f ca="1"/>
        <v>0xD109</v>
      </c>
      <c r="V2468" s="7" t="str">
        <f ca="1"/>
        <v>FlexibleProgram</v>
      </c>
    </row>
    <row r="2469" spans="20:22" x14ac:dyDescent="0.25">
      <c r="T2469" s="7" t="str">
        <f ca="1"/>
        <v>D6</v>
      </c>
      <c r="U2469" s="7" t="str">
        <f ca="1"/>
        <v>0xD10B</v>
      </c>
      <c r="V2469" s="7" t="str">
        <f ca="1"/>
        <v>RecordingMedia</v>
      </c>
    </row>
    <row r="2470" spans="20:22" x14ac:dyDescent="0.25">
      <c r="T2470" s="7" t="str">
        <f ca="1"/>
        <v>D6</v>
      </c>
      <c r="U2470" s="7" t="str">
        <f ca="1"/>
        <v>0xD10C</v>
      </c>
      <c r="V2470" s="7" t="str">
        <f ca="1"/>
        <v>USBSpeed</v>
      </c>
    </row>
    <row r="2471" spans="20:22" x14ac:dyDescent="0.25">
      <c r="T2471" s="7" t="str">
        <f ca="1"/>
        <v>D6</v>
      </c>
      <c r="U2471" s="7" t="str">
        <f ca="1"/>
        <v>0xD10E</v>
      </c>
      <c r="V2471" s="7" t="str">
        <f ca="1"/>
        <v>Orientation</v>
      </c>
    </row>
    <row r="2472" spans="20:22" x14ac:dyDescent="0.25">
      <c r="T2472" s="7" t="str">
        <f ca="1"/>
        <v>D6</v>
      </c>
      <c r="U2472" s="7" t="str">
        <f ca="1"/>
        <v>0xD112</v>
      </c>
      <c r="V2472" s="7" t="str">
        <f ca="1"/>
        <v>TVLockSetting</v>
      </c>
    </row>
    <row r="2473" spans="20:22" x14ac:dyDescent="0.25">
      <c r="T2473" s="7" t="str">
        <f ca="1"/>
        <v>D6</v>
      </c>
      <c r="U2473" s="7" t="str">
        <f ca="1"/>
        <v>0xD113</v>
      </c>
      <c r="V2473" s="7" t="str">
        <f ca="1"/>
        <v>AVLockSetting</v>
      </c>
    </row>
    <row r="2474" spans="20:22" x14ac:dyDescent="0.25">
      <c r="T2474" s="7" t="str">
        <f ca="1"/>
        <v>D6</v>
      </c>
      <c r="U2474" s="7" t="str">
        <f ca="1"/>
        <v>0xD118</v>
      </c>
      <c r="V2474" s="7" t="str">
        <f ca="1"/>
        <v>ExposureCompFlashUsed</v>
      </c>
    </row>
    <row r="2475" spans="20:22" x14ac:dyDescent="0.25">
      <c r="T2475" s="7" t="str">
        <f ca="1"/>
        <v>D6</v>
      </c>
      <c r="U2475" s="7" t="str">
        <f ca="1"/>
        <v>0xD119</v>
      </c>
      <c r="V2475" s="7" t="str">
        <f ca="1"/>
        <v>Slot2JpegImageSize</v>
      </c>
    </row>
    <row r="2476" spans="20:22" x14ac:dyDescent="0.25">
      <c r="T2476" s="7" t="str">
        <f ca="1"/>
        <v>D6</v>
      </c>
      <c r="U2476" s="7" t="str">
        <f ca="1"/>
        <v>0xD120</v>
      </c>
      <c r="V2476" s="7" t="str">
        <f ca="1"/>
        <v>ExternalSpeedLightExist</v>
      </c>
    </row>
    <row r="2477" spans="20:22" x14ac:dyDescent="0.25">
      <c r="T2477" s="7" t="str">
        <f ca="1"/>
        <v>D6</v>
      </c>
      <c r="U2477" s="7" t="str">
        <f ca="1"/>
        <v>0xD121</v>
      </c>
      <c r="V2477" s="7" t="str">
        <f ca="1"/>
        <v>ExternalSpeedLightStatus</v>
      </c>
    </row>
    <row r="2478" spans="20:22" x14ac:dyDescent="0.25">
      <c r="T2478" s="7" t="str">
        <f ca="1"/>
        <v>D6</v>
      </c>
      <c r="U2478" s="7" t="str">
        <f ca="1"/>
        <v>0xD122</v>
      </c>
      <c r="V2478" s="7" t="str">
        <f ca="1"/>
        <v>ExternalSpeedLightSort</v>
      </c>
    </row>
    <row r="2479" spans="20:22" x14ac:dyDescent="0.25">
      <c r="T2479" s="7" t="str">
        <f ca="1"/>
        <v>D6</v>
      </c>
      <c r="U2479" s="7" t="str">
        <f ca="1"/>
        <v>0xD124</v>
      </c>
      <c r="V2479" s="7" t="str">
        <f ca="1"/>
        <v>FlashCompensation</v>
      </c>
    </row>
    <row r="2480" spans="20:22" x14ac:dyDescent="0.25">
      <c r="T2480" s="7" t="str">
        <f ca="1"/>
        <v>D6</v>
      </c>
      <c r="U2480" s="7" t="str">
        <f ca="1"/>
        <v>0xD125</v>
      </c>
      <c r="V2480" s="7" t="str">
        <f ca="1"/>
        <v>NewExternalSpeedLightMode</v>
      </c>
    </row>
    <row r="2481" spans="20:22" x14ac:dyDescent="0.25">
      <c r="T2481" s="7" t="str">
        <f ca="1"/>
        <v>D6</v>
      </c>
      <c r="U2481" s="7" t="str">
        <f ca="1"/>
        <v>0xD126</v>
      </c>
      <c r="V2481" s="7" t="str">
        <f ca="1"/>
        <v>InternalFlashCompensation</v>
      </c>
    </row>
    <row r="2482" spans="20:22" x14ac:dyDescent="0.25">
      <c r="T2482" s="7" t="str">
        <f ca="1"/>
        <v>D6</v>
      </c>
      <c r="U2482" s="7" t="str">
        <f ca="1"/>
        <v>0xD12D</v>
      </c>
      <c r="V2482" s="7" t="str">
        <f ca="1"/>
        <v>ExternalSpeedLightMultiFlashMode</v>
      </c>
    </row>
    <row r="2483" spans="20:22" x14ac:dyDescent="0.25">
      <c r="T2483" s="7" t="str">
        <f ca="1"/>
        <v>D6</v>
      </c>
      <c r="U2483" s="7" t="str">
        <f ca="1"/>
        <v>0xD12E</v>
      </c>
      <c r="V2483" s="7" t="str">
        <f ca="1"/>
        <v>ConnectionPath</v>
      </c>
    </row>
    <row r="2484" spans="20:22" x14ac:dyDescent="0.25">
      <c r="T2484" s="7" t="str">
        <f ca="1"/>
        <v>D6</v>
      </c>
      <c r="U2484" s="7" t="str">
        <f ca="1"/>
        <v>0xD12F</v>
      </c>
      <c r="V2484" s="7" t="str">
        <f ca="1"/>
        <v>AWBLockStatus</v>
      </c>
    </row>
    <row r="2485" spans="20:22" x14ac:dyDescent="0.25">
      <c r="T2485" s="7" t="str">
        <f ca="1"/>
        <v>D6</v>
      </c>
      <c r="U2485" s="7" t="str">
        <f ca="1"/>
        <v>0xD130</v>
      </c>
      <c r="V2485" s="7" t="str">
        <f ca="1"/>
        <v>HDRMode</v>
      </c>
    </row>
    <row r="2486" spans="20:22" x14ac:dyDescent="0.25">
      <c r="T2486" s="7" t="str">
        <f ca="1"/>
        <v>D6</v>
      </c>
      <c r="U2486" s="7" t="str">
        <f ca="1"/>
        <v>0xD131</v>
      </c>
      <c r="V2486" s="7" t="str">
        <f ca="1"/>
        <v>HDREv</v>
      </c>
    </row>
    <row r="2487" spans="20:22" x14ac:dyDescent="0.25">
      <c r="T2487" s="7" t="str">
        <f ca="1"/>
        <v>D6</v>
      </c>
      <c r="U2487" s="7" t="str">
        <f ca="1"/>
        <v>0xD132</v>
      </c>
      <c r="V2487" s="7" t="str">
        <f ca="1"/>
        <v>HDRSmoothing</v>
      </c>
    </row>
    <row r="2488" spans="20:22" x14ac:dyDescent="0.25">
      <c r="T2488" s="7" t="str">
        <f ca="1"/>
        <v>D6</v>
      </c>
      <c r="U2488" s="7" t="str">
        <f ca="1"/>
        <v>0xD133</v>
      </c>
      <c r="V2488" s="7" t="str">
        <f ca="1"/>
        <v>HDRSaveIndividualImages</v>
      </c>
    </row>
    <row r="2489" spans="20:22" x14ac:dyDescent="0.25">
      <c r="T2489" s="7" t="str">
        <f ca="1"/>
        <v>D6</v>
      </c>
      <c r="U2489" s="7" t="str">
        <f ca="1"/>
        <v>0xD138</v>
      </c>
      <c r="V2489" s="7" t="str">
        <f ca="1"/>
        <v>VibrationReduction</v>
      </c>
    </row>
    <row r="2490" spans="20:22" x14ac:dyDescent="0.25">
      <c r="T2490" s="7" t="str">
        <f ca="1"/>
        <v>D6</v>
      </c>
      <c r="U2490" s="7" t="str">
        <f ca="1"/>
        <v>0xD141</v>
      </c>
      <c r="V2490" s="7" t="str">
        <f ca="1"/>
        <v>WbAutoType</v>
      </c>
    </row>
    <row r="2491" spans="20:22" x14ac:dyDescent="0.25">
      <c r="T2491" s="7" t="str">
        <f ca="1"/>
        <v>D6</v>
      </c>
      <c r="U2491" s="7" t="str">
        <f ca="1"/>
        <v>0xD148</v>
      </c>
      <c r="V2491" s="7" t="str">
        <f ca="1"/>
        <v>Slot2ImageSaveMode</v>
      </c>
    </row>
    <row r="2492" spans="20:22" x14ac:dyDescent="0.25">
      <c r="T2492" s="7" t="str">
        <f ca="1"/>
        <v>D6</v>
      </c>
      <c r="U2492" s="7" t="str">
        <f ca="1"/>
        <v>0xD149</v>
      </c>
      <c r="V2492" s="7" t="str">
        <f ca="1"/>
        <v>RawCompressionBitMode</v>
      </c>
    </row>
    <row r="2493" spans="20:22" x14ac:dyDescent="0.25">
      <c r="T2493" s="7" t="str">
        <f ca="1"/>
        <v>D6</v>
      </c>
      <c r="U2493" s="7" t="str">
        <f ca="1"/>
        <v>0xD14E</v>
      </c>
      <c r="V2493" s="7" t="str">
        <f ca="1"/>
        <v>Active</v>
      </c>
    </row>
    <row r="2494" spans="20:22" x14ac:dyDescent="0.25">
      <c r="T2494" s="7" t="str">
        <f ca="1"/>
        <v>D6</v>
      </c>
      <c r="U2494" s="7" t="str">
        <f ca="1"/>
        <v>0xD14F</v>
      </c>
      <c r="V2494" s="7" t="str">
        <f ca="1"/>
        <v>WbFluorescentType</v>
      </c>
    </row>
    <row r="2495" spans="20:22" x14ac:dyDescent="0.25">
      <c r="T2495" s="7" t="str">
        <f ca="1"/>
        <v>D6</v>
      </c>
      <c r="U2495" s="7" t="str">
        <f ca="1"/>
        <v>0xD150</v>
      </c>
      <c r="V2495" s="7" t="str">
        <f ca="1"/>
        <v>WbTuneColorTemp</v>
      </c>
    </row>
    <row r="2496" spans="20:22" x14ac:dyDescent="0.25">
      <c r="T2496" s="7" t="str">
        <f ca="1"/>
        <v>D6</v>
      </c>
      <c r="U2496" s="7" t="str">
        <f ca="1"/>
        <v>0xD152</v>
      </c>
      <c r="V2496" s="7" t="str">
        <f ca="1"/>
        <v>WbTunePreset1</v>
      </c>
    </row>
    <row r="2497" spans="20:22" x14ac:dyDescent="0.25">
      <c r="T2497" s="7" t="str">
        <f ca="1"/>
        <v>D6</v>
      </c>
      <c r="U2497" s="7" t="str">
        <f ca="1"/>
        <v>0xD153</v>
      </c>
      <c r="V2497" s="7" t="str">
        <f ca="1"/>
        <v>WbTunePreset2</v>
      </c>
    </row>
    <row r="2498" spans="20:22" x14ac:dyDescent="0.25">
      <c r="T2498" s="7" t="str">
        <f ca="1"/>
        <v>D6</v>
      </c>
      <c r="U2498" s="7" t="str">
        <f ca="1"/>
        <v>0xD154</v>
      </c>
      <c r="V2498" s="7" t="str">
        <f ca="1"/>
        <v>WbTunePreset3</v>
      </c>
    </row>
    <row r="2499" spans="20:22" x14ac:dyDescent="0.25">
      <c r="T2499" s="7" t="str">
        <f ca="1"/>
        <v>D6</v>
      </c>
      <c r="U2499" s="7" t="str">
        <f ca="1"/>
        <v>0xD155</v>
      </c>
      <c r="V2499" s="7" t="str">
        <f ca="1"/>
        <v>WbTunePreset4</v>
      </c>
    </row>
    <row r="2500" spans="20:22" x14ac:dyDescent="0.25">
      <c r="T2500" s="7" t="str">
        <f ca="1"/>
        <v>D6</v>
      </c>
      <c r="U2500" s="7" t="str">
        <f ca="1"/>
        <v>0xD158</v>
      </c>
      <c r="V2500" s="7" t="str">
        <f ca="1"/>
        <v>WbPresetProtect1</v>
      </c>
    </row>
    <row r="2501" spans="20:22" x14ac:dyDescent="0.25">
      <c r="T2501" s="7" t="str">
        <f ca="1"/>
        <v>D6</v>
      </c>
      <c r="U2501" s="7" t="str">
        <f ca="1"/>
        <v>0xD159</v>
      </c>
      <c r="V2501" s="7" t="str">
        <f ca="1"/>
        <v>WbPresetProtect2</v>
      </c>
    </row>
    <row r="2502" spans="20:22" x14ac:dyDescent="0.25">
      <c r="T2502" s="7" t="str">
        <f ca="1"/>
        <v>D6</v>
      </c>
      <c r="U2502" s="7" t="str">
        <f ca="1"/>
        <v>0xD15A</v>
      </c>
      <c r="V2502" s="7" t="str">
        <f ca="1"/>
        <v>WbPresetProtect3</v>
      </c>
    </row>
    <row r="2503" spans="20:22" x14ac:dyDescent="0.25">
      <c r="T2503" s="7" t="str">
        <f ca="1"/>
        <v>D6</v>
      </c>
      <c r="U2503" s="7" t="str">
        <f ca="1"/>
        <v>0xD15B</v>
      </c>
      <c r="V2503" s="7" t="str">
        <f ca="1"/>
        <v>ActiveFolder</v>
      </c>
    </row>
    <row r="2504" spans="20:22" x14ac:dyDescent="0.25">
      <c r="T2504" s="7" t="str">
        <f ca="1"/>
        <v>D6</v>
      </c>
      <c r="U2504" s="7" t="str">
        <f ca="1"/>
        <v>0xD15C</v>
      </c>
      <c r="V2504" s="7" t="str">
        <f ca="1"/>
        <v>WbPresetProtect4</v>
      </c>
    </row>
    <row r="2505" spans="20:22" x14ac:dyDescent="0.25">
      <c r="T2505" s="7" t="str">
        <f ca="1"/>
        <v>D6</v>
      </c>
      <c r="U2505" s="7" t="str">
        <f ca="1"/>
        <v>0xD15E</v>
      </c>
      <c r="V2505" s="7" t="str">
        <f ca="1"/>
        <v>WbTuneNatural</v>
      </c>
    </row>
    <row r="2506" spans="20:22" x14ac:dyDescent="0.25">
      <c r="T2506" s="7" t="str">
        <f ca="1"/>
        <v>D6</v>
      </c>
      <c r="U2506" s="7" t="str">
        <f ca="1"/>
        <v>0xD161</v>
      </c>
      <c r="V2506" s="7" t="str">
        <f ca="1"/>
        <v>FinderFocusMode</v>
      </c>
    </row>
    <row r="2507" spans="20:22" x14ac:dyDescent="0.25">
      <c r="T2507" s="7" t="str">
        <f ca="1"/>
        <v>D6</v>
      </c>
      <c r="U2507" s="7" t="str">
        <f ca="1"/>
        <v>0xD164</v>
      </c>
      <c r="V2507" s="7" t="str">
        <f ca="1"/>
        <v>ISOAutoShutterTime</v>
      </c>
    </row>
    <row r="2508" spans="20:22" x14ac:dyDescent="0.25">
      <c r="T2508" s="7" t="str">
        <f ca="1"/>
        <v>D6</v>
      </c>
      <c r="U2508" s="7" t="str">
        <f ca="1"/>
        <v>0xD16E</v>
      </c>
      <c r="V2508" s="7" t="str">
        <f ca="1"/>
        <v>ExtendedShutterSpeedsManual</v>
      </c>
    </row>
    <row r="2509" spans="20:22" x14ac:dyDescent="0.25">
      <c r="T2509" s="7" t="str">
        <f ca="1"/>
        <v>D6</v>
      </c>
      <c r="U2509" s="7" t="str">
        <f ca="1"/>
        <v>0xD177</v>
      </c>
      <c r="V2509" s="7" t="str">
        <f ca="1"/>
        <v>AFModeRestrictions</v>
      </c>
    </row>
    <row r="2510" spans="20:22" x14ac:dyDescent="0.25">
      <c r="T2510" s="7" t="str">
        <f ca="1"/>
        <v>D6</v>
      </c>
      <c r="U2510" s="7" t="str">
        <f ca="1"/>
        <v>0xD179</v>
      </c>
      <c r="V2510" s="7" t="str">
        <f ca="1"/>
        <v>FocusPointPersistence</v>
      </c>
    </row>
    <row r="2511" spans="20:22" x14ac:dyDescent="0.25">
      <c r="T2511" s="7" t="str">
        <f ca="1"/>
        <v>D6</v>
      </c>
      <c r="U2511" s="7" t="str">
        <f ca="1"/>
        <v>0xD17F</v>
      </c>
      <c r="V2511" s="7" t="str">
        <f ca="1"/>
        <v>RearControlPanel</v>
      </c>
    </row>
    <row r="2512" spans="20:22" x14ac:dyDescent="0.25">
      <c r="T2512" s="7" t="str">
        <f ca="1"/>
        <v>D6</v>
      </c>
      <c r="U2512" s="7" t="str">
        <f ca="1"/>
        <v>0xD180</v>
      </c>
      <c r="V2512" s="7" t="str">
        <f ca="1"/>
        <v>FlushBurstPrioritize</v>
      </c>
    </row>
    <row r="2513" spans="20:22" x14ac:dyDescent="0.25">
      <c r="T2513" s="7" t="str">
        <f ca="1"/>
        <v>D6</v>
      </c>
      <c r="U2513" s="7" t="str">
        <f ca="1"/>
        <v>0xD183</v>
      </c>
      <c r="V2513" s="7" t="str">
        <f ca="1"/>
        <v>ISOAutoHighLimit</v>
      </c>
    </row>
    <row r="2514" spans="20:22" x14ac:dyDescent="0.25">
      <c r="T2514" s="7" t="str">
        <f ca="1"/>
        <v>D6</v>
      </c>
      <c r="U2514" s="7" t="str">
        <f ca="1"/>
        <v>0xD186</v>
      </c>
      <c r="V2514" s="7" t="str">
        <f ca="1"/>
        <v>CSpeedHigh</v>
      </c>
    </row>
    <row r="2515" spans="20:22" x14ac:dyDescent="0.25">
      <c r="T2515" s="7" t="str">
        <f ca="1"/>
        <v>D6</v>
      </c>
      <c r="U2515" s="7" t="str">
        <f ca="1"/>
        <v>0xD190</v>
      </c>
      <c r="V2515" s="7" t="str">
        <f ca="1"/>
        <v>BracketingBurstOptions</v>
      </c>
    </row>
    <row r="2516" spans="20:22" x14ac:dyDescent="0.25">
      <c r="T2516" s="7" t="str">
        <f ca="1"/>
        <v>D6</v>
      </c>
      <c r="U2516" s="7" t="str">
        <f ca="1"/>
        <v>0xD197</v>
      </c>
      <c r="V2516" s="7" t="str">
        <f ca="1"/>
        <v>MovieReleaseButton</v>
      </c>
    </row>
    <row r="2517" spans="20:22" x14ac:dyDescent="0.25">
      <c r="T2517" s="7" t="str">
        <f ca="1"/>
        <v>D6</v>
      </c>
      <c r="U2517" s="7" t="str">
        <f ca="1"/>
        <v>0xD199</v>
      </c>
      <c r="V2517" s="7" t="str">
        <f ca="1"/>
        <v>FlashISOAutoHighLimit</v>
      </c>
    </row>
    <row r="2518" spans="20:22" x14ac:dyDescent="0.25">
      <c r="T2518" s="7" t="str">
        <f ca="1"/>
        <v>D6</v>
      </c>
      <c r="U2518" s="7" t="str">
        <f ca="1"/>
        <v>0xD1A2</v>
      </c>
      <c r="V2518" s="7" t="str">
        <f ca="1"/>
        <v>RemoteLiveViewStatus</v>
      </c>
    </row>
    <row r="2519" spans="20:22" x14ac:dyDescent="0.25">
      <c r="T2519" s="7" t="str">
        <f ca="1"/>
        <v>D6</v>
      </c>
      <c r="U2519" s="7" t="str">
        <f ca="1"/>
        <v>0xD1A4</v>
      </c>
      <c r="V2519" s="7" t="str">
        <f ca="1"/>
        <v>LiveViewProhibitionCondition</v>
      </c>
    </row>
    <row r="2520" spans="20:22" x14ac:dyDescent="0.25">
      <c r="T2520" s="7" t="str">
        <f ca="1"/>
        <v>D6</v>
      </c>
      <c r="U2520" s="7" t="str">
        <f ca="1"/>
        <v>0xD1A5</v>
      </c>
      <c r="V2520" s="7" t="str">
        <f ca="1"/>
        <v>LiveViewExposurePreview</v>
      </c>
    </row>
    <row r="2521" spans="20:22" x14ac:dyDescent="0.25">
      <c r="T2521" s="7" t="str">
        <f ca="1"/>
        <v>D6</v>
      </c>
      <c r="U2521" s="7" t="str">
        <f ca="1"/>
        <v>0xD1A6</v>
      </c>
      <c r="V2521" s="7" t="str">
        <f ca="1"/>
        <v>LiveViewSelector</v>
      </c>
    </row>
    <row r="2522" spans="20:22" x14ac:dyDescent="0.25">
      <c r="T2522" s="7" t="str">
        <f ca="1"/>
        <v>D6</v>
      </c>
      <c r="U2522" s="7" t="str">
        <f ca="1"/>
        <v>0xD1A7</v>
      </c>
      <c r="V2522" s="7" t="str">
        <f ca="1"/>
        <v>LiveViewWhiteBalance</v>
      </c>
    </row>
    <row r="2523" spans="20:22" x14ac:dyDescent="0.25">
      <c r="T2523" s="7" t="str">
        <f ca="1"/>
        <v>D6</v>
      </c>
      <c r="U2523" s="7" t="str">
        <f ca="1"/>
        <v>0xD1A8</v>
      </c>
      <c r="V2523" s="7" t="str">
        <f ca="1"/>
        <v>MovieShutterSpeed</v>
      </c>
    </row>
    <row r="2524" spans="20:22" x14ac:dyDescent="0.25">
      <c r="T2524" s="7" t="str">
        <f ca="1"/>
        <v>D6</v>
      </c>
      <c r="U2524" s="7" t="str">
        <f ca="1"/>
        <v>0xD1A9</v>
      </c>
      <c r="V2524" s="7" t="str">
        <f ca="1"/>
        <v>MovieFnumber</v>
      </c>
    </row>
    <row r="2525" spans="20:22" x14ac:dyDescent="0.25">
      <c r="T2525" s="7" t="str">
        <f ca="1"/>
        <v>D6</v>
      </c>
      <c r="U2525" s="7" t="str">
        <f ca="1"/>
        <v>0xD1AA</v>
      </c>
      <c r="V2525" s="7" t="str">
        <f ca="1"/>
        <v>MovieExposureIndex</v>
      </c>
    </row>
    <row r="2526" spans="20:22" x14ac:dyDescent="0.25">
      <c r="T2526" s="7" t="str">
        <f ca="1"/>
        <v>D6</v>
      </c>
      <c r="U2526" s="7" t="str">
        <f ca="1"/>
        <v>0xD1AB</v>
      </c>
      <c r="V2526" s="7" t="str">
        <f ca="1"/>
        <v>MovieExposureBiasCompensation</v>
      </c>
    </row>
    <row r="2527" spans="20:22" x14ac:dyDescent="0.25">
      <c r="T2527" s="7" t="str">
        <f ca="1"/>
        <v>D6</v>
      </c>
      <c r="U2527" s="7" t="str">
        <f ca="1"/>
        <v>0xD1AC</v>
      </c>
      <c r="V2527" s="7" t="str">
        <f ca="1"/>
        <v>LiveViewImageSize</v>
      </c>
    </row>
    <row r="2528" spans="20:22" x14ac:dyDescent="0.25">
      <c r="T2528" s="7" t="str">
        <f ca="1"/>
        <v>D6</v>
      </c>
      <c r="U2528" s="7" t="str">
        <f ca="1"/>
        <v>0xD1AD</v>
      </c>
      <c r="V2528" s="7" t="str">
        <f ca="1"/>
        <v>SilentPhotography</v>
      </c>
    </row>
    <row r="2529" spans="20:22" x14ac:dyDescent="0.25">
      <c r="T2529" s="7" t="str">
        <f ca="1"/>
        <v>D6</v>
      </c>
      <c r="U2529" s="7" t="str">
        <f ca="1"/>
        <v>0xD1AF</v>
      </c>
      <c r="V2529" s="7" t="str">
        <f ca="1"/>
        <v>MovieExposureMeteringMode</v>
      </c>
    </row>
    <row r="2530" spans="20:22" x14ac:dyDescent="0.25">
      <c r="T2530" s="7" t="str">
        <f ca="1"/>
        <v>D6</v>
      </c>
      <c r="U2530" s="7" t="str">
        <f ca="1"/>
        <v>0xD1B0</v>
      </c>
      <c r="V2530" s="7" t="str">
        <f ca="1"/>
        <v>ExposureDisplayStatus</v>
      </c>
    </row>
    <row r="2531" spans="20:22" x14ac:dyDescent="0.25">
      <c r="T2531" s="7" t="str">
        <f ca="1"/>
        <v>D6</v>
      </c>
      <c r="U2531" s="7" t="str">
        <f ca="1"/>
        <v>0xD1B1</v>
      </c>
      <c r="V2531" s="7" t="str">
        <f ca="1"/>
        <v>ExposureIndicateStatus</v>
      </c>
    </row>
    <row r="2532" spans="20:22" x14ac:dyDescent="0.25">
      <c r="T2532" s="7" t="str">
        <f ca="1"/>
        <v>D6</v>
      </c>
      <c r="U2532" s="7" t="str">
        <f ca="1"/>
        <v>0xD1B2</v>
      </c>
      <c r="V2532" s="7" t="str">
        <f ca="1"/>
        <v>InfoDisplayErrorStatus</v>
      </c>
    </row>
    <row r="2533" spans="20:22" x14ac:dyDescent="0.25">
      <c r="T2533" s="7" t="str">
        <f ca="1"/>
        <v>D6</v>
      </c>
      <c r="U2533" s="7" t="str">
        <f ca="1"/>
        <v>0xD1B3</v>
      </c>
      <c r="V2533" s="7" t="str">
        <f ca="1"/>
        <v>ExposureIndicateLightup</v>
      </c>
    </row>
    <row r="2534" spans="20:22" x14ac:dyDescent="0.25">
      <c r="T2534" s="7" t="str">
        <f ca="1"/>
        <v>D6</v>
      </c>
      <c r="U2534" s="7" t="str">
        <f ca="1"/>
        <v>0xD1B4</v>
      </c>
      <c r="V2534" s="7" t="str">
        <f ca="1"/>
        <v>ContinuousShootingCount</v>
      </c>
    </row>
    <row r="2535" spans="20:22" x14ac:dyDescent="0.25">
      <c r="T2535" s="7" t="str">
        <f ca="1"/>
        <v>D6</v>
      </c>
      <c r="U2535" s="7" t="str">
        <f ca="1"/>
        <v>0xD1B7</v>
      </c>
      <c r="V2535" s="7" t="str">
        <f ca="1"/>
        <v>MovieRecFrameCount</v>
      </c>
    </row>
    <row r="2536" spans="20:22" x14ac:dyDescent="0.25">
      <c r="T2536" s="7" t="str">
        <f ca="1"/>
        <v>D6</v>
      </c>
      <c r="U2536" s="7" t="str">
        <f ca="1"/>
        <v>0xD1B8</v>
      </c>
      <c r="V2536" s="7" t="str">
        <f ca="1"/>
        <v>CameraLiveViewStatus</v>
      </c>
    </row>
    <row r="2537" spans="20:22" x14ac:dyDescent="0.25">
      <c r="T2537" s="7" t="str">
        <f ca="1"/>
        <v>D6</v>
      </c>
      <c r="U2537" s="7" t="str">
        <f ca="1"/>
        <v>0xD1B9</v>
      </c>
      <c r="V2537" s="7" t="str">
        <f ca="1"/>
        <v>DetectionPeaking</v>
      </c>
    </row>
    <row r="2538" spans="20:22" x14ac:dyDescent="0.25">
      <c r="T2538" s="7" t="str">
        <f ca="1"/>
        <v>D6</v>
      </c>
      <c r="U2538" s="7" t="str">
        <f ca="1"/>
        <v>0xD1BA</v>
      </c>
      <c r="V2538" s="7" t="str">
        <f ca="1"/>
        <v>MonitorOffStatus</v>
      </c>
    </row>
    <row r="2539" spans="20:22" x14ac:dyDescent="0.25">
      <c r="T2539" s="7" t="str">
        <f ca="1"/>
        <v>D6</v>
      </c>
      <c r="U2539" s="7" t="str">
        <f ca="1"/>
        <v>0xD1BB</v>
      </c>
      <c r="V2539" s="7" t="str">
        <f ca="1"/>
        <v>LiveViewImageStatus</v>
      </c>
    </row>
    <row r="2540" spans="20:22" x14ac:dyDescent="0.25">
      <c r="T2540" s="7" t="str">
        <f ca="1"/>
        <v>D6</v>
      </c>
      <c r="U2540" s="7" t="str">
        <f ca="1"/>
        <v>0xD1BC</v>
      </c>
      <c r="V2540" s="7" t="str">
        <f ca="1"/>
        <v>LiveViewImageCompression</v>
      </c>
    </row>
    <row r="2541" spans="20:22" x14ac:dyDescent="0.25">
      <c r="T2541" s="7" t="str">
        <f ca="1"/>
        <v>D6</v>
      </c>
      <c r="U2541" s="7" t="str">
        <f ca="1"/>
        <v>0xD1BD</v>
      </c>
      <c r="V2541" s="7" t="str">
        <f ca="1"/>
        <v>LiveViewZoomArea</v>
      </c>
    </row>
    <row r="2542" spans="20:22" x14ac:dyDescent="0.25">
      <c r="T2542" s="7" t="str">
        <f ca="1"/>
        <v>D6</v>
      </c>
      <c r="U2542" s="7" t="str">
        <f ca="1"/>
        <v>0xD1C4</v>
      </c>
      <c r="V2542" s="7" t="str">
        <f ca="1"/>
        <v>3D</v>
      </c>
    </row>
    <row r="2543" spans="20:22" x14ac:dyDescent="0.25">
      <c r="T2543" s="7" t="str">
        <f ca="1"/>
        <v>D6</v>
      </c>
      <c r="U2543" s="7" t="str">
        <f ca="1"/>
        <v>0xD1C5</v>
      </c>
      <c r="V2543" s="7" t="str">
        <f ca="1"/>
        <v>AutoFlashIsoSensitivityControl</v>
      </c>
    </row>
    <row r="2544" spans="20:22" x14ac:dyDescent="0.25">
      <c r="T2544" s="7" t="str">
        <f ca="1"/>
        <v>D6</v>
      </c>
      <c r="U2544" s="7" t="str">
        <f ca="1"/>
        <v>0xD1DE</v>
      </c>
      <c r="V2544" s="7" t="str">
        <f ca="1"/>
        <v>ExternalRecordingControl</v>
      </c>
    </row>
    <row r="2545" spans="20:22" x14ac:dyDescent="0.25">
      <c r="T2545" s="7" t="str">
        <f ca="1"/>
        <v>D6</v>
      </c>
      <c r="U2545" s="7" t="str">
        <f ca="1"/>
        <v>0xD1DF</v>
      </c>
      <c r="V2545" s="7" t="str">
        <f ca="1"/>
        <v>HighlightBrightness</v>
      </c>
    </row>
    <row r="2546" spans="20:22" x14ac:dyDescent="0.25">
      <c r="T2546" s="7" t="str">
        <f ca="1"/>
        <v>D6</v>
      </c>
      <c r="U2546" s="7" t="str">
        <f ca="1"/>
        <v>0xD1E2</v>
      </c>
      <c r="V2546" s="7" t="str">
        <f ca="1"/>
        <v>SBWirelessMode</v>
      </c>
    </row>
    <row r="2547" spans="20:22" x14ac:dyDescent="0.25">
      <c r="T2547" s="7" t="str">
        <f ca="1"/>
        <v>D6</v>
      </c>
      <c r="U2547" s="7" t="str">
        <f ca="1"/>
        <v>0xD1E3</v>
      </c>
      <c r="V2547" s="7" t="str">
        <f ca="1"/>
        <v>SBWirelessMultipleFlashMode</v>
      </c>
    </row>
    <row r="2548" spans="20:22" x14ac:dyDescent="0.25">
      <c r="T2548" s="7" t="str">
        <f ca="1"/>
        <v>D6</v>
      </c>
      <c r="U2548" s="7" t="str">
        <f ca="1"/>
        <v>0xD1E4</v>
      </c>
      <c r="V2548" s="7" t="str">
        <f ca="1"/>
        <v>SBUsableGroup</v>
      </c>
    </row>
    <row r="2549" spans="20:22" x14ac:dyDescent="0.25">
      <c r="T2549" s="7" t="str">
        <f ca="1"/>
        <v>D6</v>
      </c>
      <c r="U2549" s="7" t="str">
        <f ca="1"/>
        <v>0xD1E5</v>
      </c>
      <c r="V2549" s="7" t="str">
        <f ca="1"/>
        <v>WirelessCLSEntryMode</v>
      </c>
    </row>
    <row r="2550" spans="20:22" x14ac:dyDescent="0.25">
      <c r="T2550" s="7" t="str">
        <f ca="1"/>
        <v>D6</v>
      </c>
      <c r="U2550" s="7" t="str">
        <f ca="1"/>
        <v>0xD1E6</v>
      </c>
      <c r="V2550" s="7" t="str">
        <f ca="1"/>
        <v>SBPINCode</v>
      </c>
    </row>
    <row r="2551" spans="20:22" x14ac:dyDescent="0.25">
      <c r="T2551" s="7" t="str">
        <f ca="1"/>
        <v>D6</v>
      </c>
      <c r="U2551" s="7" t="str">
        <f ca="1"/>
        <v>0xD1E7</v>
      </c>
      <c r="V2551" s="7" t="str">
        <f ca="1"/>
        <v>RadioMultipleFlashChannel</v>
      </c>
    </row>
    <row r="2552" spans="20:22" x14ac:dyDescent="0.25">
      <c r="T2552" s="7" t="str">
        <f ca="1"/>
        <v>D6</v>
      </c>
      <c r="U2552" s="7" t="str">
        <f ca="1"/>
        <v>0xD1E8</v>
      </c>
      <c r="V2552" s="7" t="str">
        <f ca="1"/>
        <v>OpticalMultipleFlashChannel</v>
      </c>
    </row>
    <row r="2553" spans="20:22" x14ac:dyDescent="0.25">
      <c r="T2553" s="7" t="str">
        <f ca="1"/>
        <v>D6</v>
      </c>
      <c r="U2553" s="7" t="str">
        <f ca="1"/>
        <v>0xD1E9</v>
      </c>
      <c r="V2553" s="7" t="str">
        <f ca="1"/>
        <v>FlashRangeDisplay</v>
      </c>
    </row>
    <row r="2554" spans="20:22" x14ac:dyDescent="0.25">
      <c r="T2554" s="7" t="str">
        <f ca="1"/>
        <v>D6</v>
      </c>
      <c r="U2554" s="7" t="str">
        <f ca="1"/>
        <v>0xD1EA</v>
      </c>
      <c r="V2554" s="7" t="str">
        <f ca="1"/>
        <v>AllTestFiringDisable</v>
      </c>
    </row>
    <row r="2555" spans="20:22" x14ac:dyDescent="0.25">
      <c r="T2555" s="7" t="str">
        <f ca="1"/>
        <v>D6</v>
      </c>
      <c r="U2555" s="7" t="str">
        <f ca="1"/>
        <v>0xD1EC</v>
      </c>
      <c r="V2555" s="7" t="str">
        <f ca="1"/>
        <v>SBSettingMemberLock</v>
      </c>
    </row>
    <row r="2556" spans="20:22" x14ac:dyDescent="0.25">
      <c r="T2556" s="7" t="str">
        <f ca="1"/>
        <v>D6</v>
      </c>
      <c r="U2556" s="7" t="str">
        <f ca="1"/>
        <v>0xD1ED</v>
      </c>
      <c r="V2556" s="7" t="str">
        <f ca="1"/>
        <v>SBIntegrationFlashReady</v>
      </c>
    </row>
    <row r="2557" spans="20:22" x14ac:dyDescent="0.25">
      <c r="T2557" s="7" t="str">
        <f ca="1"/>
        <v>D6</v>
      </c>
      <c r="U2557" s="7" t="str">
        <f ca="1"/>
        <v>0xD1F1</v>
      </c>
      <c r="V2557" s="7" t="str">
        <f ca="1"/>
        <v>ExposureRemaining</v>
      </c>
    </row>
    <row r="2558" spans="20:22" x14ac:dyDescent="0.25">
      <c r="T2558" s="7" t="str">
        <f ca="1"/>
        <v>D6</v>
      </c>
      <c r="U2558" s="7" t="str">
        <f ca="1"/>
        <v>0xD1F2</v>
      </c>
      <c r="V2558" s="7" t="str">
        <f ca="1"/>
        <v>ActiveSlot</v>
      </c>
    </row>
    <row r="2559" spans="20:22" x14ac:dyDescent="0.25">
      <c r="T2559" s="7" t="str">
        <f ca="1"/>
        <v>D6</v>
      </c>
      <c r="U2559" s="7" t="str">
        <f ca="1"/>
        <v>0xD1F4</v>
      </c>
      <c r="V2559" s="7" t="str">
        <f ca="1"/>
        <v>ISOAutoShutterTimeCorrectionValue</v>
      </c>
    </row>
    <row r="2560" spans="20:22" x14ac:dyDescent="0.25">
      <c r="T2560" s="7" t="str">
        <f ca="1"/>
        <v>D6</v>
      </c>
      <c r="U2560" s="7" t="str">
        <f ca="1"/>
        <v>0xD1F6</v>
      </c>
      <c r="V2560" s="7" t="str">
        <f ca="1"/>
        <v>MirrorUpStatus</v>
      </c>
    </row>
    <row r="2561" spans="20:22" x14ac:dyDescent="0.25">
      <c r="T2561" s="7" t="str">
        <f ca="1"/>
        <v>D6</v>
      </c>
      <c r="U2561" s="7" t="str">
        <f ca="1"/>
        <v>0xD1F7</v>
      </c>
      <c r="V2561" s="7" t="str">
        <f ca="1"/>
        <v>MirrorUpReleaseShootingCount</v>
      </c>
    </row>
    <row r="2562" spans="20:22" x14ac:dyDescent="0.25">
      <c r="T2562" s="7" t="str">
        <f ca="1"/>
        <v>D6</v>
      </c>
      <c r="U2562" s="7" t="str">
        <f ca="1"/>
        <v>0xD1F8</v>
      </c>
      <c r="V2562" s="7" t="str">
        <f ca="1"/>
        <v>MovieFocusMeteringMode</v>
      </c>
    </row>
    <row r="2563" spans="20:22" x14ac:dyDescent="0.25">
      <c r="T2563" s="7" t="str">
        <f ca="1"/>
        <v>D6</v>
      </c>
      <c r="U2563" s="7" t="str">
        <f ca="1"/>
        <v>0xD1FA</v>
      </c>
      <c r="V2563" s="7" t="str">
        <f ca="1"/>
        <v>MovieFocusMode</v>
      </c>
    </row>
    <row r="2564" spans="20:22" x14ac:dyDescent="0.25">
      <c r="T2564" s="7" t="str">
        <f ca="1"/>
        <v>D6</v>
      </c>
      <c r="U2564" s="7" t="str">
        <f ca="1"/>
        <v>0xD1FB</v>
      </c>
      <c r="V2564" s="7" t="str">
        <f ca="1"/>
        <v>RecordTimeCodes</v>
      </c>
    </row>
    <row r="2565" spans="20:22" x14ac:dyDescent="0.25">
      <c r="T2565" s="7" t="str">
        <f ca="1"/>
        <v>D6</v>
      </c>
      <c r="U2565" s="7" t="str">
        <f ca="1"/>
        <v>0xD1FC</v>
      </c>
      <c r="V2565" s="7" t="str">
        <f ca="1"/>
        <v>CountUpMethod</v>
      </c>
    </row>
    <row r="2566" spans="20:22" x14ac:dyDescent="0.25">
      <c r="T2566" s="7" t="str">
        <f ca="1"/>
        <v>D6</v>
      </c>
      <c r="U2566" s="7" t="str">
        <f ca="1"/>
        <v>0xD1FD</v>
      </c>
      <c r="V2566" s="7" t="str">
        <f ca="1"/>
        <v>TimeCodeOrigin</v>
      </c>
    </row>
    <row r="2567" spans="20:22" x14ac:dyDescent="0.25">
      <c r="T2567" s="7" t="str">
        <f ca="1"/>
        <v>D6</v>
      </c>
      <c r="U2567" s="7" t="str">
        <f ca="1"/>
        <v>0xD1FE</v>
      </c>
      <c r="V2567" s="7" t="str">
        <f ca="1"/>
        <v>DropFrame</v>
      </c>
    </row>
    <row r="2568" spans="20:22" x14ac:dyDescent="0.25">
      <c r="T2568" s="7" t="str">
        <f ca="1"/>
        <v>D6</v>
      </c>
      <c r="U2568" s="7" t="str">
        <f ca="1"/>
        <v>0xD200</v>
      </c>
      <c r="V2568" s="7" t="str">
        <f ca="1"/>
        <v>ActivePicCtrlItem</v>
      </c>
    </row>
    <row r="2569" spans="20:22" x14ac:dyDescent="0.25">
      <c r="T2569" s="7" t="str">
        <f ca="1"/>
        <v>D6</v>
      </c>
      <c r="U2569" s="7" t="str">
        <f ca="1"/>
        <v>0xD20D</v>
      </c>
      <c r="V2569" s="7" t="str">
        <f ca="1"/>
        <v>ElectronicFrontCurtainShutter</v>
      </c>
    </row>
    <row r="2570" spans="20:22" x14ac:dyDescent="0.25">
      <c r="T2570" s="7" t="str">
        <f ca="1"/>
        <v>D6</v>
      </c>
      <c r="U2570" s="7" t="str">
        <f ca="1"/>
        <v>0xD20F</v>
      </c>
      <c r="V2570" s="7" t="str">
        <f ca="1"/>
        <v>MovieCaptureAreaCrop</v>
      </c>
    </row>
    <row r="2571" spans="20:22" x14ac:dyDescent="0.25">
      <c r="T2571" s="7" t="str">
        <f ca="1"/>
        <v>D6</v>
      </c>
      <c r="U2571" s="7" t="str">
        <f ca="1"/>
        <v>0xD210</v>
      </c>
      <c r="V2571" s="7" t="str">
        <f ca="1"/>
        <v>MovieAutoDxCrop</v>
      </c>
    </row>
    <row r="2572" spans="20:22" x14ac:dyDescent="0.25">
      <c r="T2572" s="7" t="str">
        <f ca="1"/>
        <v>D6</v>
      </c>
      <c r="U2572" s="7" t="str">
        <f ca="1"/>
        <v>0xD211</v>
      </c>
      <c r="V2572" s="7" t="str">
        <f ca="1"/>
        <v>MovieWbAutoType</v>
      </c>
    </row>
    <row r="2573" spans="20:22" x14ac:dyDescent="0.25">
      <c r="T2573" s="7" t="str">
        <f ca="1"/>
        <v>D6</v>
      </c>
      <c r="U2573" s="7" t="str">
        <f ca="1"/>
        <v>0xD212</v>
      </c>
      <c r="V2573" s="7" t="str">
        <f ca="1"/>
        <v>MovieWbTuneAuto</v>
      </c>
    </row>
    <row r="2574" spans="20:22" x14ac:dyDescent="0.25">
      <c r="T2574" s="7" t="str">
        <f ca="1"/>
        <v>D6</v>
      </c>
      <c r="U2574" s="7" t="str">
        <f ca="1"/>
        <v>0xD213</v>
      </c>
      <c r="V2574" s="7" t="str">
        <f ca="1"/>
        <v>MovieWbTuneIncandescent</v>
      </c>
    </row>
    <row r="2575" spans="20:22" x14ac:dyDescent="0.25">
      <c r="T2575" s="7" t="str">
        <f ca="1"/>
        <v>D6</v>
      </c>
      <c r="U2575" s="7" t="str">
        <f ca="1"/>
        <v>0xD214</v>
      </c>
      <c r="V2575" s="7" t="str">
        <f ca="1"/>
        <v>MovieWbFluorescentType</v>
      </c>
    </row>
    <row r="2576" spans="20:22" x14ac:dyDescent="0.25">
      <c r="T2576" s="7" t="str">
        <f ca="1"/>
        <v>D6</v>
      </c>
      <c r="U2576" s="7" t="str">
        <f ca="1"/>
        <v>0xD215</v>
      </c>
      <c r="V2576" s="7" t="str">
        <f ca="1"/>
        <v>MovieWbTuneFluorescent</v>
      </c>
    </row>
    <row r="2577" spans="20:22" x14ac:dyDescent="0.25">
      <c r="T2577" s="7" t="str">
        <f ca="1"/>
        <v>D6</v>
      </c>
      <c r="U2577" s="7" t="str">
        <f ca="1"/>
        <v>0xD216</v>
      </c>
      <c r="V2577" s="7" t="str">
        <f ca="1"/>
        <v>MovieWbTuneSunny</v>
      </c>
    </row>
    <row r="2578" spans="20:22" x14ac:dyDescent="0.25">
      <c r="T2578" s="7" t="str">
        <f ca="1"/>
        <v>D6</v>
      </c>
      <c r="U2578" s="7" t="str">
        <f ca="1"/>
        <v>0xD218</v>
      </c>
      <c r="V2578" s="7" t="str">
        <f ca="1"/>
        <v>MovieWbTuneCloudy</v>
      </c>
    </row>
    <row r="2579" spans="20:22" x14ac:dyDescent="0.25">
      <c r="T2579" s="7" t="str">
        <f ca="1"/>
        <v>D6</v>
      </c>
      <c r="U2579" s="7" t="str">
        <f ca="1"/>
        <v>0xD219</v>
      </c>
      <c r="V2579" s="7" t="str">
        <f ca="1"/>
        <v>MovieWbTuneShade</v>
      </c>
    </row>
    <row r="2580" spans="20:22" x14ac:dyDescent="0.25">
      <c r="T2580" s="7" t="str">
        <f ca="1"/>
        <v>D6</v>
      </c>
      <c r="U2580" s="7" t="str">
        <f ca="1"/>
        <v>0xD21A</v>
      </c>
      <c r="V2580" s="7" t="str">
        <f ca="1"/>
        <v>MovieWbColorTemp</v>
      </c>
    </row>
    <row r="2581" spans="20:22" x14ac:dyDescent="0.25">
      <c r="T2581" s="7" t="str">
        <f ca="1"/>
        <v>D6</v>
      </c>
      <c r="U2581" s="7" t="str">
        <f ca="1"/>
        <v>0xD21B</v>
      </c>
      <c r="V2581" s="7" t="str">
        <f ca="1"/>
        <v>MovieWbTuneColorTemp</v>
      </c>
    </row>
    <row r="2582" spans="20:22" x14ac:dyDescent="0.25">
      <c r="T2582" s="7" t="str">
        <f ca="1"/>
        <v>D6</v>
      </c>
      <c r="U2582" s="7" t="str">
        <f ca="1"/>
        <v>0xD21C</v>
      </c>
      <c r="V2582" s="7" t="str">
        <f ca="1"/>
        <v>MovieWbPresetDataNo</v>
      </c>
    </row>
    <row r="2583" spans="20:22" x14ac:dyDescent="0.25">
      <c r="T2583" s="7" t="str">
        <f ca="1"/>
        <v>D6</v>
      </c>
      <c r="U2583" s="7" t="str">
        <f ca="1"/>
        <v>0xD21D</v>
      </c>
      <c r="V2583" s="7" t="str">
        <f ca="1"/>
        <v>MovieWbPresetDataComment1</v>
      </c>
    </row>
    <row r="2584" spans="20:22" x14ac:dyDescent="0.25">
      <c r="T2584" s="7" t="str">
        <f ca="1"/>
        <v>D6</v>
      </c>
      <c r="U2584" s="7" t="str">
        <f ca="1"/>
        <v>0xD21E</v>
      </c>
      <c r="V2584" s="7" t="str">
        <f ca="1"/>
        <v>MovieWbPresetDataComment2</v>
      </c>
    </row>
    <row r="2585" spans="20:22" x14ac:dyDescent="0.25">
      <c r="T2585" s="7" t="str">
        <f ca="1"/>
        <v>D6</v>
      </c>
      <c r="U2585" s="7" t="str">
        <f ca="1"/>
        <v>0xD21F</v>
      </c>
      <c r="V2585" s="7" t="str">
        <f ca="1"/>
        <v>MovieWbPresetDataComment3</v>
      </c>
    </row>
    <row r="2586" spans="20:22" x14ac:dyDescent="0.25">
      <c r="T2586" s="7" t="str">
        <f ca="1"/>
        <v>D6</v>
      </c>
      <c r="U2586" s="7" t="str">
        <f ca="1"/>
        <v>0xD220</v>
      </c>
      <c r="V2586" s="7" t="str">
        <f ca="1"/>
        <v>MovieWbPresetDataComment4</v>
      </c>
    </row>
    <row r="2587" spans="20:22" x14ac:dyDescent="0.25">
      <c r="T2587" s="7" t="str">
        <f ca="1"/>
        <v>D6</v>
      </c>
      <c r="U2587" s="7" t="str">
        <f ca="1"/>
        <v>0xD221</v>
      </c>
      <c r="V2587" s="7" t="str">
        <f ca="1"/>
        <v>MovieWbPresetDataComment5</v>
      </c>
    </row>
    <row r="2588" spans="20:22" x14ac:dyDescent="0.25">
      <c r="T2588" s="7" t="str">
        <f ca="1"/>
        <v>D6</v>
      </c>
      <c r="U2588" s="7" t="str">
        <f ca="1"/>
        <v>0xD222</v>
      </c>
      <c r="V2588" s="7" t="str">
        <f ca="1"/>
        <v>MovieWbPresetDataComment6</v>
      </c>
    </row>
    <row r="2589" spans="20:22" x14ac:dyDescent="0.25">
      <c r="T2589" s="7" t="str">
        <f ca="1"/>
        <v>D6</v>
      </c>
      <c r="U2589" s="7" t="str">
        <f ca="1"/>
        <v>0xD223</v>
      </c>
      <c r="V2589" s="7" t="str">
        <f ca="1"/>
        <v>MovieWbPresetDataValue1</v>
      </c>
    </row>
    <row r="2590" spans="20:22" x14ac:dyDescent="0.25">
      <c r="T2590" s="7" t="str">
        <f ca="1"/>
        <v>D6</v>
      </c>
      <c r="U2590" s="7" t="str">
        <f ca="1"/>
        <v>0xD224</v>
      </c>
      <c r="V2590" s="7" t="str">
        <f ca="1"/>
        <v>MovieWbPresetDataValue2</v>
      </c>
    </row>
    <row r="2591" spans="20:22" x14ac:dyDescent="0.25">
      <c r="T2591" s="7" t="str">
        <f ca="1"/>
        <v>D6</v>
      </c>
      <c r="U2591" s="7" t="str">
        <f ca="1"/>
        <v>0xD225</v>
      </c>
      <c r="V2591" s="7" t="str">
        <f ca="1"/>
        <v>MovieWbPresetDataValue3</v>
      </c>
    </row>
    <row r="2592" spans="20:22" x14ac:dyDescent="0.25">
      <c r="T2592" s="7" t="str">
        <f ca="1"/>
        <v>D6</v>
      </c>
      <c r="U2592" s="7" t="str">
        <f ca="1"/>
        <v>0xD226</v>
      </c>
      <c r="V2592" s="7" t="str">
        <f ca="1"/>
        <v>MovieWbPresetDataValue4</v>
      </c>
    </row>
    <row r="2593" spans="20:22" x14ac:dyDescent="0.25">
      <c r="T2593" s="7" t="str">
        <f ca="1"/>
        <v>D6</v>
      </c>
      <c r="U2593" s="7" t="str">
        <f ca="1"/>
        <v>0xD227</v>
      </c>
      <c r="V2593" s="7" t="str">
        <f ca="1"/>
        <v>MovieWbPresetDataValue5</v>
      </c>
    </row>
    <row r="2594" spans="20:22" x14ac:dyDescent="0.25">
      <c r="T2594" s="7" t="str">
        <f ca="1"/>
        <v>D6</v>
      </c>
      <c r="U2594" s="7" t="str">
        <f ca="1"/>
        <v>0xD228</v>
      </c>
      <c r="V2594" s="7" t="str">
        <f ca="1"/>
        <v>MovieWbPresetDataValue6</v>
      </c>
    </row>
    <row r="2595" spans="20:22" x14ac:dyDescent="0.25">
      <c r="T2595" s="7" t="str">
        <f ca="1"/>
        <v>D6</v>
      </c>
      <c r="U2595" s="7" t="str">
        <f ca="1"/>
        <v>0xD229</v>
      </c>
      <c r="V2595" s="7" t="str">
        <f ca="1"/>
        <v>MovieWbTunePreset1</v>
      </c>
    </row>
    <row r="2596" spans="20:22" x14ac:dyDescent="0.25">
      <c r="T2596" s="7" t="str">
        <f ca="1"/>
        <v>D6</v>
      </c>
      <c r="U2596" s="7" t="str">
        <f ca="1"/>
        <v>0xD22A</v>
      </c>
      <c r="V2596" s="7" t="str">
        <f ca="1"/>
        <v>MovieWbTunePreset2</v>
      </c>
    </row>
    <row r="2597" spans="20:22" x14ac:dyDescent="0.25">
      <c r="T2597" s="7" t="str">
        <f ca="1"/>
        <v>D6</v>
      </c>
      <c r="U2597" s="7" t="str">
        <f ca="1"/>
        <v>0xD22B</v>
      </c>
      <c r="V2597" s="7" t="str">
        <f ca="1"/>
        <v>MovieWbTunePreset3</v>
      </c>
    </row>
    <row r="2598" spans="20:22" x14ac:dyDescent="0.25">
      <c r="T2598" s="7" t="str">
        <f ca="1"/>
        <v>D6</v>
      </c>
      <c r="U2598" s="7" t="str">
        <f ca="1"/>
        <v>0xD22C</v>
      </c>
      <c r="V2598" s="7" t="str">
        <f ca="1"/>
        <v>MovieWbTunePreset4</v>
      </c>
    </row>
    <row r="2599" spans="20:22" x14ac:dyDescent="0.25">
      <c r="T2599" s="7" t="str">
        <f ca="1"/>
        <v>D6</v>
      </c>
      <c r="U2599" s="7" t="str">
        <f ca="1"/>
        <v>0xD22D</v>
      </c>
      <c r="V2599" s="7" t="str">
        <f ca="1"/>
        <v>MovieWbTunePreset5</v>
      </c>
    </row>
    <row r="2600" spans="20:22" x14ac:dyDescent="0.25">
      <c r="T2600" s="7" t="str">
        <f ca="1"/>
        <v>D6</v>
      </c>
      <c r="U2600" s="7" t="str">
        <f ca="1"/>
        <v>0xD22E</v>
      </c>
      <c r="V2600" s="7" t="str">
        <f ca="1"/>
        <v>MovieWbTunePreset6</v>
      </c>
    </row>
    <row r="2601" spans="20:22" x14ac:dyDescent="0.25">
      <c r="T2601" s="7" t="str">
        <f ca="1"/>
        <v>D6</v>
      </c>
      <c r="U2601" s="7" t="str">
        <f ca="1"/>
        <v>0xD22F</v>
      </c>
      <c r="V2601" s="7" t="str">
        <f ca="1"/>
        <v>MovieWbPresetProtect1</v>
      </c>
    </row>
    <row r="2602" spans="20:22" x14ac:dyDescent="0.25">
      <c r="T2602" s="7" t="str">
        <f ca="1"/>
        <v>D6</v>
      </c>
      <c r="U2602" s="7" t="str">
        <f ca="1"/>
        <v>0xD230</v>
      </c>
      <c r="V2602" s="7" t="str">
        <f ca="1"/>
        <v>MovieWbPresetProtect2</v>
      </c>
    </row>
    <row r="2603" spans="20:22" x14ac:dyDescent="0.25">
      <c r="T2603" s="7" t="str">
        <f ca="1"/>
        <v>D6</v>
      </c>
      <c r="U2603" s="7" t="str">
        <f ca="1"/>
        <v>0xD231</v>
      </c>
      <c r="V2603" s="7" t="str">
        <f ca="1"/>
        <v>MovieWbPresetProtect3</v>
      </c>
    </row>
    <row r="2604" spans="20:22" x14ac:dyDescent="0.25">
      <c r="T2604" s="7" t="str">
        <f ca="1"/>
        <v>D6</v>
      </c>
      <c r="U2604" s="7" t="str">
        <f ca="1"/>
        <v>0xD232</v>
      </c>
      <c r="V2604" s="7" t="str">
        <f ca="1"/>
        <v>MovieWbPresetProtect4</v>
      </c>
    </row>
    <row r="2605" spans="20:22" x14ac:dyDescent="0.25">
      <c r="T2605" s="7" t="str">
        <f ca="1"/>
        <v>D6</v>
      </c>
      <c r="U2605" s="7" t="str">
        <f ca="1"/>
        <v>0xD233</v>
      </c>
      <c r="V2605" s="7" t="str">
        <f ca="1"/>
        <v>MovieWbPresetProtect5</v>
      </c>
    </row>
    <row r="2606" spans="20:22" x14ac:dyDescent="0.25">
      <c r="T2606" s="7" t="str">
        <f ca="1"/>
        <v>D6</v>
      </c>
      <c r="U2606" s="7" t="str">
        <f ca="1"/>
        <v>0xD234</v>
      </c>
      <c r="V2606" s="7" t="str">
        <f ca="1"/>
        <v>MovieWbPresetProtect6</v>
      </c>
    </row>
    <row r="2607" spans="20:22" x14ac:dyDescent="0.25">
      <c r="T2607" s="7" t="str">
        <f ca="1"/>
        <v>D6</v>
      </c>
      <c r="U2607" s="7" t="str">
        <f ca="1"/>
        <v>0xD236</v>
      </c>
      <c r="V2607" s="7" t="str">
        <f ca="1"/>
        <v>MovieNoiseReductionHiIso</v>
      </c>
    </row>
    <row r="2608" spans="20:22" x14ac:dyDescent="0.25">
      <c r="T2608" s="7" t="str">
        <f ca="1"/>
        <v>D6</v>
      </c>
      <c r="U2608" s="7" t="str">
        <f ca="1"/>
        <v>0xD237</v>
      </c>
      <c r="V2608" s="7" t="str">
        <f ca="1"/>
        <v>MovieActivePicCtrlItem</v>
      </c>
    </row>
    <row r="2609" spans="20:22" x14ac:dyDescent="0.25">
      <c r="T2609" s="7" t="str">
        <f ca="1"/>
        <v>D6</v>
      </c>
      <c r="U2609" s="7" t="str">
        <f ca="1"/>
        <v>0xD239</v>
      </c>
      <c r="V2609" s="7" t="str">
        <f ca="1"/>
        <v>ExposureBaseCompHighlight</v>
      </c>
    </row>
    <row r="2610" spans="20:22" x14ac:dyDescent="0.25">
      <c r="T2610" s="7" t="str">
        <f ca="1"/>
        <v>D6</v>
      </c>
      <c r="U2610" s="7" t="str">
        <f ca="1"/>
        <v>0xD23A</v>
      </c>
      <c r="V2610" s="7" t="str">
        <f ca="1"/>
        <v>MovieWhiteBalance</v>
      </c>
    </row>
    <row r="2611" spans="20:22" x14ac:dyDescent="0.25">
      <c r="T2611" s="7" t="str">
        <f ca="1"/>
        <v>D6</v>
      </c>
      <c r="U2611" s="7" t="str">
        <f ca="1"/>
        <v>0xD23B</v>
      </c>
      <c r="V2611" s="7" t="str">
        <f ca="1"/>
        <v>MovieActive</v>
      </c>
    </row>
    <row r="2612" spans="20:22" x14ac:dyDescent="0.25">
      <c r="T2612" s="7" t="str">
        <f ca="1"/>
        <v>D6</v>
      </c>
      <c r="U2612" s="7" t="str">
        <f ca="1"/>
        <v>0xD23C</v>
      </c>
      <c r="V2612" s="7" t="str">
        <f ca="1"/>
        <v>MovieWbTuneNatural</v>
      </c>
    </row>
    <row r="2613" spans="20:22" x14ac:dyDescent="0.25">
      <c r="T2613" s="7" t="str">
        <f ca="1"/>
        <v>D6</v>
      </c>
      <c r="U2613" s="7" t="str">
        <f ca="1"/>
        <v>0xD23D</v>
      </c>
      <c r="V2613" s="7" t="str">
        <f ca="1"/>
        <v>MovieAttenuator</v>
      </c>
    </row>
    <row r="2614" spans="20:22" x14ac:dyDescent="0.25">
      <c r="T2614" s="7" t="str">
        <f ca="1"/>
        <v>D6</v>
      </c>
      <c r="U2614" s="7" t="str">
        <f ca="1"/>
        <v>0xD23F</v>
      </c>
      <c r="V2614" s="7" t="str">
        <f ca="1"/>
        <v>MovieDiffractionCompensation</v>
      </c>
    </row>
    <row r="2615" spans="20:22" x14ac:dyDescent="0.25">
      <c r="T2615" s="7" t="str">
        <f ca="1"/>
        <v>D6</v>
      </c>
      <c r="U2615" s="7" t="str">
        <f ca="1"/>
        <v>0xD303</v>
      </c>
      <c r="V2615" s="7" t="str">
        <f ca="1"/>
        <v>UseDeviceStageFlag</v>
      </c>
    </row>
    <row r="2616" spans="20:22" x14ac:dyDescent="0.25">
      <c r="T2616" s="7" t="str">
        <f ca="1"/>
        <v>D6</v>
      </c>
      <c r="U2616" s="7" t="str">
        <f ca="1"/>
        <v>0xD314</v>
      </c>
      <c r="V2616" s="7" t="str">
        <f ca="1"/>
        <v>ElectronicVR</v>
      </c>
    </row>
    <row r="2617" spans="20:22" x14ac:dyDescent="0.25">
      <c r="T2617" s="7" t="str">
        <f ca="1"/>
        <v>D6</v>
      </c>
      <c r="U2617" s="7" t="str">
        <f ca="1"/>
        <v>0xD406</v>
      </c>
      <c r="V2617" s="7" t="str">
        <f ca="1"/>
        <v>SessionInitiatorVersionInfo</v>
      </c>
    </row>
    <row r="2618" spans="20:22" x14ac:dyDescent="0.25">
      <c r="T2618" s="7" t="str">
        <f ca="1"/>
        <v>D6</v>
      </c>
      <c r="U2618" s="7" t="str">
        <f ca="1"/>
        <v>0xD407</v>
      </c>
      <c r="V2618" s="7" t="str">
        <f ca="1"/>
        <v>PerceivedDeviceType</v>
      </c>
    </row>
    <row r="2619" spans="20:22" x14ac:dyDescent="0.25">
      <c r="T2619" s="7" t="str">
        <f ca="1"/>
        <v>D5</v>
      </c>
      <c r="U2619" s="7" t="str">
        <f ca="1"/>
        <v>0x5001</v>
      </c>
      <c r="V2619" s="7" t="str">
        <f ca="1"/>
        <v>BatteryLevel</v>
      </c>
    </row>
    <row r="2620" spans="20:22" x14ac:dyDescent="0.25">
      <c r="T2620" s="7" t="str">
        <f ca="1"/>
        <v>D5</v>
      </c>
      <c r="U2620" s="7" t="str">
        <f ca="1"/>
        <v>0x5003</v>
      </c>
      <c r="V2620" s="7" t="str">
        <f ca="1"/>
        <v>ImageSize</v>
      </c>
    </row>
    <row r="2621" spans="20:22" x14ac:dyDescent="0.25">
      <c r="T2621" s="7" t="str">
        <f ca="1"/>
        <v>D5</v>
      </c>
      <c r="U2621" s="7" t="str">
        <f ca="1"/>
        <v>0x5004</v>
      </c>
      <c r="V2621" s="7" t="str">
        <f ca="1"/>
        <v>CompressionSetting</v>
      </c>
    </row>
    <row r="2622" spans="20:22" x14ac:dyDescent="0.25">
      <c r="T2622" s="7" t="str">
        <f ca="1"/>
        <v>D5</v>
      </c>
      <c r="U2622" s="7" t="str">
        <f ca="1"/>
        <v>0x5005</v>
      </c>
      <c r="V2622" s="7" t="str">
        <f ca="1"/>
        <v>WhiteBalance</v>
      </c>
    </row>
    <row r="2623" spans="20:22" x14ac:dyDescent="0.25">
      <c r="T2623" s="7" t="str">
        <f ca="1"/>
        <v>D5</v>
      </c>
      <c r="U2623" s="7" t="str">
        <f ca="1"/>
        <v>0x5007</v>
      </c>
      <c r="V2623" s="7" t="str">
        <f ca="1"/>
        <v>Fnumber</v>
      </c>
    </row>
    <row r="2624" spans="20:22" x14ac:dyDescent="0.25">
      <c r="T2624" s="7" t="str">
        <f ca="1"/>
        <v>D5</v>
      </c>
      <c r="U2624" s="7" t="str">
        <f ca="1"/>
        <v>0x5008</v>
      </c>
      <c r="V2624" s="7" t="str">
        <f ca="1"/>
        <v>FocalLength</v>
      </c>
    </row>
    <row r="2625" spans="20:22" x14ac:dyDescent="0.25">
      <c r="T2625" s="7" t="str">
        <f ca="1"/>
        <v>D5</v>
      </c>
      <c r="U2625" s="7" t="str">
        <f ca="1"/>
        <v>0x500A</v>
      </c>
      <c r="V2625" s="7" t="str">
        <f ca="1"/>
        <v>FocusMode</v>
      </c>
    </row>
    <row r="2626" spans="20:22" x14ac:dyDescent="0.25">
      <c r="T2626" s="7" t="str">
        <f ca="1"/>
        <v>D5</v>
      </c>
      <c r="U2626" s="7" t="str">
        <f ca="1"/>
        <v>0x500B</v>
      </c>
      <c r="V2626" s="7" t="str">
        <f ca="1"/>
        <v>ExposureMeteringMode</v>
      </c>
    </row>
    <row r="2627" spans="20:22" x14ac:dyDescent="0.25">
      <c r="T2627" s="7" t="str">
        <f ca="1"/>
        <v>D5</v>
      </c>
      <c r="U2627" s="7" t="str">
        <f ca="1"/>
        <v>0x500C</v>
      </c>
      <c r="V2627" s="7" t="str">
        <f ca="1"/>
        <v>FlashMode</v>
      </c>
    </row>
    <row r="2628" spans="20:22" x14ac:dyDescent="0.25">
      <c r="T2628" s="7" t="str">
        <f ca="1"/>
        <v>D5</v>
      </c>
      <c r="U2628" s="7" t="str">
        <f ca="1"/>
        <v>0x500D</v>
      </c>
      <c r="V2628" s="7" t="str">
        <f ca="1"/>
        <v>ExposureTime</v>
      </c>
    </row>
    <row r="2629" spans="20:22" x14ac:dyDescent="0.25">
      <c r="T2629" s="7" t="str">
        <f ca="1"/>
        <v>D5</v>
      </c>
      <c r="U2629" s="7" t="str">
        <f ca="1"/>
        <v>0x500E</v>
      </c>
      <c r="V2629" s="7" t="str">
        <f ca="1"/>
        <v>ExposureProgramMode</v>
      </c>
    </row>
    <row r="2630" spans="20:22" x14ac:dyDescent="0.25">
      <c r="T2630" s="7" t="str">
        <f ca="1"/>
        <v>D5</v>
      </c>
      <c r="U2630" s="7" t="str">
        <f ca="1"/>
        <v>0x500F</v>
      </c>
      <c r="V2630" s="7" t="str">
        <f ca="1"/>
        <v>ExposureIndex</v>
      </c>
    </row>
    <row r="2631" spans="20:22" x14ac:dyDescent="0.25">
      <c r="T2631" s="7" t="str">
        <f ca="1"/>
        <v>D5</v>
      </c>
      <c r="U2631" s="7" t="str">
        <f ca="1"/>
        <v>0x5010</v>
      </c>
      <c r="V2631" s="7" t="str">
        <f ca="1"/>
        <v>ExposureBiasCompensation</v>
      </c>
    </row>
    <row r="2632" spans="20:22" x14ac:dyDescent="0.25">
      <c r="T2632" s="7" t="str">
        <f ca="1"/>
        <v>D5</v>
      </c>
      <c r="U2632" s="7" t="str">
        <f ca="1"/>
        <v>0x5011</v>
      </c>
      <c r="V2632" s="7" t="str">
        <f ca="1"/>
        <v>DateTime</v>
      </c>
    </row>
    <row r="2633" spans="20:22" x14ac:dyDescent="0.25">
      <c r="T2633" s="7" t="str">
        <f ca="1"/>
        <v>D5</v>
      </c>
      <c r="U2633" s="7" t="str">
        <f ca="1"/>
        <v>0x5013</v>
      </c>
      <c r="V2633" s="7" t="str">
        <f ca="1"/>
        <v>StillCaptureMode</v>
      </c>
    </row>
    <row r="2634" spans="20:22" x14ac:dyDescent="0.25">
      <c r="T2634" s="7" t="str">
        <f ca="1"/>
        <v>D5</v>
      </c>
      <c r="U2634" s="7" t="str">
        <f ca="1"/>
        <v>0x5018</v>
      </c>
      <c r="V2634" s="7" t="str">
        <f ca="1"/>
        <v>BurstNumber</v>
      </c>
    </row>
    <row r="2635" spans="20:22" x14ac:dyDescent="0.25">
      <c r="T2635" s="7" t="str">
        <f ca="1"/>
        <v>D5</v>
      </c>
      <c r="U2635" s="7" t="str">
        <f ca="1"/>
        <v>0x501C</v>
      </c>
      <c r="V2635" s="7" t="str">
        <f ca="1"/>
        <v>FocusMeteringMode</v>
      </c>
    </row>
    <row r="2636" spans="20:22" x14ac:dyDescent="0.25">
      <c r="T2636" s="7" t="str">
        <f ca="1"/>
        <v>D5</v>
      </c>
      <c r="U2636" s="7" t="str">
        <f ca="1"/>
        <v>0x501E</v>
      </c>
      <c r="V2636" s="7" t="str">
        <f ca="1"/>
        <v>Artist</v>
      </c>
    </row>
    <row r="2637" spans="20:22" x14ac:dyDescent="0.25">
      <c r="T2637" s="7" t="str">
        <f ca="1"/>
        <v>D5</v>
      </c>
      <c r="U2637" s="7" t="str">
        <f ca="1"/>
        <v>0x501F</v>
      </c>
      <c r="V2637" s="7" t="str">
        <f ca="1"/>
        <v>Copyright</v>
      </c>
    </row>
    <row r="2638" spans="20:22" x14ac:dyDescent="0.25">
      <c r="T2638" s="7" t="str">
        <f ca="1"/>
        <v>D5</v>
      </c>
      <c r="U2638" s="7" t="str">
        <f ca="1"/>
        <v>0xD010</v>
      </c>
      <c r="V2638" s="7" t="str">
        <f ca="1"/>
        <v>ShootingMenuBank</v>
      </c>
    </row>
    <row r="2639" spans="20:22" x14ac:dyDescent="0.25">
      <c r="T2639" s="7" t="str">
        <f ca="1"/>
        <v>D5</v>
      </c>
      <c r="U2639" s="7" t="str">
        <f ca="1"/>
        <v>0xD011</v>
      </c>
      <c r="V2639" s="7" t="str">
        <f ca="1"/>
        <v>ShootingBankNameA</v>
      </c>
    </row>
    <row r="2640" spans="20:22" x14ac:dyDescent="0.25">
      <c r="T2640" s="7" t="str">
        <f ca="1"/>
        <v>D5</v>
      </c>
      <c r="U2640" s="7" t="str">
        <f ca="1"/>
        <v>0xD012</v>
      </c>
      <c r="V2640" s="7" t="str">
        <f ca="1"/>
        <v>ShootingBankNameB</v>
      </c>
    </row>
    <row r="2641" spans="20:22" x14ac:dyDescent="0.25">
      <c r="T2641" s="7" t="str">
        <f ca="1"/>
        <v>D5</v>
      </c>
      <c r="U2641" s="7" t="str">
        <f ca="1"/>
        <v>0xD013</v>
      </c>
      <c r="V2641" s="7" t="str">
        <f ca="1"/>
        <v>ShootingBankNameC</v>
      </c>
    </row>
    <row r="2642" spans="20:22" x14ac:dyDescent="0.25">
      <c r="T2642" s="7" t="str">
        <f ca="1"/>
        <v>D5</v>
      </c>
      <c r="U2642" s="7" t="str">
        <f ca="1"/>
        <v>0xD014</v>
      </c>
      <c r="V2642" s="7" t="str">
        <f ca="1"/>
        <v>ShootingBankNameD</v>
      </c>
    </row>
    <row r="2643" spans="20:22" x14ac:dyDescent="0.25">
      <c r="T2643" s="7" t="str">
        <f ca="1"/>
        <v>D5</v>
      </c>
      <c r="U2643" s="7" t="str">
        <f ca="1"/>
        <v>0xD015</v>
      </c>
      <c r="V2643" s="7" t="str">
        <f ca="1"/>
        <v>ResetShootingMenu</v>
      </c>
    </row>
    <row r="2644" spans="20:22" x14ac:dyDescent="0.25">
      <c r="T2644" s="7" t="str">
        <f ca="1"/>
        <v>D5</v>
      </c>
      <c r="U2644" s="7" t="str">
        <f ca="1"/>
        <v>0xD016</v>
      </c>
      <c r="V2644" s="7" t="str">
        <f ca="1"/>
        <v>RawCompressionType</v>
      </c>
    </row>
    <row r="2645" spans="20:22" x14ac:dyDescent="0.25">
      <c r="T2645" s="7" t="str">
        <f ca="1"/>
        <v>D5</v>
      </c>
      <c r="U2645" s="7" t="str">
        <f ca="1"/>
        <v>0xD017</v>
      </c>
      <c r="V2645" s="7" t="str">
        <f ca="1"/>
        <v>WbTuneAuto</v>
      </c>
    </row>
    <row r="2646" spans="20:22" x14ac:dyDescent="0.25">
      <c r="T2646" s="7" t="str">
        <f ca="1"/>
        <v>D5</v>
      </c>
      <c r="U2646" s="7" t="str">
        <f ca="1"/>
        <v>0xD018</v>
      </c>
      <c r="V2646" s="7" t="str">
        <f ca="1"/>
        <v>WbTuneIncandescent</v>
      </c>
    </row>
    <row r="2647" spans="20:22" x14ac:dyDescent="0.25">
      <c r="T2647" s="7" t="str">
        <f ca="1"/>
        <v>D5</v>
      </c>
      <c r="U2647" s="7" t="str">
        <f ca="1"/>
        <v>0xD019</v>
      </c>
      <c r="V2647" s="7" t="str">
        <f ca="1"/>
        <v>WbTuneFluorescent</v>
      </c>
    </row>
    <row r="2648" spans="20:22" x14ac:dyDescent="0.25">
      <c r="T2648" s="7" t="str">
        <f ca="1"/>
        <v>D5</v>
      </c>
      <c r="U2648" s="7" t="str">
        <f ca="1"/>
        <v>0xD01A</v>
      </c>
      <c r="V2648" s="7" t="str">
        <f ca="1"/>
        <v>WbTuneSunny</v>
      </c>
    </row>
    <row r="2649" spans="20:22" x14ac:dyDescent="0.25">
      <c r="T2649" s="7" t="str">
        <f ca="1"/>
        <v>D5</v>
      </c>
      <c r="U2649" s="7" t="str">
        <f ca="1"/>
        <v>0xD01B</v>
      </c>
      <c r="V2649" s="7" t="str">
        <f ca="1"/>
        <v>WbTuneFlash</v>
      </c>
    </row>
    <row r="2650" spans="20:22" x14ac:dyDescent="0.25">
      <c r="T2650" s="7" t="str">
        <f ca="1"/>
        <v>D5</v>
      </c>
      <c r="U2650" s="7" t="str">
        <f ca="1"/>
        <v>0xD01C</v>
      </c>
      <c r="V2650" s="7" t="str">
        <f ca="1"/>
        <v>WbTuneCloudy</v>
      </c>
    </row>
    <row r="2651" spans="20:22" x14ac:dyDescent="0.25">
      <c r="T2651" s="7" t="str">
        <f ca="1"/>
        <v>D5</v>
      </c>
      <c r="U2651" s="7" t="str">
        <f ca="1"/>
        <v>0xD01D</v>
      </c>
      <c r="V2651" s="7" t="str">
        <f ca="1"/>
        <v>WbTuneShade</v>
      </c>
    </row>
    <row r="2652" spans="20:22" x14ac:dyDescent="0.25">
      <c r="T2652" s="7" t="str">
        <f ca="1"/>
        <v>D5</v>
      </c>
      <c r="U2652" s="7" t="str">
        <f ca="1"/>
        <v>0xD01E</v>
      </c>
      <c r="V2652" s="7" t="str">
        <f ca="1"/>
        <v>WbColorTemp</v>
      </c>
    </row>
    <row r="2653" spans="20:22" x14ac:dyDescent="0.25">
      <c r="T2653" s="7" t="str">
        <f ca="1"/>
        <v>D5</v>
      </c>
      <c r="U2653" s="7" t="str">
        <f ca="1"/>
        <v>0xD01F</v>
      </c>
      <c r="V2653" s="7" t="str">
        <f ca="1"/>
        <v>WbPresetDataNo</v>
      </c>
    </row>
    <row r="2654" spans="20:22" x14ac:dyDescent="0.25">
      <c r="T2654" s="7" t="str">
        <f ca="1"/>
        <v>D5</v>
      </c>
      <c r="U2654" s="7" t="str">
        <f ca="1"/>
        <v>0xD021</v>
      </c>
      <c r="V2654" s="7" t="str">
        <f ca="1"/>
        <v>WbPresetDataComment1</v>
      </c>
    </row>
    <row r="2655" spans="20:22" x14ac:dyDescent="0.25">
      <c r="T2655" s="7" t="str">
        <f ca="1"/>
        <v>D5</v>
      </c>
      <c r="U2655" s="7" t="str">
        <f ca="1"/>
        <v>0xD022</v>
      </c>
      <c r="V2655" s="7" t="str">
        <f ca="1"/>
        <v>WbPresetDataComment2</v>
      </c>
    </row>
    <row r="2656" spans="20:22" x14ac:dyDescent="0.25">
      <c r="T2656" s="7" t="str">
        <f ca="1"/>
        <v>D5</v>
      </c>
      <c r="U2656" s="7" t="str">
        <f ca="1"/>
        <v>0xD023</v>
      </c>
      <c r="V2656" s="7" t="str">
        <f ca="1"/>
        <v>WbPresetDataComment3</v>
      </c>
    </row>
    <row r="2657" spans="20:22" x14ac:dyDescent="0.25">
      <c r="T2657" s="7" t="str">
        <f ca="1"/>
        <v>D5</v>
      </c>
      <c r="U2657" s="7" t="str">
        <f ca="1"/>
        <v>0xD024</v>
      </c>
      <c r="V2657" s="7" t="str">
        <f ca="1"/>
        <v>WbPresetDataComment4</v>
      </c>
    </row>
    <row r="2658" spans="20:22" x14ac:dyDescent="0.25">
      <c r="T2658" s="7" t="str">
        <f ca="1"/>
        <v>D5</v>
      </c>
      <c r="U2658" s="7" t="str">
        <f ca="1"/>
        <v>0xD026</v>
      </c>
      <c r="V2658" s="7" t="str">
        <f ca="1"/>
        <v>WbPresetDataValue1</v>
      </c>
    </row>
    <row r="2659" spans="20:22" x14ac:dyDescent="0.25">
      <c r="T2659" s="7" t="str">
        <f ca="1"/>
        <v>D5</v>
      </c>
      <c r="U2659" s="7" t="str">
        <f ca="1"/>
        <v>0xD027</v>
      </c>
      <c r="V2659" s="7" t="str">
        <f ca="1"/>
        <v>WbPresetDataValue2</v>
      </c>
    </row>
    <row r="2660" spans="20:22" x14ac:dyDescent="0.25">
      <c r="T2660" s="7" t="str">
        <f ca="1"/>
        <v>D5</v>
      </c>
      <c r="U2660" s="7" t="str">
        <f ca="1"/>
        <v>0xD028</v>
      </c>
      <c r="V2660" s="7" t="str">
        <f ca="1"/>
        <v>WbPresetDataValue3</v>
      </c>
    </row>
    <row r="2661" spans="20:22" x14ac:dyDescent="0.25">
      <c r="T2661" s="7" t="str">
        <f ca="1"/>
        <v>D5</v>
      </c>
      <c r="U2661" s="7" t="str">
        <f ca="1"/>
        <v>0xD029</v>
      </c>
      <c r="V2661" s="7" t="str">
        <f ca="1"/>
        <v>WbPresetDataValue4</v>
      </c>
    </row>
    <row r="2662" spans="20:22" x14ac:dyDescent="0.25">
      <c r="T2662" s="7" t="str">
        <f ca="1"/>
        <v>D5</v>
      </c>
      <c r="U2662" s="7" t="str">
        <f ca="1"/>
        <v>0xD02E</v>
      </c>
      <c r="V2662" s="7" t="str">
        <f ca="1"/>
        <v>FmmManualSetting</v>
      </c>
    </row>
    <row r="2663" spans="20:22" x14ac:dyDescent="0.25">
      <c r="T2663" s="7" t="str">
        <f ca="1"/>
        <v>D5</v>
      </c>
      <c r="U2663" s="7" t="str">
        <f ca="1"/>
        <v>0xD02F</v>
      </c>
      <c r="V2663" s="7" t="str">
        <f ca="1"/>
        <v>F0ManualSetting</v>
      </c>
    </row>
    <row r="2664" spans="20:22" x14ac:dyDescent="0.25">
      <c r="T2664" s="7" t="str">
        <f ca="1"/>
        <v>D5</v>
      </c>
      <c r="U2664" s="7" t="str">
        <f ca="1"/>
        <v>0xD030</v>
      </c>
      <c r="V2664" s="7" t="str">
        <f ca="1"/>
        <v>CaptureAreaCrop</v>
      </c>
    </row>
    <row r="2665" spans="20:22" x14ac:dyDescent="0.25">
      <c r="T2665" s="7" t="str">
        <f ca="1"/>
        <v>D5</v>
      </c>
      <c r="U2665" s="7" t="str">
        <f ca="1"/>
        <v>0xD032</v>
      </c>
      <c r="V2665" s="7" t="str">
        <f ca="1"/>
        <v>ColorSpace</v>
      </c>
    </row>
    <row r="2666" spans="20:22" x14ac:dyDescent="0.25">
      <c r="T2666" s="7" t="str">
        <f ca="1"/>
        <v>D5</v>
      </c>
      <c r="U2666" s="7" t="str">
        <f ca="1"/>
        <v>0xD033</v>
      </c>
      <c r="V2666" s="7" t="str">
        <f ca="1"/>
        <v>AutoDxCrop</v>
      </c>
    </row>
    <row r="2667" spans="20:22" x14ac:dyDescent="0.25">
      <c r="T2667" s="7" t="str">
        <f ca="1"/>
        <v>D5</v>
      </c>
      <c r="U2667" s="7" t="str">
        <f ca="1"/>
        <v>0xD034</v>
      </c>
      <c r="V2667" s="7" t="str">
        <f ca="1"/>
        <v>DecreaseFlicker</v>
      </c>
    </row>
    <row r="2668" spans="20:22" x14ac:dyDescent="0.25">
      <c r="T2668" s="7" t="str">
        <f ca="1"/>
        <v>D5</v>
      </c>
      <c r="U2668" s="7" t="str">
        <f ca="1"/>
        <v>0xD038</v>
      </c>
      <c r="V2668" s="7" t="str">
        <f ca="1"/>
        <v>WbPresetDataComment5</v>
      </c>
    </row>
    <row r="2669" spans="20:22" x14ac:dyDescent="0.25">
      <c r="T2669" s="7" t="str">
        <f ca="1"/>
        <v>D5</v>
      </c>
      <c r="U2669" s="7" t="str">
        <f ca="1"/>
        <v>0xD039</v>
      </c>
      <c r="V2669" s="7" t="str">
        <f ca="1"/>
        <v>WbPresetDataComment6</v>
      </c>
    </row>
    <row r="2670" spans="20:22" x14ac:dyDescent="0.25">
      <c r="T2670" s="7" t="str">
        <f ca="1"/>
        <v>D5</v>
      </c>
      <c r="U2670" s="7" t="str">
        <f ca="1"/>
        <v>0xD03A</v>
      </c>
      <c r="V2670" s="7" t="str">
        <f ca="1"/>
        <v>WbTunePreset5</v>
      </c>
    </row>
    <row r="2671" spans="20:22" x14ac:dyDescent="0.25">
      <c r="T2671" s="7" t="str">
        <f ca="1"/>
        <v>D5</v>
      </c>
      <c r="U2671" s="7" t="str">
        <f ca="1"/>
        <v>0xD03B</v>
      </c>
      <c r="V2671" s="7" t="str">
        <f ca="1"/>
        <v>WbTunePreset6</v>
      </c>
    </row>
    <row r="2672" spans="20:22" x14ac:dyDescent="0.25">
      <c r="T2672" s="7" t="str">
        <f ca="1"/>
        <v>D5</v>
      </c>
      <c r="U2672" s="7" t="str">
        <f ca="1"/>
        <v>0xD03C</v>
      </c>
      <c r="V2672" s="7" t="str">
        <f ca="1"/>
        <v>WbPresetProtect5</v>
      </c>
    </row>
    <row r="2673" spans="20:22" x14ac:dyDescent="0.25">
      <c r="T2673" s="7" t="str">
        <f ca="1"/>
        <v>D5</v>
      </c>
      <c r="U2673" s="7" t="str">
        <f ca="1"/>
        <v>0xD03D</v>
      </c>
      <c r="V2673" s="7" t="str">
        <f ca="1"/>
        <v>WbPresetProtect6</v>
      </c>
    </row>
    <row r="2674" spans="20:22" x14ac:dyDescent="0.25">
      <c r="T2674" s="7" t="str">
        <f ca="1"/>
        <v>D5</v>
      </c>
      <c r="U2674" s="7" t="str">
        <f ca="1"/>
        <v>0xD03E</v>
      </c>
      <c r="V2674" s="7" t="str">
        <f ca="1"/>
        <v>WbPresetDataValue5</v>
      </c>
    </row>
    <row r="2675" spans="20:22" x14ac:dyDescent="0.25">
      <c r="T2675" s="7" t="str">
        <f ca="1"/>
        <v>D5</v>
      </c>
      <c r="U2675" s="7" t="str">
        <f ca="1"/>
        <v>0xD03F</v>
      </c>
      <c r="V2675" s="7" t="str">
        <f ca="1"/>
        <v>WbPresetDataValue6</v>
      </c>
    </row>
    <row r="2676" spans="20:22" x14ac:dyDescent="0.25">
      <c r="T2676" s="7" t="str">
        <f ca="1"/>
        <v>D5</v>
      </c>
      <c r="U2676" s="7" t="str">
        <f ca="1"/>
        <v>0xD040</v>
      </c>
      <c r="V2676" s="7" t="str">
        <f ca="1"/>
        <v>CustomSettingBank</v>
      </c>
    </row>
    <row r="2677" spans="20:22" x14ac:dyDescent="0.25">
      <c r="T2677" s="7" t="str">
        <f ca="1"/>
        <v>D5</v>
      </c>
      <c r="U2677" s="7" t="str">
        <f ca="1"/>
        <v>0xD041</v>
      </c>
      <c r="V2677" s="7" t="str">
        <f ca="1"/>
        <v>CustomBankNameA</v>
      </c>
    </row>
    <row r="2678" spans="20:22" x14ac:dyDescent="0.25">
      <c r="T2678" s="7" t="str">
        <f ca="1"/>
        <v>D5</v>
      </c>
      <c r="U2678" s="7" t="str">
        <f ca="1"/>
        <v>0xD042</v>
      </c>
      <c r="V2678" s="7" t="str">
        <f ca="1"/>
        <v>CustomBankNameB</v>
      </c>
    </row>
    <row r="2679" spans="20:22" x14ac:dyDescent="0.25">
      <c r="T2679" s="7" t="str">
        <f ca="1"/>
        <v>D5</v>
      </c>
      <c r="U2679" s="7" t="str">
        <f ca="1"/>
        <v>0xD043</v>
      </c>
      <c r="V2679" s="7" t="str">
        <f ca="1"/>
        <v>CustomBankNameC</v>
      </c>
    </row>
    <row r="2680" spans="20:22" x14ac:dyDescent="0.25">
      <c r="T2680" s="7" t="str">
        <f ca="1"/>
        <v>D5</v>
      </c>
      <c r="U2680" s="7" t="str">
        <f ca="1"/>
        <v>0xD044</v>
      </c>
      <c r="V2680" s="7" t="str">
        <f ca="1"/>
        <v>CustomBankNameD</v>
      </c>
    </row>
    <row r="2681" spans="20:22" x14ac:dyDescent="0.25">
      <c r="T2681" s="7" t="str">
        <f ca="1"/>
        <v>D5</v>
      </c>
      <c r="U2681" s="7" t="str">
        <f ca="1"/>
        <v>0xD045</v>
      </c>
      <c r="V2681" s="7" t="str">
        <f ca="1"/>
        <v>ResetCustomSetting</v>
      </c>
    </row>
    <row r="2682" spans="20:22" x14ac:dyDescent="0.25">
      <c r="T2682" s="7" t="str">
        <f ca="1"/>
        <v>D5</v>
      </c>
      <c r="U2682" s="7" t="str">
        <f ca="1"/>
        <v>0xD046</v>
      </c>
      <c r="V2682" s="7" t="str">
        <f ca="1"/>
        <v>AFStillLockOnAcross</v>
      </c>
    </row>
    <row r="2683" spans="20:22" x14ac:dyDescent="0.25">
      <c r="T2683" s="7" t="str">
        <f ca="1"/>
        <v>D5</v>
      </c>
      <c r="U2683" s="7" t="str">
        <f ca="1"/>
        <v>0xD047</v>
      </c>
      <c r="V2683" s="7" t="str">
        <f ca="1"/>
        <v>AFStillLockOnMove</v>
      </c>
    </row>
    <row r="2684" spans="20:22" x14ac:dyDescent="0.25">
      <c r="T2684" s="7" t="str">
        <f ca="1"/>
        <v>D5</v>
      </c>
      <c r="U2684" s="7" t="str">
        <f ca="1"/>
        <v>0xD048</v>
      </c>
      <c r="V2684" s="7" t="str">
        <f ca="1"/>
        <v>DynamicAFonAFC</v>
      </c>
    </row>
    <row r="2685" spans="20:22" x14ac:dyDescent="0.25">
      <c r="T2685" s="7" t="str">
        <f ca="1"/>
        <v>D5</v>
      </c>
      <c r="U2685" s="7" t="str">
        <f ca="1"/>
        <v>0xD049</v>
      </c>
      <c r="V2685" s="7" t="str">
        <f ca="1"/>
        <v>DynamicAFonAFS</v>
      </c>
    </row>
    <row r="2686" spans="20:22" x14ac:dyDescent="0.25">
      <c r="T2686" s="7" t="str">
        <f ca="1"/>
        <v>D5</v>
      </c>
      <c r="U2686" s="7" t="str">
        <f ca="1"/>
        <v>0xD04F</v>
      </c>
      <c r="V2686" s="7" t="str">
        <f ca="1"/>
        <v>FocusAreaSelect</v>
      </c>
    </row>
    <row r="2687" spans="20:22" x14ac:dyDescent="0.25">
      <c r="T2687" s="7" t="str">
        <f ca="1"/>
        <v>D5</v>
      </c>
      <c r="U2687" s="7" t="str">
        <f ca="1"/>
        <v>0xD053</v>
      </c>
      <c r="V2687" s="7" t="str">
        <f ca="1"/>
        <v>EnableCopyright</v>
      </c>
    </row>
    <row r="2688" spans="20:22" x14ac:dyDescent="0.25">
      <c r="T2688" s="7" t="str">
        <f ca="1"/>
        <v>D5</v>
      </c>
      <c r="U2688" s="7" t="str">
        <f ca="1"/>
        <v>0xD054</v>
      </c>
      <c r="V2688" s="7" t="str">
        <f ca="1"/>
        <v>ISOAutoControl</v>
      </c>
    </row>
    <row r="2689" spans="20:22" x14ac:dyDescent="0.25">
      <c r="T2689" s="7" t="str">
        <f ca="1"/>
        <v>D5</v>
      </c>
      <c r="U2689" s="7" t="str">
        <f ca="1"/>
        <v>0xD055</v>
      </c>
      <c r="V2689" s="7" t="str">
        <f ca="1"/>
        <v>IsoStep</v>
      </c>
    </row>
    <row r="2690" spans="20:22" x14ac:dyDescent="0.25">
      <c r="T2690" s="7" t="str">
        <f ca="1"/>
        <v>D5</v>
      </c>
      <c r="U2690" s="7" t="str">
        <f ca="1"/>
        <v>0xD056</v>
      </c>
      <c r="V2690" s="7" t="str">
        <f ca="1"/>
        <v>ExposureEVStep</v>
      </c>
    </row>
    <row r="2691" spans="20:22" x14ac:dyDescent="0.25">
      <c r="T2691" s="7" t="str">
        <f ca="1"/>
        <v>D5</v>
      </c>
      <c r="U2691" s="7" t="str">
        <f ca="1"/>
        <v>0xD057</v>
      </c>
      <c r="V2691" s="7" t="str">
        <f ca="1"/>
        <v>ExposureCompEVStep</v>
      </c>
    </row>
    <row r="2692" spans="20:22" x14ac:dyDescent="0.25">
      <c r="T2692" s="7" t="str">
        <f ca="1"/>
        <v>D5</v>
      </c>
      <c r="U2692" s="7" t="str">
        <f ca="1"/>
        <v>0xD059</v>
      </c>
      <c r="V2692" s="7" t="str">
        <f ca="1"/>
        <v>CenterWeightedExRange</v>
      </c>
    </row>
    <row r="2693" spans="20:22" x14ac:dyDescent="0.25">
      <c r="T2693" s="7" t="str">
        <f ca="1"/>
        <v>D5</v>
      </c>
      <c r="U2693" s="7" t="str">
        <f ca="1"/>
        <v>0xD05A</v>
      </c>
      <c r="V2693" s="7" t="str">
        <f ca="1"/>
        <v>ExposureBaseCompMatrix</v>
      </c>
    </row>
    <row r="2694" spans="20:22" x14ac:dyDescent="0.25">
      <c r="T2694" s="7" t="str">
        <f ca="1"/>
        <v>D5</v>
      </c>
      <c r="U2694" s="7" t="str">
        <f ca="1"/>
        <v>0xD05B</v>
      </c>
      <c r="V2694" s="7" t="str">
        <f ca="1"/>
        <v>ExposureBaseCompCenter</v>
      </c>
    </row>
    <row r="2695" spans="20:22" x14ac:dyDescent="0.25">
      <c r="T2695" s="7" t="str">
        <f ca="1"/>
        <v>D5</v>
      </c>
      <c r="U2695" s="7" t="str">
        <f ca="1"/>
        <v>0xD05C</v>
      </c>
      <c r="V2695" s="7" t="str">
        <f ca="1"/>
        <v>ExposureBaseCompSpot</v>
      </c>
    </row>
    <row r="2696" spans="20:22" x14ac:dyDescent="0.25">
      <c r="T2696" s="7" t="str">
        <f ca="1"/>
        <v>D5</v>
      </c>
      <c r="U2696" s="7" t="str">
        <f ca="1"/>
        <v>0xD05D</v>
      </c>
      <c r="V2696" s="7" t="str">
        <f ca="1"/>
        <v>AfAtLiveView</v>
      </c>
    </row>
    <row r="2697" spans="20:22" x14ac:dyDescent="0.25">
      <c r="T2697" s="7" t="str">
        <f ca="1"/>
        <v>D5</v>
      </c>
      <c r="U2697" s="7" t="str">
        <f ca="1"/>
        <v>0xD060</v>
      </c>
      <c r="V2697" s="7" t="str">
        <f ca="1"/>
        <v>IPTCPresetSelect</v>
      </c>
    </row>
    <row r="2698" spans="20:22" x14ac:dyDescent="0.25">
      <c r="T2698" s="7" t="str">
        <f ca="1"/>
        <v>D5</v>
      </c>
      <c r="U2698" s="7" t="str">
        <f ca="1"/>
        <v>0xD061</v>
      </c>
      <c r="V2698" s="7" t="str">
        <f ca="1"/>
        <v>AfModeAtLiveView</v>
      </c>
    </row>
    <row r="2699" spans="20:22" x14ac:dyDescent="0.25">
      <c r="T2699" s="7" t="str">
        <f ca="1"/>
        <v>D5</v>
      </c>
      <c r="U2699" s="7" t="str">
        <f ca="1"/>
        <v>0xD067</v>
      </c>
      <c r="V2699" s="7" t="str">
        <f ca="1"/>
        <v>AngleLevel</v>
      </c>
    </row>
    <row r="2700" spans="20:22" x14ac:dyDescent="0.25">
      <c r="T2700" s="7" t="str">
        <f ca="1"/>
        <v>D5</v>
      </c>
      <c r="U2700" s="7" t="str">
        <f ca="1"/>
        <v>0xD068</v>
      </c>
      <c r="V2700" s="7" t="str">
        <f ca="1"/>
        <v>CSpeedLow</v>
      </c>
    </row>
    <row r="2701" spans="20:22" x14ac:dyDescent="0.25">
      <c r="T2701" s="7" t="str">
        <f ca="1"/>
        <v>D5</v>
      </c>
      <c r="U2701" s="7" t="str">
        <f ca="1"/>
        <v>0xD069</v>
      </c>
      <c r="V2701" s="7" t="str">
        <f ca="1"/>
        <v>BurstMaxNumber</v>
      </c>
    </row>
    <row r="2702" spans="20:22" x14ac:dyDescent="0.25">
      <c r="T2702" s="7" t="str">
        <f ca="1"/>
        <v>D5</v>
      </c>
      <c r="U2702" s="7" t="str">
        <f ca="1"/>
        <v>0xD06A</v>
      </c>
      <c r="V2702" s="7" t="str">
        <f ca="1"/>
        <v>ExposureDelay</v>
      </c>
    </row>
    <row r="2703" spans="20:22" x14ac:dyDescent="0.25">
      <c r="T2703" s="7" t="str">
        <f ca="1"/>
        <v>D5</v>
      </c>
      <c r="U2703" s="7" t="str">
        <f ca="1"/>
        <v>0xD06B</v>
      </c>
      <c r="V2703" s="7" t="str">
        <f ca="1"/>
        <v>NoiseReduction</v>
      </c>
    </row>
    <row r="2704" spans="20:22" x14ac:dyDescent="0.25">
      <c r="T2704" s="7" t="str">
        <f ca="1"/>
        <v>D5</v>
      </c>
      <c r="U2704" s="7" t="str">
        <f ca="1"/>
        <v>0xD06C</v>
      </c>
      <c r="V2704" s="7" t="str">
        <f ca="1"/>
        <v>NumberingMode</v>
      </c>
    </row>
    <row r="2705" spans="20:22" x14ac:dyDescent="0.25">
      <c r="T2705" s="7" t="str">
        <f ca="1"/>
        <v>D5</v>
      </c>
      <c r="U2705" s="7" t="str">
        <f ca="1"/>
        <v>0xD070</v>
      </c>
      <c r="V2705" s="7" t="str">
        <f ca="1"/>
        <v>NoiseReductionHiIso</v>
      </c>
    </row>
    <row r="2706" spans="20:22" x14ac:dyDescent="0.25">
      <c r="T2706" s="7" t="str">
        <f ca="1"/>
        <v>D5</v>
      </c>
      <c r="U2706" s="7" t="str">
        <f ca="1"/>
        <v>0xD072</v>
      </c>
      <c r="V2706" s="7" t="str">
        <f ca="1"/>
        <v>ArtistV</v>
      </c>
    </row>
    <row r="2707" spans="20:22" x14ac:dyDescent="0.25">
      <c r="T2707" s="7" t="str">
        <f ca="1"/>
        <v>D5</v>
      </c>
      <c r="U2707" s="7" t="str">
        <f ca="1"/>
        <v>0xD073</v>
      </c>
      <c r="V2707" s="7" t="str">
        <f ca="1"/>
        <v>CopyrightV</v>
      </c>
    </row>
    <row r="2708" spans="20:22" x14ac:dyDescent="0.25">
      <c r="T2708" s="7" t="str">
        <f ca="1"/>
        <v>D5</v>
      </c>
      <c r="U2708" s="7" t="str">
        <f ca="1"/>
        <v>0xD074</v>
      </c>
      <c r="V2708" s="7" t="str">
        <f ca="1"/>
        <v>FlashSyncSpeed</v>
      </c>
    </row>
    <row r="2709" spans="20:22" x14ac:dyDescent="0.25">
      <c r="T2709" s="7" t="str">
        <f ca="1"/>
        <v>D5</v>
      </c>
      <c r="U2709" s="7" t="str">
        <f ca="1"/>
        <v>0xD075</v>
      </c>
      <c r="V2709" s="7" t="str">
        <f ca="1"/>
        <v>FlashSlowSpeedLimit</v>
      </c>
    </row>
    <row r="2710" spans="20:22" x14ac:dyDescent="0.25">
      <c r="T2710" s="7" t="str">
        <f ca="1"/>
        <v>D5</v>
      </c>
      <c r="U2710" s="7" t="str">
        <f ca="1"/>
        <v>0xD078</v>
      </c>
      <c r="V2710" s="7" t="str">
        <f ca="1"/>
        <v>BracketingType</v>
      </c>
    </row>
    <row r="2711" spans="20:22" x14ac:dyDescent="0.25">
      <c r="T2711" s="7" t="str">
        <f ca="1"/>
        <v>D5</v>
      </c>
      <c r="U2711" s="7" t="str">
        <f ca="1"/>
        <v>0xD079</v>
      </c>
      <c r="V2711" s="7" t="str">
        <f ca="1"/>
        <v>SelectBracketChangeFactor</v>
      </c>
    </row>
    <row r="2712" spans="20:22" x14ac:dyDescent="0.25">
      <c r="T2712" s="7" t="str">
        <f ca="1"/>
        <v>D5</v>
      </c>
      <c r="U2712" s="7" t="str">
        <f ca="1"/>
        <v>0xD07A</v>
      </c>
      <c r="V2712" s="7" t="str">
        <f ca="1"/>
        <v>BracketingOrder</v>
      </c>
    </row>
    <row r="2713" spans="20:22" x14ac:dyDescent="0.25">
      <c r="T2713" s="7" t="str">
        <f ca="1"/>
        <v>D5</v>
      </c>
      <c r="U2713" s="7" t="str">
        <f ca="1"/>
        <v>0xD07D</v>
      </c>
      <c r="V2713" s="7" t="str">
        <f ca="1"/>
        <v>AngleLevelPitching</v>
      </c>
    </row>
    <row r="2714" spans="20:22" x14ac:dyDescent="0.25">
      <c r="T2714" s="7" t="str">
        <f ca="1"/>
        <v>D5</v>
      </c>
      <c r="U2714" s="7" t="str">
        <f ca="1"/>
        <v>0xD07E</v>
      </c>
      <c r="V2714" s="7" t="str">
        <f ca="1"/>
        <v>AngleLevelYawing</v>
      </c>
    </row>
    <row r="2715" spans="20:22" x14ac:dyDescent="0.25">
      <c r="T2715" s="7" t="str">
        <f ca="1"/>
        <v>D5</v>
      </c>
      <c r="U2715" s="7" t="str">
        <f ca="1"/>
        <v>0xD07F</v>
      </c>
      <c r="V2715" s="7" t="str">
        <f ca="1"/>
        <v>ExtendShootingMenu</v>
      </c>
    </row>
    <row r="2716" spans="20:22" x14ac:dyDescent="0.25">
      <c r="T2716" s="7" t="str">
        <f ca="1"/>
        <v>D5</v>
      </c>
      <c r="U2716" s="7" t="str">
        <f ca="1"/>
        <v>0xD087</v>
      </c>
      <c r="V2716" s="7" t="str">
        <f ca="1"/>
        <v>CommandDialSetting</v>
      </c>
    </row>
    <row r="2717" spans="20:22" x14ac:dyDescent="0.25">
      <c r="T2717" s="7" t="str">
        <f ca="1"/>
        <v>D5</v>
      </c>
      <c r="U2717" s="7" t="str">
        <f ca="1"/>
        <v>0xD08A</v>
      </c>
      <c r="V2717" s="7" t="str">
        <f ca="1"/>
        <v>EnableShutter</v>
      </c>
    </row>
    <row r="2718" spans="20:22" x14ac:dyDescent="0.25">
      <c r="T2718" s="7" t="str">
        <f ca="1"/>
        <v>D5</v>
      </c>
      <c r="U2718" s="7" t="str">
        <f ca="1"/>
        <v>0xD08D</v>
      </c>
      <c r="V2718" s="7" t="str">
        <f ca="1"/>
        <v>EnableAFAreaPoint</v>
      </c>
    </row>
    <row r="2719" spans="20:22" x14ac:dyDescent="0.25">
      <c r="T2719" s="7" t="str">
        <f ca="1"/>
        <v>D5</v>
      </c>
      <c r="U2719" s="7" t="str">
        <f ca="1"/>
        <v>0xD08F</v>
      </c>
      <c r="V2719" s="7" t="str">
        <f ca="1"/>
        <v>ImageSensorCleaning</v>
      </c>
    </row>
    <row r="2720" spans="20:22" x14ac:dyDescent="0.25">
      <c r="T2720" s="7" t="str">
        <f ca="1"/>
        <v>D5</v>
      </c>
      <c r="U2720" s="7" t="str">
        <f ca="1"/>
        <v>0xD090</v>
      </c>
      <c r="V2720" s="7" t="str">
        <f ca="1"/>
        <v>CommentString</v>
      </c>
    </row>
    <row r="2721" spans="20:22" x14ac:dyDescent="0.25">
      <c r="T2721" s="7" t="str">
        <f ca="1"/>
        <v>D5</v>
      </c>
      <c r="U2721" s="7" t="str">
        <f ca="1"/>
        <v>0xD091</v>
      </c>
      <c r="V2721" s="7" t="str">
        <f ca="1"/>
        <v>EnableComment</v>
      </c>
    </row>
    <row r="2722" spans="20:22" x14ac:dyDescent="0.25">
      <c r="T2722" s="7" t="str">
        <f ca="1"/>
        <v>D5</v>
      </c>
      <c r="U2722" s="7" t="str">
        <f ca="1"/>
        <v>0xD092</v>
      </c>
      <c r="V2722" s="7" t="str">
        <f ca="1"/>
        <v>OrientationSensorMode</v>
      </c>
    </row>
    <row r="2723" spans="20:22" x14ac:dyDescent="0.25">
      <c r="T2723" s="7" t="str">
        <f ca="1"/>
        <v>D5</v>
      </c>
      <c r="U2723" s="7" t="str">
        <f ca="1"/>
        <v>0xD093</v>
      </c>
      <c r="V2723" s="7" t="str">
        <f ca="1"/>
        <v>ManualSettingLensNo</v>
      </c>
    </row>
    <row r="2724" spans="20:22" x14ac:dyDescent="0.25">
      <c r="T2724" s="7" t="str">
        <f ca="1"/>
        <v>D5</v>
      </c>
      <c r="U2724" s="7" t="str">
        <f ca="1"/>
        <v>0xD09C</v>
      </c>
      <c r="V2724" s="7" t="str">
        <f ca="1"/>
        <v>RetractableLensWarning</v>
      </c>
    </row>
    <row r="2725" spans="20:22" x14ac:dyDescent="0.25">
      <c r="T2725" s="7" t="str">
        <f ca="1"/>
        <v>D5</v>
      </c>
      <c r="U2725" s="7" t="str">
        <f ca="1"/>
        <v>0xD09D</v>
      </c>
      <c r="V2725" s="7" t="str">
        <f ca="1"/>
        <v>FaceDetection</v>
      </c>
    </row>
    <row r="2726" spans="20:22" x14ac:dyDescent="0.25">
      <c r="T2726" s="7" t="str">
        <f ca="1"/>
        <v>D5</v>
      </c>
      <c r="U2726" s="7" t="str">
        <f ca="1"/>
        <v>0xD09E</v>
      </c>
      <c r="V2726" s="7" t="str">
        <f ca="1"/>
        <v>3DTrackingCaptuerArea</v>
      </c>
    </row>
    <row r="2727" spans="20:22" x14ac:dyDescent="0.25">
      <c r="T2727" s="7" t="str">
        <f ca="1"/>
        <v>D5</v>
      </c>
      <c r="U2727" s="7" t="str">
        <f ca="1"/>
        <v>0xD09F</v>
      </c>
      <c r="V2727" s="7" t="str">
        <f ca="1"/>
        <v>MatrixMetering</v>
      </c>
    </row>
    <row r="2728" spans="20:22" x14ac:dyDescent="0.25">
      <c r="T2728" s="7" t="str">
        <f ca="1"/>
        <v>D5</v>
      </c>
      <c r="U2728" s="7" t="str">
        <f ca="1"/>
        <v>0xD0A0</v>
      </c>
      <c r="V2728" s="7" t="str">
        <f ca="1"/>
        <v>MovieRecordScreenSize</v>
      </c>
    </row>
    <row r="2729" spans="20:22" x14ac:dyDescent="0.25">
      <c r="T2729" s="7" t="str">
        <f ca="1"/>
        <v>D5</v>
      </c>
      <c r="U2729" s="7" t="str">
        <f ca="1"/>
        <v>0xD0A2</v>
      </c>
      <c r="V2729" s="7" t="str">
        <f ca="1"/>
        <v>MovieRecordMicrophoneLevel</v>
      </c>
    </row>
    <row r="2730" spans="20:22" x14ac:dyDescent="0.25">
      <c r="T2730" s="7" t="str">
        <f ca="1"/>
        <v>D5</v>
      </c>
      <c r="U2730" s="7" t="str">
        <f ca="1"/>
        <v>0xD0A3</v>
      </c>
      <c r="V2730" s="7" t="str">
        <f ca="1"/>
        <v>MovieRecordDestination</v>
      </c>
    </row>
    <row r="2731" spans="20:22" x14ac:dyDescent="0.25">
      <c r="T2731" s="7" t="str">
        <f ca="1"/>
        <v>D5</v>
      </c>
      <c r="U2731" s="7" t="str">
        <f ca="1"/>
        <v>0xD0A4</v>
      </c>
      <c r="V2731" s="7" t="str">
        <f ca="1"/>
        <v>MovieRecProhibitionCondition</v>
      </c>
    </row>
    <row r="2732" spans="20:22" x14ac:dyDescent="0.25">
      <c r="T2732" s="7" t="str">
        <f ca="1"/>
        <v>D5</v>
      </c>
      <c r="U2732" s="7" t="str">
        <f ca="1"/>
        <v>0xD0A7</v>
      </c>
      <c r="V2732" s="7" t="str">
        <f ca="1"/>
        <v>MovieRecordQuality</v>
      </c>
    </row>
    <row r="2733" spans="20:22" x14ac:dyDescent="0.25">
      <c r="T2733" s="7" t="str">
        <f ca="1"/>
        <v>D5</v>
      </c>
      <c r="U2733" s="7" t="str">
        <f ca="1"/>
        <v>0xD0A8</v>
      </c>
      <c r="V2733" s="7" t="str">
        <f ca="1"/>
        <v>MovieRecordMicrophoneLevelValue</v>
      </c>
    </row>
    <row r="2734" spans="20:22" x14ac:dyDescent="0.25">
      <c r="T2734" s="7" t="str">
        <f ca="1"/>
        <v>D5</v>
      </c>
      <c r="U2734" s="7" t="str">
        <f ca="1"/>
        <v>0xD0AA</v>
      </c>
      <c r="V2734" s="7" t="str">
        <f ca="1"/>
        <v>MovieWindNoiseReduction</v>
      </c>
    </row>
    <row r="2735" spans="20:22" x14ac:dyDescent="0.25">
      <c r="T2735" s="7" t="str">
        <f ca="1"/>
        <v>D5</v>
      </c>
      <c r="U2735" s="7" t="str">
        <f ca="1"/>
        <v>0xD0AC</v>
      </c>
      <c r="V2735" s="7" t="str">
        <f ca="1"/>
        <v>MovieRecordingZone</v>
      </c>
    </row>
    <row r="2736" spans="20:22" x14ac:dyDescent="0.25">
      <c r="T2736" s="7" t="str">
        <f ca="1"/>
        <v>D5</v>
      </c>
      <c r="U2736" s="7" t="str">
        <f ca="1"/>
        <v>0xD0AD</v>
      </c>
      <c r="V2736" s="7" t="str">
        <f ca="1"/>
        <v>MovieISOAutoControl</v>
      </c>
    </row>
    <row r="2737" spans="20:22" x14ac:dyDescent="0.25">
      <c r="T2737" s="7" t="str">
        <f ca="1"/>
        <v>D5</v>
      </c>
      <c r="U2737" s="7" t="str">
        <f ca="1"/>
        <v>0xD0AE</v>
      </c>
      <c r="V2737" s="7" t="str">
        <f ca="1"/>
        <v>MovieISOAutoHighLimit</v>
      </c>
    </row>
    <row r="2738" spans="20:22" x14ac:dyDescent="0.25">
      <c r="T2738" s="7" t="str">
        <f ca="1"/>
        <v>D5</v>
      </c>
      <c r="U2738" s="7" t="str">
        <f ca="1"/>
        <v>0xD0B4</v>
      </c>
      <c r="V2738" s="7" t="str">
        <f ca="1"/>
        <v>ExposureIndexEx</v>
      </c>
    </row>
    <row r="2739" spans="20:22" x14ac:dyDescent="0.25">
      <c r="T2739" s="7" t="str">
        <f ca="1"/>
        <v>D5</v>
      </c>
      <c r="U2739" s="7" t="str">
        <f ca="1"/>
        <v>0xD0B5</v>
      </c>
      <c r="V2739" s="7" t="str">
        <f ca="1"/>
        <v>ISOControlSensitivity</v>
      </c>
    </row>
    <row r="2740" spans="20:22" x14ac:dyDescent="0.25">
      <c r="T2740" s="7" t="str">
        <f ca="1"/>
        <v>D5</v>
      </c>
      <c r="U2740" s="7" t="str">
        <f ca="1"/>
        <v>0xD0B6</v>
      </c>
      <c r="V2740" s="7" t="str">
        <f ca="1"/>
        <v>RawImageSize</v>
      </c>
    </row>
    <row r="2741" spans="20:22" x14ac:dyDescent="0.25">
      <c r="T2741" s="7" t="str">
        <f ca="1"/>
        <v>D5</v>
      </c>
      <c r="U2741" s="7" t="str">
        <f ca="1"/>
        <v>0xD0B7</v>
      </c>
      <c r="V2741" s="7" t="str">
        <f ca="1"/>
        <v>FlickerReductionSetting</v>
      </c>
    </row>
    <row r="2742" spans="20:22" x14ac:dyDescent="0.25">
      <c r="T2742" s="7" t="str">
        <f ca="1"/>
        <v>D5</v>
      </c>
      <c r="U2742" s="7" t="str">
        <f ca="1"/>
        <v>0xD0C0</v>
      </c>
      <c r="V2742" s="7" t="str">
        <f ca="1"/>
        <v>EnableBracketing</v>
      </c>
    </row>
    <row r="2743" spans="20:22" x14ac:dyDescent="0.25">
      <c r="T2743" s="7" t="str">
        <f ca="1"/>
        <v>D5</v>
      </c>
      <c r="U2743" s="7" t="str">
        <f ca="1"/>
        <v>0xD0C1</v>
      </c>
      <c r="V2743" s="7" t="str">
        <f ca="1"/>
        <v>AEBracketingStep</v>
      </c>
    </row>
    <row r="2744" spans="20:22" x14ac:dyDescent="0.25">
      <c r="T2744" s="7" t="str">
        <f ca="1"/>
        <v>D5</v>
      </c>
      <c r="U2744" s="7" t="str">
        <f ca="1"/>
        <v>0xD0C2</v>
      </c>
      <c r="V2744" s="7" t="str">
        <f ca="1"/>
        <v>AEBracketingPattern</v>
      </c>
    </row>
    <row r="2745" spans="20:22" x14ac:dyDescent="0.25">
      <c r="T2745" s="7" t="str">
        <f ca="1"/>
        <v>D5</v>
      </c>
      <c r="U2745" s="7" t="str">
        <f ca="1"/>
        <v>0xD0C3</v>
      </c>
      <c r="V2745" s="7" t="str">
        <f ca="1"/>
        <v>AEBracketingCount</v>
      </c>
    </row>
    <row r="2746" spans="20:22" x14ac:dyDescent="0.25">
      <c r="T2746" s="7" t="str">
        <f ca="1"/>
        <v>D5</v>
      </c>
      <c r="U2746" s="7" t="str">
        <f ca="1"/>
        <v>0xD0C4</v>
      </c>
      <c r="V2746" s="7" t="str">
        <f ca="1"/>
        <v>WBBracketingStep</v>
      </c>
    </row>
    <row r="2747" spans="20:22" x14ac:dyDescent="0.25">
      <c r="T2747" s="7" t="str">
        <f ca="1"/>
        <v>D5</v>
      </c>
      <c r="U2747" s="7" t="str">
        <f ca="1"/>
        <v>0xD0C5</v>
      </c>
      <c r="V2747" s="7" t="str">
        <f ca="1"/>
        <v>WBBracketingPattern</v>
      </c>
    </row>
    <row r="2748" spans="20:22" x14ac:dyDescent="0.25">
      <c r="T2748" s="7" t="str">
        <f ca="1"/>
        <v>D5</v>
      </c>
      <c r="U2748" s="7" t="str">
        <f ca="1"/>
        <v>0xD0C6</v>
      </c>
      <c r="V2748" s="7" t="str">
        <f ca="1"/>
        <v>ADLBracketingPattern</v>
      </c>
    </row>
    <row r="2749" spans="20:22" x14ac:dyDescent="0.25">
      <c r="T2749" s="7" t="str">
        <f ca="1"/>
        <v>D5</v>
      </c>
      <c r="U2749" s="7" t="str">
        <f ca="1"/>
        <v>0xD0C7</v>
      </c>
      <c r="V2749" s="7" t="str">
        <f ca="1"/>
        <v>ADLBracketingStep</v>
      </c>
    </row>
    <row r="2750" spans="20:22" x14ac:dyDescent="0.25">
      <c r="T2750" s="7" t="str">
        <f ca="1"/>
        <v>D5</v>
      </c>
      <c r="U2750" s="7" t="str">
        <f ca="1"/>
        <v>0xD0E0</v>
      </c>
      <c r="V2750" s="7" t="str">
        <f ca="1"/>
        <v>LensID</v>
      </c>
    </row>
    <row r="2751" spans="20:22" x14ac:dyDescent="0.25">
      <c r="T2751" s="7" t="str">
        <f ca="1"/>
        <v>D5</v>
      </c>
      <c r="U2751" s="7" t="str">
        <f ca="1"/>
        <v>0xD0E1</v>
      </c>
      <c r="V2751" s="7" t="str">
        <f ca="1"/>
        <v>LensSort</v>
      </c>
    </row>
    <row r="2752" spans="20:22" x14ac:dyDescent="0.25">
      <c r="T2752" s="7" t="str">
        <f ca="1"/>
        <v>D5</v>
      </c>
      <c r="U2752" s="7" t="str">
        <f ca="1"/>
        <v>0xD0E2</v>
      </c>
      <c r="V2752" s="7" t="str">
        <f ca="1"/>
        <v>LensType</v>
      </c>
    </row>
    <row r="2753" spans="20:22" x14ac:dyDescent="0.25">
      <c r="T2753" s="7" t="str">
        <f ca="1"/>
        <v>D5</v>
      </c>
      <c r="U2753" s="7" t="str">
        <f ca="1"/>
        <v>0xD0E3</v>
      </c>
      <c r="V2753" s="7" t="str">
        <f ca="1"/>
        <v>LensFocalMin</v>
      </c>
    </row>
    <row r="2754" spans="20:22" x14ac:dyDescent="0.25">
      <c r="T2754" s="7" t="str">
        <f ca="1"/>
        <v>D5</v>
      </c>
      <c r="U2754" s="7" t="str">
        <f ca="1"/>
        <v>0xD0E4</v>
      </c>
      <c r="V2754" s="7" t="str">
        <f ca="1"/>
        <v>LensFocalMax</v>
      </c>
    </row>
    <row r="2755" spans="20:22" x14ac:dyDescent="0.25">
      <c r="T2755" s="7" t="str">
        <f ca="1"/>
        <v>D5</v>
      </c>
      <c r="U2755" s="7" t="str">
        <f ca="1"/>
        <v>0xD0E5</v>
      </c>
      <c r="V2755" s="7" t="str">
        <f ca="1"/>
        <v>LensApatureMin</v>
      </c>
    </row>
    <row r="2756" spans="20:22" x14ac:dyDescent="0.25">
      <c r="T2756" s="7" t="str">
        <f ca="1"/>
        <v>D5</v>
      </c>
      <c r="U2756" s="7" t="str">
        <f ca="1"/>
        <v>0xD0E6</v>
      </c>
      <c r="V2756" s="7" t="str">
        <f ca="1"/>
        <v>LensApatureMax</v>
      </c>
    </row>
    <row r="2757" spans="20:22" x14ac:dyDescent="0.25">
      <c r="T2757" s="7" t="str">
        <f ca="1"/>
        <v>D5</v>
      </c>
      <c r="U2757" s="7" t="str">
        <f ca="1"/>
        <v>0xD0F1</v>
      </c>
      <c r="V2757" s="7" t="str">
        <f ca="1"/>
        <v>QuietReleaseMode</v>
      </c>
    </row>
    <row r="2758" spans="20:22" x14ac:dyDescent="0.25">
      <c r="T2758" s="7" t="str">
        <f ca="1"/>
        <v>D5</v>
      </c>
      <c r="U2758" s="7" t="str">
        <f ca="1"/>
        <v>0xD0F6</v>
      </c>
      <c r="V2758" s="7" t="str">
        <f ca="1"/>
        <v>CustomStillCaptureMode</v>
      </c>
    </row>
    <row r="2759" spans="20:22" x14ac:dyDescent="0.25">
      <c r="T2759" s="7" t="str">
        <f ca="1"/>
        <v>D5</v>
      </c>
      <c r="U2759" s="7" t="str">
        <f ca="1"/>
        <v>0xD0F7</v>
      </c>
      <c r="V2759" s="7" t="str">
        <f ca="1"/>
        <v>VignetteControl</v>
      </c>
    </row>
    <row r="2760" spans="20:22" x14ac:dyDescent="0.25">
      <c r="T2760" s="7" t="str">
        <f ca="1"/>
        <v>D5</v>
      </c>
      <c r="U2760" s="7" t="str">
        <f ca="1"/>
        <v>0xD0F8</v>
      </c>
      <c r="V2760" s="7" t="str">
        <f ca="1"/>
        <v>AutoDistortion</v>
      </c>
    </row>
    <row r="2761" spans="20:22" x14ac:dyDescent="0.25">
      <c r="T2761" s="7" t="str">
        <f ca="1"/>
        <v>D5</v>
      </c>
      <c r="U2761" s="7" t="str">
        <f ca="1"/>
        <v>0xD100</v>
      </c>
      <c r="V2761" s="7" t="str">
        <f ca="1"/>
        <v>ShutterSpeed</v>
      </c>
    </row>
    <row r="2762" spans="20:22" x14ac:dyDescent="0.25">
      <c r="T2762" s="7" t="str">
        <f ca="1"/>
        <v>D5</v>
      </c>
      <c r="U2762" s="7" t="str">
        <f ca="1"/>
        <v>0xD101</v>
      </c>
      <c r="V2762" s="7" t="str">
        <f ca="1"/>
        <v>ExternalDC</v>
      </c>
    </row>
    <row r="2763" spans="20:22" x14ac:dyDescent="0.25">
      <c r="T2763" s="7" t="str">
        <f ca="1"/>
        <v>D5</v>
      </c>
      <c r="U2763" s="7" t="str">
        <f ca="1"/>
        <v>0xD102</v>
      </c>
      <c r="V2763" s="7" t="str">
        <f ca="1"/>
        <v>WarningStatus</v>
      </c>
    </row>
    <row r="2764" spans="20:22" x14ac:dyDescent="0.25">
      <c r="T2764" s="7" t="str">
        <f ca="1"/>
        <v>D5</v>
      </c>
      <c r="U2764" s="7" t="str">
        <f ca="1"/>
        <v>0xD104</v>
      </c>
      <c r="V2764" s="7" t="str">
        <f ca="1"/>
        <v>AFLockStatus</v>
      </c>
    </row>
    <row r="2765" spans="20:22" x14ac:dyDescent="0.25">
      <c r="T2765" s="7" t="str">
        <f ca="1"/>
        <v>D5</v>
      </c>
      <c r="U2765" s="7" t="str">
        <f ca="1"/>
        <v>0xD105</v>
      </c>
      <c r="V2765" s="7" t="str">
        <f ca="1"/>
        <v>AELockStatus</v>
      </c>
    </row>
    <row r="2766" spans="20:22" x14ac:dyDescent="0.25">
      <c r="T2766" s="7" t="str">
        <f ca="1"/>
        <v>D5</v>
      </c>
      <c r="U2766" s="7" t="str">
        <f ca="1"/>
        <v>0xD106</v>
      </c>
      <c r="V2766" s="7" t="str">
        <f ca="1"/>
        <v>FVLockStatus</v>
      </c>
    </row>
    <row r="2767" spans="20:22" x14ac:dyDescent="0.25">
      <c r="T2767" s="7" t="str">
        <f ca="1"/>
        <v>D5</v>
      </c>
      <c r="U2767" s="7" t="str">
        <f ca="1"/>
        <v>0xD108</v>
      </c>
      <c r="V2767" s="7" t="str">
        <f ca="1"/>
        <v>FocusArea</v>
      </c>
    </row>
    <row r="2768" spans="20:22" x14ac:dyDescent="0.25">
      <c r="T2768" s="7" t="str">
        <f ca="1"/>
        <v>D5</v>
      </c>
      <c r="U2768" s="7" t="str">
        <f ca="1"/>
        <v>0xD109</v>
      </c>
      <c r="V2768" s="7" t="str">
        <f ca="1"/>
        <v>FlexibleProgram</v>
      </c>
    </row>
    <row r="2769" spans="20:22" x14ac:dyDescent="0.25">
      <c r="T2769" s="7" t="str">
        <f ca="1"/>
        <v>D5</v>
      </c>
      <c r="U2769" s="7" t="str">
        <f ca="1"/>
        <v>0xD10B</v>
      </c>
      <c r="V2769" s="7" t="str">
        <f ca="1"/>
        <v>RecordingMedia</v>
      </c>
    </row>
    <row r="2770" spans="20:22" x14ac:dyDescent="0.25">
      <c r="T2770" s="7" t="str">
        <f ca="1"/>
        <v>D5</v>
      </c>
      <c r="U2770" s="7" t="str">
        <f ca="1"/>
        <v>0xD10C</v>
      </c>
      <c r="V2770" s="7" t="str">
        <f ca="1"/>
        <v>USBSpeed</v>
      </c>
    </row>
    <row r="2771" spans="20:22" x14ac:dyDescent="0.25">
      <c r="T2771" s="7" t="str">
        <f ca="1"/>
        <v>D5</v>
      </c>
      <c r="U2771" s="7" t="str">
        <f ca="1"/>
        <v>0xD10E</v>
      </c>
      <c r="V2771" s="7" t="str">
        <f ca="1"/>
        <v>Orientation</v>
      </c>
    </row>
    <row r="2772" spans="20:22" x14ac:dyDescent="0.25">
      <c r="T2772" s="7" t="str">
        <f ca="1"/>
        <v>D5</v>
      </c>
      <c r="U2772" s="7" t="str">
        <f ca="1"/>
        <v>0xD112</v>
      </c>
      <c r="V2772" s="7" t="str">
        <f ca="1"/>
        <v>TVLockSetting</v>
      </c>
    </row>
    <row r="2773" spans="20:22" x14ac:dyDescent="0.25">
      <c r="T2773" s="7" t="str">
        <f ca="1"/>
        <v>D5</v>
      </c>
      <c r="U2773" s="7" t="str">
        <f ca="1"/>
        <v>0xD113</v>
      </c>
      <c r="V2773" s="7" t="str">
        <f ca="1"/>
        <v>AVLockSetting</v>
      </c>
    </row>
    <row r="2774" spans="20:22" x14ac:dyDescent="0.25">
      <c r="T2774" s="7" t="str">
        <f ca="1"/>
        <v>D5</v>
      </c>
      <c r="U2774" s="7" t="str">
        <f ca="1"/>
        <v>0xD118</v>
      </c>
      <c r="V2774" s="7" t="str">
        <f ca="1"/>
        <v>ExposureCompFlashUsed</v>
      </c>
    </row>
    <row r="2775" spans="20:22" x14ac:dyDescent="0.25">
      <c r="T2775" s="7" t="str">
        <f ca="1"/>
        <v>D5</v>
      </c>
      <c r="U2775" s="7" t="str">
        <f ca="1"/>
        <v>0xD120</v>
      </c>
      <c r="V2775" s="7" t="str">
        <f ca="1"/>
        <v>ExternalSpeedLightExist</v>
      </c>
    </row>
    <row r="2776" spans="20:22" x14ac:dyDescent="0.25">
      <c r="T2776" s="7" t="str">
        <f ca="1"/>
        <v>D5</v>
      </c>
      <c r="U2776" s="7" t="str">
        <f ca="1"/>
        <v>0xD121</v>
      </c>
      <c r="V2776" s="7" t="str">
        <f ca="1"/>
        <v>ExternalSpeedLightStatus</v>
      </c>
    </row>
    <row r="2777" spans="20:22" x14ac:dyDescent="0.25">
      <c r="T2777" s="7" t="str">
        <f ca="1"/>
        <v>D5</v>
      </c>
      <c r="U2777" s="7" t="str">
        <f ca="1"/>
        <v>0xD122</v>
      </c>
      <c r="V2777" s="7" t="str">
        <f ca="1"/>
        <v>ExternalSpeedLightSort</v>
      </c>
    </row>
    <row r="2778" spans="20:22" x14ac:dyDescent="0.25">
      <c r="T2778" s="7" t="str">
        <f ca="1"/>
        <v>D5</v>
      </c>
      <c r="U2778" s="7" t="str">
        <f ca="1"/>
        <v>0xD124</v>
      </c>
      <c r="V2778" s="7" t="str">
        <f ca="1"/>
        <v>FlashCompensation</v>
      </c>
    </row>
    <row r="2779" spans="20:22" x14ac:dyDescent="0.25">
      <c r="T2779" s="7" t="str">
        <f ca="1"/>
        <v>D5</v>
      </c>
      <c r="U2779" s="7" t="str">
        <f ca="1"/>
        <v>0xD125</v>
      </c>
      <c r="V2779" s="7" t="str">
        <f ca="1"/>
        <v>NewExternalSpeedLightMode</v>
      </c>
    </row>
    <row r="2780" spans="20:22" x14ac:dyDescent="0.25">
      <c r="T2780" s="7" t="str">
        <f ca="1"/>
        <v>D5</v>
      </c>
      <c r="U2780" s="7" t="str">
        <f ca="1"/>
        <v>0xD12D</v>
      </c>
      <c r="V2780" s="7" t="str">
        <f ca="1"/>
        <v>ExternalSpeedLightMultiFlashMode</v>
      </c>
    </row>
    <row r="2781" spans="20:22" x14ac:dyDescent="0.25">
      <c r="T2781" s="7" t="str">
        <f ca="1"/>
        <v>D5</v>
      </c>
      <c r="U2781" s="7" t="str">
        <f ca="1"/>
        <v>0xD130</v>
      </c>
      <c r="V2781" s="7" t="str">
        <f ca="1"/>
        <v>HDRMode</v>
      </c>
    </row>
    <row r="2782" spans="20:22" x14ac:dyDescent="0.25">
      <c r="T2782" s="7" t="str">
        <f ca="1"/>
        <v>D5</v>
      </c>
      <c r="U2782" s="7" t="str">
        <f ca="1"/>
        <v>0xD131</v>
      </c>
      <c r="V2782" s="7" t="str">
        <f ca="1"/>
        <v>HDREv</v>
      </c>
    </row>
    <row r="2783" spans="20:22" x14ac:dyDescent="0.25">
      <c r="T2783" s="7" t="str">
        <f ca="1"/>
        <v>D5</v>
      </c>
      <c r="U2783" s="7" t="str">
        <f ca="1"/>
        <v>0xD132</v>
      </c>
      <c r="V2783" s="7" t="str">
        <f ca="1"/>
        <v>HDRSmoothing</v>
      </c>
    </row>
    <row r="2784" spans="20:22" x14ac:dyDescent="0.25">
      <c r="T2784" s="7" t="str">
        <f ca="1"/>
        <v>D5</v>
      </c>
      <c r="U2784" s="7" t="str">
        <f ca="1"/>
        <v>0xD141</v>
      </c>
      <c r="V2784" s="7" t="str">
        <f ca="1"/>
        <v>WbAutoType</v>
      </c>
    </row>
    <row r="2785" spans="20:22" x14ac:dyDescent="0.25">
      <c r="T2785" s="7" t="str">
        <f ca="1"/>
        <v>D5</v>
      </c>
      <c r="U2785" s="7" t="str">
        <f ca="1"/>
        <v>0xD148</v>
      </c>
      <c r="V2785" s="7" t="str">
        <f ca="1"/>
        <v>Slot2ImageSaveMode</v>
      </c>
    </row>
    <row r="2786" spans="20:22" x14ac:dyDescent="0.25">
      <c r="T2786" s="7" t="str">
        <f ca="1"/>
        <v>D5</v>
      </c>
      <c r="U2786" s="7" t="str">
        <f ca="1"/>
        <v>0xD149</v>
      </c>
      <c r="V2786" s="7" t="str">
        <f ca="1"/>
        <v>RawCompressionBitMode</v>
      </c>
    </row>
    <row r="2787" spans="20:22" x14ac:dyDescent="0.25">
      <c r="T2787" s="7" t="str">
        <f ca="1"/>
        <v>D5</v>
      </c>
      <c r="U2787" s="7" t="str">
        <f ca="1"/>
        <v>0xD14E</v>
      </c>
      <c r="V2787" s="7" t="str">
        <f ca="1"/>
        <v>Active</v>
      </c>
    </row>
    <row r="2788" spans="20:22" x14ac:dyDescent="0.25">
      <c r="T2788" s="7" t="str">
        <f ca="1"/>
        <v>D5</v>
      </c>
      <c r="U2788" s="7" t="str">
        <f ca="1"/>
        <v>0xD14F</v>
      </c>
      <c r="V2788" s="7" t="str">
        <f ca="1"/>
        <v>WbFluorescentType</v>
      </c>
    </row>
    <row r="2789" spans="20:22" x14ac:dyDescent="0.25">
      <c r="T2789" s="7" t="str">
        <f ca="1"/>
        <v>D5</v>
      </c>
      <c r="U2789" s="7" t="str">
        <f ca="1"/>
        <v>0xD150</v>
      </c>
      <c r="V2789" s="7" t="str">
        <f ca="1"/>
        <v>WbTuneColorTemp</v>
      </c>
    </row>
    <row r="2790" spans="20:22" x14ac:dyDescent="0.25">
      <c r="T2790" s="7" t="str">
        <f ca="1"/>
        <v>D5</v>
      </c>
      <c r="U2790" s="7" t="str">
        <f ca="1"/>
        <v>0xD152</v>
      </c>
      <c r="V2790" s="7" t="str">
        <f ca="1"/>
        <v>WbTunePreset1</v>
      </c>
    </row>
    <row r="2791" spans="20:22" x14ac:dyDescent="0.25">
      <c r="T2791" s="7" t="str">
        <f ca="1"/>
        <v>D5</v>
      </c>
      <c r="U2791" s="7" t="str">
        <f ca="1"/>
        <v>0xD153</v>
      </c>
      <c r="V2791" s="7" t="str">
        <f ca="1"/>
        <v>WbTunePreset2</v>
      </c>
    </row>
    <row r="2792" spans="20:22" x14ac:dyDescent="0.25">
      <c r="T2792" s="7" t="str">
        <f ca="1"/>
        <v>D5</v>
      </c>
      <c r="U2792" s="7" t="str">
        <f ca="1"/>
        <v>0xD154</v>
      </c>
      <c r="V2792" s="7" t="str">
        <f ca="1"/>
        <v>WbTunePreset3</v>
      </c>
    </row>
    <row r="2793" spans="20:22" x14ac:dyDescent="0.25">
      <c r="T2793" s="7" t="str">
        <f ca="1"/>
        <v>D5</v>
      </c>
      <c r="U2793" s="7" t="str">
        <f ca="1"/>
        <v>0xD155</v>
      </c>
      <c r="V2793" s="7" t="str">
        <f ca="1"/>
        <v>WbTunePreset4</v>
      </c>
    </row>
    <row r="2794" spans="20:22" x14ac:dyDescent="0.25">
      <c r="T2794" s="7" t="str">
        <f ca="1"/>
        <v>D5</v>
      </c>
      <c r="U2794" s="7" t="str">
        <f ca="1"/>
        <v>0xD158</v>
      </c>
      <c r="V2794" s="7" t="str">
        <f ca="1"/>
        <v>WbPresetProtect1</v>
      </c>
    </row>
    <row r="2795" spans="20:22" x14ac:dyDescent="0.25">
      <c r="T2795" s="7" t="str">
        <f ca="1"/>
        <v>D5</v>
      </c>
      <c r="U2795" s="7" t="str">
        <f ca="1"/>
        <v>0xD159</v>
      </c>
      <c r="V2795" s="7" t="str">
        <f ca="1"/>
        <v>WbPresetProtect2</v>
      </c>
    </row>
    <row r="2796" spans="20:22" x14ac:dyDescent="0.25">
      <c r="T2796" s="7" t="str">
        <f ca="1"/>
        <v>D5</v>
      </c>
      <c r="U2796" s="7" t="str">
        <f ca="1"/>
        <v>0xD15A</v>
      </c>
      <c r="V2796" s="7" t="str">
        <f ca="1"/>
        <v>WbPresetProtect3</v>
      </c>
    </row>
    <row r="2797" spans="20:22" x14ac:dyDescent="0.25">
      <c r="T2797" s="7" t="str">
        <f ca="1"/>
        <v>D5</v>
      </c>
      <c r="U2797" s="7" t="str">
        <f ca="1"/>
        <v>0xD15B</v>
      </c>
      <c r="V2797" s="7" t="str">
        <f ca="1"/>
        <v>ActiveFolder</v>
      </c>
    </row>
    <row r="2798" spans="20:22" x14ac:dyDescent="0.25">
      <c r="T2798" s="7" t="str">
        <f ca="1"/>
        <v>D5</v>
      </c>
      <c r="U2798" s="7" t="str">
        <f ca="1"/>
        <v>0xD15C</v>
      </c>
      <c r="V2798" s="7" t="str">
        <f ca="1"/>
        <v>WbPresetProtect4</v>
      </c>
    </row>
    <row r="2799" spans="20:22" x14ac:dyDescent="0.25">
      <c r="T2799" s="7" t="str">
        <f ca="1"/>
        <v>D5</v>
      </c>
      <c r="U2799" s="7" t="str">
        <f ca="1"/>
        <v>0xD15D</v>
      </c>
      <c r="V2799" s="7" t="str">
        <f ca="1"/>
        <v>WhiteBalanceReset</v>
      </c>
    </row>
    <row r="2800" spans="20:22" x14ac:dyDescent="0.25">
      <c r="T2800" s="7" t="str">
        <f ca="1"/>
        <v>D5</v>
      </c>
      <c r="U2800" s="7" t="str">
        <f ca="1"/>
        <v>0xD161</v>
      </c>
      <c r="V2800" s="7" t="str">
        <f ca="1"/>
        <v>AFModeSelect</v>
      </c>
    </row>
    <row r="2801" spans="20:22" x14ac:dyDescent="0.25">
      <c r="T2801" s="7" t="str">
        <f ca="1"/>
        <v>D5</v>
      </c>
      <c r="U2801" s="7" t="str">
        <f ca="1"/>
        <v>0xD164</v>
      </c>
      <c r="V2801" s="7" t="str">
        <f ca="1"/>
        <v>ISOAutoShutterTime</v>
      </c>
    </row>
    <row r="2802" spans="20:22" x14ac:dyDescent="0.25">
      <c r="T2802" s="7" t="str">
        <f ca="1"/>
        <v>D5</v>
      </c>
      <c r="U2802" s="7" t="str">
        <f ca="1"/>
        <v>0xD176</v>
      </c>
      <c r="V2802" s="7" t="str">
        <f ca="1"/>
        <v>LimitedAFAreaMode</v>
      </c>
    </row>
    <row r="2803" spans="20:22" x14ac:dyDescent="0.25">
      <c r="T2803" s="7" t="str">
        <f ca="1"/>
        <v>D5</v>
      </c>
      <c r="U2803" s="7" t="str">
        <f ca="1"/>
        <v>0xD177</v>
      </c>
      <c r="V2803" s="7" t="str">
        <f ca="1"/>
        <v>AFModeRestrictions</v>
      </c>
    </row>
    <row r="2804" spans="20:22" x14ac:dyDescent="0.25">
      <c r="T2804" s="7" t="str">
        <f ca="1"/>
        <v>D5</v>
      </c>
      <c r="U2804" s="7" t="str">
        <f ca="1"/>
        <v>0xD178</v>
      </c>
      <c r="V2804" s="7" t="str">
        <f ca="1"/>
        <v>LimitStillCaptureMode</v>
      </c>
    </row>
    <row r="2805" spans="20:22" x14ac:dyDescent="0.25">
      <c r="T2805" s="7" t="str">
        <f ca="1"/>
        <v>D5</v>
      </c>
      <c r="U2805" s="7" t="str">
        <f ca="1"/>
        <v>0xD183</v>
      </c>
      <c r="V2805" s="7" t="str">
        <f ca="1"/>
        <v>ISOAutoHighLimit</v>
      </c>
    </row>
    <row r="2806" spans="20:22" x14ac:dyDescent="0.25">
      <c r="T2806" s="7" t="str">
        <f ca="1"/>
        <v>D5</v>
      </c>
      <c r="U2806" s="7" t="str">
        <f ca="1"/>
        <v>0xD186</v>
      </c>
      <c r="V2806" s="7" t="str">
        <f ca="1"/>
        <v>CSpeedHigh</v>
      </c>
    </row>
    <row r="2807" spans="20:22" x14ac:dyDescent="0.25">
      <c r="T2807" s="7" t="str">
        <f ca="1"/>
        <v>D5</v>
      </c>
      <c r="U2807" s="7" t="str">
        <f ca="1"/>
        <v>0xD197</v>
      </c>
      <c r="V2807" s="7" t="str">
        <f ca="1"/>
        <v>MovieReleaseButton</v>
      </c>
    </row>
    <row r="2808" spans="20:22" x14ac:dyDescent="0.25">
      <c r="T2808" s="7" t="str">
        <f ca="1"/>
        <v>D5</v>
      </c>
      <c r="U2808" s="7" t="str">
        <f ca="1"/>
        <v>0xD199</v>
      </c>
      <c r="V2808" s="7" t="str">
        <f ca="1"/>
        <v>FlashISOAutoHighLimit</v>
      </c>
    </row>
    <row r="2809" spans="20:22" x14ac:dyDescent="0.25">
      <c r="T2809" s="7" t="str">
        <f ca="1"/>
        <v>D5</v>
      </c>
      <c r="U2809" s="7" t="str">
        <f ca="1"/>
        <v>0xD1A2</v>
      </c>
      <c r="V2809" s="7" t="str">
        <f ca="1"/>
        <v>LiveViewStatus</v>
      </c>
    </row>
    <row r="2810" spans="20:22" x14ac:dyDescent="0.25">
      <c r="T2810" s="7" t="str">
        <f ca="1"/>
        <v>D5</v>
      </c>
      <c r="U2810" s="7" t="str">
        <f ca="1"/>
        <v>0xD1A3</v>
      </c>
      <c r="V2810" s="7" t="str">
        <f ca="1"/>
        <v>LiveViewImageZoomRatio</v>
      </c>
    </row>
    <row r="2811" spans="20:22" x14ac:dyDescent="0.25">
      <c r="T2811" s="7" t="str">
        <f ca="1"/>
        <v>D5</v>
      </c>
      <c r="U2811" s="7" t="str">
        <f ca="1"/>
        <v>0xD1A4</v>
      </c>
      <c r="V2811" s="7" t="str">
        <f ca="1"/>
        <v>LiveViewProhibitionCondition</v>
      </c>
    </row>
    <row r="2812" spans="20:22" x14ac:dyDescent="0.25">
      <c r="T2812" s="7" t="str">
        <f ca="1"/>
        <v>D5</v>
      </c>
      <c r="U2812" s="7" t="str">
        <f ca="1"/>
        <v>0xD1A5</v>
      </c>
      <c r="V2812" s="7" t="str">
        <f ca="1"/>
        <v>LiveViewExposurePreview</v>
      </c>
    </row>
    <row r="2813" spans="20:22" x14ac:dyDescent="0.25">
      <c r="T2813" s="7" t="str">
        <f ca="1"/>
        <v>D5</v>
      </c>
      <c r="U2813" s="7" t="str">
        <f ca="1"/>
        <v>0xD1A6</v>
      </c>
      <c r="V2813" s="7" t="str">
        <f ca="1"/>
        <v>LiveViewSelector</v>
      </c>
    </row>
    <row r="2814" spans="20:22" x14ac:dyDescent="0.25">
      <c r="T2814" s="7" t="str">
        <f ca="1"/>
        <v>D5</v>
      </c>
      <c r="U2814" s="7" t="str">
        <f ca="1"/>
        <v>0xD1A7</v>
      </c>
      <c r="V2814" s="7" t="str">
        <f ca="1"/>
        <v>LiveViewWhiteBalance</v>
      </c>
    </row>
    <row r="2815" spans="20:22" x14ac:dyDescent="0.25">
      <c r="T2815" s="7" t="str">
        <f ca="1"/>
        <v>D5</v>
      </c>
      <c r="U2815" s="7" t="str">
        <f ca="1"/>
        <v>0xD1A8</v>
      </c>
      <c r="V2815" s="7" t="str">
        <f ca="1"/>
        <v>MovieShutterSpeed</v>
      </c>
    </row>
    <row r="2816" spans="20:22" x14ac:dyDescent="0.25">
      <c r="T2816" s="7" t="str">
        <f ca="1"/>
        <v>D5</v>
      </c>
      <c r="U2816" s="7" t="str">
        <f ca="1"/>
        <v>0xD1A9</v>
      </c>
      <c r="V2816" s="7" t="str">
        <f ca="1"/>
        <v>MovieFnumber</v>
      </c>
    </row>
    <row r="2817" spans="20:22" x14ac:dyDescent="0.25">
      <c r="T2817" s="7" t="str">
        <f ca="1"/>
        <v>D5</v>
      </c>
      <c r="U2817" s="7" t="str">
        <f ca="1"/>
        <v>0xD1AA</v>
      </c>
      <c r="V2817" s="7" t="str">
        <f ca="1"/>
        <v>MovieExposureIndex</v>
      </c>
    </row>
    <row r="2818" spans="20:22" x14ac:dyDescent="0.25">
      <c r="T2818" s="7" t="str">
        <f ca="1"/>
        <v>D5</v>
      </c>
      <c r="U2818" s="7" t="str">
        <f ca="1"/>
        <v>0xD1AB</v>
      </c>
      <c r="V2818" s="7" t="str">
        <f ca="1"/>
        <v>MovieExposureBiasCompensation</v>
      </c>
    </row>
    <row r="2819" spans="20:22" x14ac:dyDescent="0.25">
      <c r="T2819" s="7" t="str">
        <f ca="1"/>
        <v>D5</v>
      </c>
      <c r="U2819" s="7" t="str">
        <f ca="1"/>
        <v>0xD1AC</v>
      </c>
      <c r="V2819" s="7" t="str">
        <f ca="1"/>
        <v>LiveViewImageSize</v>
      </c>
    </row>
    <row r="2820" spans="20:22" x14ac:dyDescent="0.25">
      <c r="T2820" s="7" t="str">
        <f ca="1"/>
        <v>D5</v>
      </c>
      <c r="U2820" s="7" t="str">
        <f ca="1"/>
        <v>0xD1AF</v>
      </c>
      <c r="V2820" s="7" t="str">
        <f ca="1"/>
        <v>MovieExposureMeteringMode</v>
      </c>
    </row>
    <row r="2821" spans="20:22" x14ac:dyDescent="0.25">
      <c r="T2821" s="7" t="str">
        <f ca="1"/>
        <v>D5</v>
      </c>
      <c r="U2821" s="7" t="str">
        <f ca="1"/>
        <v>0xD1AD</v>
      </c>
      <c r="V2821" s="7" t="str">
        <f ca="1"/>
        <v>LiveViewPhotography</v>
      </c>
    </row>
    <row r="2822" spans="20:22" x14ac:dyDescent="0.25">
      <c r="T2822" s="7" t="str">
        <f ca="1"/>
        <v>D5</v>
      </c>
      <c r="U2822" s="7" t="str">
        <f ca="1"/>
        <v>0xD1B0</v>
      </c>
      <c r="V2822" s="7" t="str">
        <f ca="1"/>
        <v>ExposureDisplayStatus</v>
      </c>
    </row>
    <row r="2823" spans="20:22" x14ac:dyDescent="0.25">
      <c r="T2823" s="7" t="str">
        <f ca="1"/>
        <v>D5</v>
      </c>
      <c r="U2823" s="7" t="str">
        <f ca="1"/>
        <v>0xD1B1</v>
      </c>
      <c r="V2823" s="7" t="str">
        <f ca="1"/>
        <v>ExposureIndicateStatus</v>
      </c>
    </row>
    <row r="2824" spans="20:22" x14ac:dyDescent="0.25">
      <c r="T2824" s="7" t="str">
        <f ca="1"/>
        <v>D5</v>
      </c>
      <c r="U2824" s="7" t="str">
        <f ca="1"/>
        <v>0xD1B2</v>
      </c>
      <c r="V2824" s="7" t="str">
        <f ca="1"/>
        <v>InfoDisplayErrorStatus</v>
      </c>
    </row>
    <row r="2825" spans="20:22" x14ac:dyDescent="0.25">
      <c r="T2825" s="7" t="str">
        <f ca="1"/>
        <v>D5</v>
      </c>
      <c r="U2825" s="7" t="str">
        <f ca="1"/>
        <v>0xD1B3</v>
      </c>
      <c r="V2825" s="7" t="str">
        <f ca="1"/>
        <v>ExposureIndicateLightup</v>
      </c>
    </row>
    <row r="2826" spans="20:22" x14ac:dyDescent="0.25">
      <c r="T2826" s="7" t="str">
        <f ca="1"/>
        <v>D5</v>
      </c>
      <c r="U2826" s="7" t="str">
        <f ca="1"/>
        <v>0xD1B4</v>
      </c>
      <c r="V2826" s="7" t="str">
        <f ca="1"/>
        <v>ContinuousShootingCount</v>
      </c>
    </row>
    <row r="2827" spans="20:22" x14ac:dyDescent="0.25">
      <c r="T2827" s="7" t="str">
        <f ca="1"/>
        <v>D5</v>
      </c>
      <c r="U2827" s="7" t="str">
        <f ca="1"/>
        <v>0xD1B7</v>
      </c>
      <c r="V2827" s="7" t="str">
        <f ca="1"/>
        <v>MovieRecFrameCount</v>
      </c>
    </row>
    <row r="2828" spans="20:22" x14ac:dyDescent="0.25">
      <c r="T2828" s="7" t="str">
        <f ca="1"/>
        <v>D5</v>
      </c>
      <c r="U2828" s="7" t="str">
        <f ca="1"/>
        <v>0xD1E2</v>
      </c>
      <c r="V2828" s="7" t="str">
        <f ca="1"/>
        <v>SBWirelessMode</v>
      </c>
    </row>
    <row r="2829" spans="20:22" x14ac:dyDescent="0.25">
      <c r="T2829" s="7" t="str">
        <f ca="1"/>
        <v>D5</v>
      </c>
      <c r="U2829" s="7" t="str">
        <f ca="1"/>
        <v>0xD1E3</v>
      </c>
      <c r="V2829" s="7" t="str">
        <f ca="1"/>
        <v>SBWirelessMultipleFlashMode</v>
      </c>
    </row>
    <row r="2830" spans="20:22" x14ac:dyDescent="0.25">
      <c r="T2830" s="7" t="str">
        <f ca="1"/>
        <v>D5</v>
      </c>
      <c r="U2830" s="7" t="str">
        <f ca="1"/>
        <v>0xD1E4</v>
      </c>
      <c r="V2830" s="7" t="str">
        <f ca="1"/>
        <v>SBUsableGroup</v>
      </c>
    </row>
    <row r="2831" spans="20:22" x14ac:dyDescent="0.25">
      <c r="T2831" s="7" t="str">
        <f ca="1"/>
        <v>D5</v>
      </c>
      <c r="U2831" s="7" t="str">
        <f ca="1"/>
        <v>0xD1E5</v>
      </c>
      <c r="V2831" s="7" t="str">
        <f ca="1"/>
        <v>WirelessCLSEntryMode</v>
      </c>
    </row>
    <row r="2832" spans="20:22" x14ac:dyDescent="0.25">
      <c r="T2832" s="7" t="str">
        <f ca="1"/>
        <v>D5</v>
      </c>
      <c r="U2832" s="7" t="str">
        <f ca="1"/>
        <v>0xD1E6</v>
      </c>
      <c r="V2832" s="7" t="str">
        <f ca="1"/>
        <v>SBPINCode</v>
      </c>
    </row>
    <row r="2833" spans="20:22" x14ac:dyDescent="0.25">
      <c r="T2833" s="7" t="str">
        <f ca="1"/>
        <v>D5</v>
      </c>
      <c r="U2833" s="7" t="str">
        <f ca="1"/>
        <v>0xD1E7</v>
      </c>
      <c r="V2833" s="7" t="str">
        <f ca="1"/>
        <v>RadioMultipleFlashChannel</v>
      </c>
    </row>
    <row r="2834" spans="20:22" x14ac:dyDescent="0.25">
      <c r="T2834" s="7" t="str">
        <f ca="1"/>
        <v>D5</v>
      </c>
      <c r="U2834" s="7" t="str">
        <f ca="1"/>
        <v>0xD1E8</v>
      </c>
      <c r="V2834" s="7" t="str">
        <f ca="1"/>
        <v>OpticalMultipleFlashChannel</v>
      </c>
    </row>
    <row r="2835" spans="20:22" x14ac:dyDescent="0.25">
      <c r="T2835" s="7" t="str">
        <f ca="1"/>
        <v>D5</v>
      </c>
      <c r="U2835" s="7" t="str">
        <f ca="1"/>
        <v>0xD1E9</v>
      </c>
      <c r="V2835" s="7" t="str">
        <f ca="1"/>
        <v>FlashRangeDisplay</v>
      </c>
    </row>
    <row r="2836" spans="20:22" x14ac:dyDescent="0.25">
      <c r="T2836" s="7" t="str">
        <f ca="1"/>
        <v>D5</v>
      </c>
      <c r="U2836" s="7" t="str">
        <f ca="1"/>
        <v>0xD1EA</v>
      </c>
      <c r="V2836" s="7" t="str">
        <f ca="1"/>
        <v>AllTestFiringDisable</v>
      </c>
    </row>
    <row r="2837" spans="20:22" x14ac:dyDescent="0.25">
      <c r="T2837" s="7" t="str">
        <f ca="1"/>
        <v>D5</v>
      </c>
      <c r="U2837" s="7" t="str">
        <f ca="1"/>
        <v>0xD1EC</v>
      </c>
      <c r="V2837" s="7" t="str">
        <f ca="1"/>
        <v>SBSettingMemberLock</v>
      </c>
    </row>
    <row r="2838" spans="20:22" x14ac:dyDescent="0.25">
      <c r="T2838" s="7" t="str">
        <f ca="1"/>
        <v>D5</v>
      </c>
      <c r="U2838" s="7" t="str">
        <f ca="1"/>
        <v>0xD1ED</v>
      </c>
      <c r="V2838" s="7" t="str">
        <f ca="1"/>
        <v>SBIntegrationFlashReady</v>
      </c>
    </row>
    <row r="2839" spans="20:22" x14ac:dyDescent="0.25">
      <c r="T2839" s="7" t="str">
        <f ca="1"/>
        <v>D5</v>
      </c>
      <c r="U2839" s="7" t="str">
        <f ca="1"/>
        <v>0xD1F0</v>
      </c>
      <c r="V2839" s="7" t="str">
        <f ca="1"/>
        <v>ApplicationMode</v>
      </c>
    </row>
    <row r="2840" spans="20:22" x14ac:dyDescent="0.25">
      <c r="T2840" s="7" t="str">
        <f ca="1"/>
        <v>D5</v>
      </c>
      <c r="U2840" s="7" t="str">
        <f ca="1"/>
        <v>0xD1F1</v>
      </c>
      <c r="V2840" s="7" t="str">
        <f ca="1"/>
        <v>ExposureRemaining</v>
      </c>
    </row>
    <row r="2841" spans="20:22" x14ac:dyDescent="0.25">
      <c r="T2841" s="7" t="str">
        <f ca="1"/>
        <v>D5</v>
      </c>
      <c r="U2841" s="7" t="str">
        <f ca="1"/>
        <v>0xD1F2</v>
      </c>
      <c r="V2841" s="7" t="str">
        <f ca="1"/>
        <v>ActiveSlot</v>
      </c>
    </row>
    <row r="2842" spans="20:22" x14ac:dyDescent="0.25">
      <c r="T2842" s="7" t="str">
        <f ca="1"/>
        <v>D5</v>
      </c>
      <c r="U2842" s="7" t="str">
        <f ca="1"/>
        <v>0xD1F4</v>
      </c>
      <c r="V2842" s="7" t="str">
        <f ca="1"/>
        <v>ISOAutoShutterTimeCorrectionValue</v>
      </c>
    </row>
    <row r="2843" spans="20:22" x14ac:dyDescent="0.25">
      <c r="T2843" s="7" t="str">
        <f ca="1"/>
        <v>D5</v>
      </c>
      <c r="U2843" s="7" t="str">
        <f ca="1"/>
        <v>0xD1F6</v>
      </c>
      <c r="V2843" s="7" t="str">
        <f ca="1"/>
        <v>MirrorUpStatus</v>
      </c>
    </row>
    <row r="2844" spans="20:22" x14ac:dyDescent="0.25">
      <c r="T2844" s="7" t="str">
        <f ca="1"/>
        <v>D5</v>
      </c>
      <c r="U2844" s="7" t="str">
        <f ca="1"/>
        <v>0xD1F7</v>
      </c>
      <c r="V2844" s="7" t="str">
        <f ca="1"/>
        <v>MirrorUpReleaseShootingCount</v>
      </c>
    </row>
    <row r="2845" spans="20:22" x14ac:dyDescent="0.25">
      <c r="T2845" s="7" t="str">
        <f ca="1"/>
        <v>D5</v>
      </c>
      <c r="U2845" s="7" t="str">
        <f ca="1"/>
        <v>0xD200</v>
      </c>
      <c r="V2845" s="7" t="str">
        <f ca="1"/>
        <v>ActivePicCtrlItem</v>
      </c>
    </row>
    <row r="2846" spans="20:22" x14ac:dyDescent="0.25">
      <c r="T2846" s="7" t="str">
        <f ca="1"/>
        <v>D5</v>
      </c>
      <c r="U2846" s="7" t="str">
        <f ca="1"/>
        <v>0xD201</v>
      </c>
      <c r="V2846" s="7" t="str">
        <f ca="1"/>
        <v>ChangePicCtrlItem</v>
      </c>
    </row>
    <row r="2847" spans="20:22" x14ac:dyDescent="0.25">
      <c r="T2847" s="7" t="str">
        <f ca="1"/>
        <v>D5</v>
      </c>
      <c r="U2847" s="7" t="str">
        <f ca="1"/>
        <v>0xD20D</v>
      </c>
      <c r="V2847" s="7" t="str">
        <f ca="1"/>
        <v>ElectronicFrontCurtainShutter</v>
      </c>
    </row>
    <row r="2848" spans="20:22" x14ac:dyDescent="0.25">
      <c r="T2848" s="7" t="str">
        <f ca="1"/>
        <v>D5</v>
      </c>
      <c r="U2848" s="7" t="str">
        <f ca="1"/>
        <v>0xD20E</v>
      </c>
      <c r="V2848" s="7" t="str">
        <f ca="1"/>
        <v>MovieResetShootingMenu</v>
      </c>
    </row>
    <row r="2849" spans="20:22" x14ac:dyDescent="0.25">
      <c r="T2849" s="7" t="str">
        <f ca="1"/>
        <v>D5</v>
      </c>
      <c r="U2849" s="7" t="str">
        <f ca="1"/>
        <v>0xD20F</v>
      </c>
      <c r="V2849" s="7" t="str">
        <f ca="1"/>
        <v>MovieCaptureAreaCrop</v>
      </c>
    </row>
    <row r="2850" spans="20:22" x14ac:dyDescent="0.25">
      <c r="T2850" s="7" t="str">
        <f ca="1"/>
        <v>D5</v>
      </c>
      <c r="U2850" s="7" t="str">
        <f ca="1"/>
        <v>0xD210</v>
      </c>
      <c r="V2850" s="7" t="str">
        <f ca="1"/>
        <v>MovieAutoDxCrop</v>
      </c>
    </row>
    <row r="2851" spans="20:22" x14ac:dyDescent="0.25">
      <c r="T2851" s="7" t="str">
        <f ca="1"/>
        <v>D5</v>
      </c>
      <c r="U2851" s="7" t="str">
        <f ca="1"/>
        <v>0xD211</v>
      </c>
      <c r="V2851" s="7" t="str">
        <f ca="1"/>
        <v>MovieWbAutoType</v>
      </c>
    </row>
    <row r="2852" spans="20:22" x14ac:dyDescent="0.25">
      <c r="T2852" s="7" t="str">
        <f ca="1"/>
        <v>D5</v>
      </c>
      <c r="U2852" s="7" t="str">
        <f ca="1"/>
        <v>0xD212</v>
      </c>
      <c r="V2852" s="7" t="str">
        <f ca="1"/>
        <v>MovieWbTuneAuto</v>
      </c>
    </row>
    <row r="2853" spans="20:22" x14ac:dyDescent="0.25">
      <c r="T2853" s="7" t="str">
        <f ca="1"/>
        <v>D5</v>
      </c>
      <c r="U2853" s="7" t="str">
        <f ca="1"/>
        <v>0xD213</v>
      </c>
      <c r="V2853" s="7" t="str">
        <f ca="1"/>
        <v>MovieWbTuneIncandescent</v>
      </c>
    </row>
    <row r="2854" spans="20:22" x14ac:dyDescent="0.25">
      <c r="T2854" s="7" t="str">
        <f ca="1"/>
        <v>D5</v>
      </c>
      <c r="U2854" s="7" t="str">
        <f ca="1"/>
        <v>0xD214</v>
      </c>
      <c r="V2854" s="7" t="str">
        <f ca="1"/>
        <v>MovieWbFluorescentType</v>
      </c>
    </row>
    <row r="2855" spans="20:22" x14ac:dyDescent="0.25">
      <c r="T2855" s="7" t="str">
        <f ca="1"/>
        <v>D5</v>
      </c>
      <c r="U2855" s="7" t="str">
        <f ca="1"/>
        <v>0xD215</v>
      </c>
      <c r="V2855" s="7" t="str">
        <f ca="1"/>
        <v>MovieWbTuneFluorescent</v>
      </c>
    </row>
    <row r="2856" spans="20:22" x14ac:dyDescent="0.25">
      <c r="T2856" s="7" t="str">
        <f ca="1"/>
        <v>D5</v>
      </c>
      <c r="U2856" s="7" t="str">
        <f ca="1"/>
        <v>0xD216</v>
      </c>
      <c r="V2856" s="7" t="str">
        <f ca="1"/>
        <v>MovieWbTuneSunny</v>
      </c>
    </row>
    <row r="2857" spans="20:22" x14ac:dyDescent="0.25">
      <c r="T2857" s="7" t="str">
        <f ca="1"/>
        <v>D5</v>
      </c>
      <c r="U2857" s="7" t="str">
        <f ca="1"/>
        <v>0xD218</v>
      </c>
      <c r="V2857" s="7" t="str">
        <f ca="1"/>
        <v>MovieWbTuneCloudy</v>
      </c>
    </row>
    <row r="2858" spans="20:22" x14ac:dyDescent="0.25">
      <c r="T2858" s="7" t="str">
        <f ca="1"/>
        <v>D5</v>
      </c>
      <c r="U2858" s="7" t="str">
        <f ca="1"/>
        <v>0xD219</v>
      </c>
      <c r="V2858" s="7" t="str">
        <f ca="1"/>
        <v>MovieWbTuneShade</v>
      </c>
    </row>
    <row r="2859" spans="20:22" x14ac:dyDescent="0.25">
      <c r="T2859" s="7" t="str">
        <f ca="1"/>
        <v>D5</v>
      </c>
      <c r="U2859" s="7" t="str">
        <f ca="1"/>
        <v>0xD21A</v>
      </c>
      <c r="V2859" s="7" t="str">
        <f ca="1"/>
        <v>MovieWbColorTemp</v>
      </c>
    </row>
    <row r="2860" spans="20:22" x14ac:dyDescent="0.25">
      <c r="T2860" s="7" t="str">
        <f ca="1"/>
        <v>D5</v>
      </c>
      <c r="U2860" s="7" t="str">
        <f ca="1"/>
        <v>0xD21B</v>
      </c>
      <c r="V2860" s="7" t="str">
        <f ca="1"/>
        <v>MovieWbTuneColorTemp</v>
      </c>
    </row>
    <row r="2861" spans="20:22" x14ac:dyDescent="0.25">
      <c r="T2861" s="7" t="str">
        <f ca="1"/>
        <v>D5</v>
      </c>
      <c r="U2861" s="7" t="str">
        <f ca="1"/>
        <v>0xD21C</v>
      </c>
      <c r="V2861" s="7" t="str">
        <f ca="1"/>
        <v>MovieWbPresetDataNo</v>
      </c>
    </row>
    <row r="2862" spans="20:22" x14ac:dyDescent="0.25">
      <c r="T2862" s="7" t="str">
        <f ca="1"/>
        <v>D5</v>
      </c>
      <c r="U2862" s="7" t="str">
        <f ca="1"/>
        <v>0xD21D</v>
      </c>
      <c r="V2862" s="7" t="str">
        <f ca="1"/>
        <v>MovieWbPresetDataComment1</v>
      </c>
    </row>
    <row r="2863" spans="20:22" x14ac:dyDescent="0.25">
      <c r="T2863" s="7" t="str">
        <f ca="1"/>
        <v>D5</v>
      </c>
      <c r="U2863" s="7" t="str">
        <f ca="1"/>
        <v>0xD21E</v>
      </c>
      <c r="V2863" s="7" t="str">
        <f ca="1"/>
        <v>MovieWbPresetDataComment2</v>
      </c>
    </row>
    <row r="2864" spans="20:22" x14ac:dyDescent="0.25">
      <c r="T2864" s="7" t="str">
        <f ca="1"/>
        <v>D5</v>
      </c>
      <c r="U2864" s="7" t="str">
        <f ca="1"/>
        <v>0xD21F</v>
      </c>
      <c r="V2864" s="7" t="str">
        <f ca="1"/>
        <v>MovieWbPresetDataComment3</v>
      </c>
    </row>
    <row r="2865" spans="20:22" x14ac:dyDescent="0.25">
      <c r="T2865" s="7" t="str">
        <f ca="1"/>
        <v>D5</v>
      </c>
      <c r="U2865" s="7" t="str">
        <f ca="1"/>
        <v>0xD220</v>
      </c>
      <c r="V2865" s="7" t="str">
        <f ca="1"/>
        <v>MovieWbPresetDataComment4</v>
      </c>
    </row>
    <row r="2866" spans="20:22" x14ac:dyDescent="0.25">
      <c r="T2866" s="7" t="str">
        <f ca="1"/>
        <v>D5</v>
      </c>
      <c r="U2866" s="7" t="str">
        <f ca="1"/>
        <v>0xD221</v>
      </c>
      <c r="V2866" s="7" t="str">
        <f ca="1"/>
        <v>MovieWbPresetDataComment5</v>
      </c>
    </row>
    <row r="2867" spans="20:22" x14ac:dyDescent="0.25">
      <c r="T2867" s="7" t="str">
        <f ca="1"/>
        <v>D5</v>
      </c>
      <c r="U2867" s="7" t="str">
        <f ca="1"/>
        <v>0xD222</v>
      </c>
      <c r="V2867" s="7" t="str">
        <f ca="1"/>
        <v>MovieWbPresetDataComment6</v>
      </c>
    </row>
    <row r="2868" spans="20:22" x14ac:dyDescent="0.25">
      <c r="T2868" s="7" t="str">
        <f ca="1"/>
        <v>D5</v>
      </c>
      <c r="U2868" s="7" t="str">
        <f ca="1"/>
        <v>0xD223</v>
      </c>
      <c r="V2868" s="7" t="str">
        <f ca="1"/>
        <v>MovieWbPresetDataValue1</v>
      </c>
    </row>
    <row r="2869" spans="20:22" x14ac:dyDescent="0.25">
      <c r="T2869" s="7" t="str">
        <f ca="1"/>
        <v>D5</v>
      </c>
      <c r="U2869" s="7" t="str">
        <f ca="1"/>
        <v>0xD224</v>
      </c>
      <c r="V2869" s="7" t="str">
        <f ca="1"/>
        <v>MovieWbPresetDataValue2</v>
      </c>
    </row>
    <row r="2870" spans="20:22" x14ac:dyDescent="0.25">
      <c r="T2870" s="7" t="str">
        <f ca="1"/>
        <v>D5</v>
      </c>
      <c r="U2870" s="7" t="str">
        <f ca="1"/>
        <v>0xD225</v>
      </c>
      <c r="V2870" s="7" t="str">
        <f ca="1"/>
        <v>MovieWbPresetDataValue3</v>
      </c>
    </row>
    <row r="2871" spans="20:22" x14ac:dyDescent="0.25">
      <c r="T2871" s="7" t="str">
        <f ca="1"/>
        <v>D5</v>
      </c>
      <c r="U2871" s="7" t="str">
        <f ca="1"/>
        <v>0xD226</v>
      </c>
      <c r="V2871" s="7" t="str">
        <f ca="1"/>
        <v>MovieWbPresetDataValue4</v>
      </c>
    </row>
    <row r="2872" spans="20:22" x14ac:dyDescent="0.25">
      <c r="T2872" s="7" t="str">
        <f ca="1"/>
        <v>D5</v>
      </c>
      <c r="U2872" s="7" t="str">
        <f ca="1"/>
        <v>0xD227</v>
      </c>
      <c r="V2872" s="7" t="str">
        <f ca="1"/>
        <v>MovieWbPresetDataValue5</v>
      </c>
    </row>
    <row r="2873" spans="20:22" x14ac:dyDescent="0.25">
      <c r="T2873" s="7" t="str">
        <f ca="1"/>
        <v>D5</v>
      </c>
      <c r="U2873" s="7" t="str">
        <f ca="1"/>
        <v>0xD228</v>
      </c>
      <c r="V2873" s="7" t="str">
        <f ca="1"/>
        <v>MovieWbPresetDataValue6</v>
      </c>
    </row>
    <row r="2874" spans="20:22" x14ac:dyDescent="0.25">
      <c r="T2874" s="7" t="str">
        <f ca="1"/>
        <v>D5</v>
      </c>
      <c r="U2874" s="7" t="str">
        <f ca="1"/>
        <v>0xD229</v>
      </c>
      <c r="V2874" s="7" t="str">
        <f ca="1"/>
        <v>MovieWbTunePreset1</v>
      </c>
    </row>
    <row r="2875" spans="20:22" x14ac:dyDescent="0.25">
      <c r="T2875" s="7" t="str">
        <f ca="1"/>
        <v>D5</v>
      </c>
      <c r="U2875" s="7" t="str">
        <f ca="1"/>
        <v>0xD22A</v>
      </c>
      <c r="V2875" s="7" t="str">
        <f ca="1"/>
        <v>MovieWbTunePreset2</v>
      </c>
    </row>
    <row r="2876" spans="20:22" x14ac:dyDescent="0.25">
      <c r="T2876" s="7" t="str">
        <f ca="1"/>
        <v>D5</v>
      </c>
      <c r="U2876" s="7" t="str">
        <f ca="1"/>
        <v>0xD22B</v>
      </c>
      <c r="V2876" s="7" t="str">
        <f ca="1"/>
        <v>MovieWbTunePreset3</v>
      </c>
    </row>
    <row r="2877" spans="20:22" x14ac:dyDescent="0.25">
      <c r="T2877" s="7" t="str">
        <f ca="1"/>
        <v>D5</v>
      </c>
      <c r="U2877" s="7" t="str">
        <f ca="1"/>
        <v>0xD22C</v>
      </c>
      <c r="V2877" s="7" t="str">
        <f ca="1"/>
        <v>MovieWbTunePreset4</v>
      </c>
    </row>
    <row r="2878" spans="20:22" x14ac:dyDescent="0.25">
      <c r="T2878" s="7" t="str">
        <f ca="1"/>
        <v>D5</v>
      </c>
      <c r="U2878" s="7" t="str">
        <f ca="1"/>
        <v>0xD22D</v>
      </c>
      <c r="V2878" s="7" t="str">
        <f ca="1"/>
        <v>MovieWbTunePreset5</v>
      </c>
    </row>
    <row r="2879" spans="20:22" x14ac:dyDescent="0.25">
      <c r="T2879" s="7" t="str">
        <f ca="1"/>
        <v>D5</v>
      </c>
      <c r="U2879" s="7" t="str">
        <f ca="1"/>
        <v>0xD22E</v>
      </c>
      <c r="V2879" s="7" t="str">
        <f ca="1"/>
        <v>MovieWbTunePreset6</v>
      </c>
    </row>
    <row r="2880" spans="20:22" x14ac:dyDescent="0.25">
      <c r="T2880" s="7" t="str">
        <f ca="1"/>
        <v>D5</v>
      </c>
      <c r="U2880" s="7" t="str">
        <f ca="1"/>
        <v>0xD22F</v>
      </c>
      <c r="V2880" s="7" t="str">
        <f ca="1"/>
        <v>MovieWbPresetProtect1</v>
      </c>
    </row>
    <row r="2881" spans="20:22" x14ac:dyDescent="0.25">
      <c r="T2881" s="7" t="str">
        <f ca="1"/>
        <v>D5</v>
      </c>
      <c r="U2881" s="7" t="str">
        <f ca="1"/>
        <v>0xD230</v>
      </c>
      <c r="V2881" s="7" t="str">
        <f ca="1"/>
        <v>MovieWbPresetProtect2</v>
      </c>
    </row>
    <row r="2882" spans="20:22" x14ac:dyDescent="0.25">
      <c r="T2882" s="7" t="str">
        <f ca="1"/>
        <v>D5</v>
      </c>
      <c r="U2882" s="7" t="str">
        <f ca="1"/>
        <v>0xD231</v>
      </c>
      <c r="V2882" s="7" t="str">
        <f ca="1"/>
        <v>MovieWbPresetProtect3</v>
      </c>
    </row>
    <row r="2883" spans="20:22" x14ac:dyDescent="0.25">
      <c r="T2883" s="7" t="str">
        <f ca="1"/>
        <v>D5</v>
      </c>
      <c r="U2883" s="7" t="str">
        <f ca="1"/>
        <v>0xD232</v>
      </c>
      <c r="V2883" s="7" t="str">
        <f ca="1"/>
        <v>MovieWbPresetProtect4</v>
      </c>
    </row>
    <row r="2884" spans="20:22" x14ac:dyDescent="0.25">
      <c r="T2884" s="7" t="str">
        <f ca="1"/>
        <v>D5</v>
      </c>
      <c r="U2884" s="7" t="str">
        <f ca="1"/>
        <v>0xD233</v>
      </c>
      <c r="V2884" s="7" t="str">
        <f ca="1"/>
        <v>MovieWbPresetProtect5</v>
      </c>
    </row>
    <row r="2885" spans="20:22" x14ac:dyDescent="0.25">
      <c r="T2885" s="7" t="str">
        <f ca="1"/>
        <v>D5</v>
      </c>
      <c r="U2885" s="7" t="str">
        <f ca="1"/>
        <v>0xD234</v>
      </c>
      <c r="V2885" s="7" t="str">
        <f ca="1"/>
        <v>MovieWbPresetProtect6</v>
      </c>
    </row>
    <row r="2886" spans="20:22" x14ac:dyDescent="0.25">
      <c r="T2886" s="7" t="str">
        <f ca="1"/>
        <v>D5</v>
      </c>
      <c r="U2886" s="7" t="str">
        <f ca="1"/>
        <v>0xD235</v>
      </c>
      <c r="V2886" s="7" t="str">
        <f ca="1"/>
        <v>MovieWhiteBalanceReset</v>
      </c>
    </row>
    <row r="2887" spans="20:22" x14ac:dyDescent="0.25">
      <c r="T2887" s="7" t="str">
        <f ca="1"/>
        <v>D5</v>
      </c>
      <c r="U2887" s="7" t="str">
        <f ca="1"/>
        <v>0xD236</v>
      </c>
      <c r="V2887" s="7" t="str">
        <f ca="1"/>
        <v>MovieNoiseReductionHiIso</v>
      </c>
    </row>
    <row r="2888" spans="20:22" x14ac:dyDescent="0.25">
      <c r="T2888" s="7" t="str">
        <f ca="1"/>
        <v>D5</v>
      </c>
      <c r="U2888" s="7" t="str">
        <f ca="1"/>
        <v>0xD237</v>
      </c>
      <c r="V2888" s="7" t="str">
        <f ca="1"/>
        <v>MovieActivePicCtrlItem</v>
      </c>
    </row>
    <row r="2889" spans="20:22" x14ac:dyDescent="0.25">
      <c r="T2889" s="7" t="str">
        <f ca="1"/>
        <v>D5</v>
      </c>
      <c r="U2889" s="7" t="str">
        <f ca="1"/>
        <v>0xD238</v>
      </c>
      <c r="V2889" s="7" t="str">
        <f ca="1"/>
        <v>MovieChangePicCtrlItem</v>
      </c>
    </row>
    <row r="2890" spans="20:22" x14ac:dyDescent="0.25">
      <c r="T2890" s="7" t="str">
        <f ca="1"/>
        <v>D5</v>
      </c>
      <c r="U2890" s="7" t="str">
        <f ca="1"/>
        <v>0xD239</v>
      </c>
      <c r="V2890" s="7" t="str">
        <f ca="1"/>
        <v>ExposureBaseCompHighlight</v>
      </c>
    </row>
    <row r="2891" spans="20:22" x14ac:dyDescent="0.25">
      <c r="T2891" s="7" t="str">
        <f ca="1"/>
        <v>D5</v>
      </c>
      <c r="U2891" s="7" t="str">
        <f ca="1"/>
        <v>0xD23A</v>
      </c>
      <c r="V2891" s="7" t="str">
        <f ca="1"/>
        <v>MovieWhiteBalance</v>
      </c>
    </row>
    <row r="2892" spans="20:22" x14ac:dyDescent="0.25">
      <c r="T2892" s="7" t="str">
        <f ca="1"/>
        <v>D5</v>
      </c>
      <c r="U2892" s="7" t="str">
        <f ca="1"/>
        <v>0xD303</v>
      </c>
      <c r="V2892" s="7" t="str">
        <f ca="1"/>
        <v>UseDeviceStageFlag</v>
      </c>
    </row>
    <row r="2893" spans="20:22" x14ac:dyDescent="0.25">
      <c r="T2893" s="7" t="str">
        <f ca="1"/>
        <v>D5</v>
      </c>
      <c r="U2893" s="7" t="str">
        <f ca="1"/>
        <v>0xD314</v>
      </c>
      <c r="V2893" s="7" t="str">
        <f ca="1"/>
        <v>ElectronicVR</v>
      </c>
    </row>
    <row r="2894" spans="20:22" x14ac:dyDescent="0.25">
      <c r="T2894" s="7" t="str">
        <f ca="1"/>
        <v>D5</v>
      </c>
      <c r="U2894" s="7" t="str">
        <f ca="1"/>
        <v>0xD406</v>
      </c>
      <c r="V2894" s="7" t="str">
        <f ca="1"/>
        <v>SessionInitiatorVersionInfo</v>
      </c>
    </row>
    <row r="2895" spans="20:22" x14ac:dyDescent="0.25">
      <c r="T2895" s="7" t="str">
        <f ca="1"/>
        <v>D5</v>
      </c>
      <c r="U2895" s="7" t="str">
        <f ca="1"/>
        <v>0xD407</v>
      </c>
      <c r="V2895" s="7" t="str">
        <f ca="1"/>
        <v>PerceivedDeviceType</v>
      </c>
    </row>
    <row r="2896" spans="20:22" x14ac:dyDescent="0.25">
      <c r="T2896" s="7" t="str">
        <f ca="1"/>
        <v>D4S</v>
      </c>
      <c r="U2896" s="7" t="str">
        <f ca="1"/>
        <v>0x5001</v>
      </c>
      <c r="V2896" s="7" t="str">
        <f ca="1"/>
        <v>BatteryLevel</v>
      </c>
    </row>
    <row r="2897" spans="20:22" x14ac:dyDescent="0.25">
      <c r="T2897" s="7" t="str">
        <f ca="1"/>
        <v>D4S</v>
      </c>
      <c r="U2897" s="7" t="str">
        <f ca="1"/>
        <v>0x5003</v>
      </c>
      <c r="V2897" s="7" t="str">
        <f ca="1"/>
        <v>ImageSize</v>
      </c>
    </row>
    <row r="2898" spans="20:22" x14ac:dyDescent="0.25">
      <c r="T2898" s="7" t="str">
        <f ca="1"/>
        <v>D4S</v>
      </c>
      <c r="U2898" s="7" t="str">
        <f ca="1"/>
        <v>0x5004</v>
      </c>
      <c r="V2898" s="7" t="str">
        <f ca="1"/>
        <v>CompressionSetting</v>
      </c>
    </row>
    <row r="2899" spans="20:22" x14ac:dyDescent="0.25">
      <c r="T2899" s="7" t="str">
        <f ca="1"/>
        <v>D4S</v>
      </c>
      <c r="U2899" s="7" t="str">
        <f ca="1"/>
        <v>0x5005</v>
      </c>
      <c r="V2899" s="7" t="str">
        <f ca="1"/>
        <v>WhiteBalance</v>
      </c>
    </row>
    <row r="2900" spans="20:22" x14ac:dyDescent="0.25">
      <c r="T2900" s="7" t="str">
        <f ca="1"/>
        <v>D4S</v>
      </c>
      <c r="U2900" s="7" t="str">
        <f ca="1"/>
        <v>0x5007</v>
      </c>
      <c r="V2900" s="7" t="str">
        <f ca="1"/>
        <v>Fnumber</v>
      </c>
    </row>
    <row r="2901" spans="20:22" x14ac:dyDescent="0.25">
      <c r="T2901" s="7" t="str">
        <f ca="1"/>
        <v>D4S</v>
      </c>
      <c r="U2901" s="7" t="str">
        <f ca="1"/>
        <v>0x5008</v>
      </c>
      <c r="V2901" s="7" t="str">
        <f ca="1"/>
        <v>FocalLength</v>
      </c>
    </row>
    <row r="2902" spans="20:22" x14ac:dyDescent="0.25">
      <c r="T2902" s="7" t="str">
        <f ca="1"/>
        <v>D4S</v>
      </c>
      <c r="U2902" s="7" t="str">
        <f ca="1"/>
        <v>0x500A</v>
      </c>
      <c r="V2902" s="7" t="str">
        <f ca="1"/>
        <v>FocusMode</v>
      </c>
    </row>
    <row r="2903" spans="20:22" x14ac:dyDescent="0.25">
      <c r="T2903" s="7" t="str">
        <f ca="1"/>
        <v>D4S</v>
      </c>
      <c r="U2903" s="7" t="str">
        <f ca="1"/>
        <v>0x500B</v>
      </c>
      <c r="V2903" s="7" t="str">
        <f ca="1"/>
        <v>ExposureMeteringMode</v>
      </c>
    </row>
    <row r="2904" spans="20:22" x14ac:dyDescent="0.25">
      <c r="T2904" s="7" t="str">
        <f ca="1"/>
        <v>D4S</v>
      </c>
      <c r="U2904" s="7" t="str">
        <f ca="1"/>
        <v>0x500C</v>
      </c>
      <c r="V2904" s="7" t="str">
        <f ca="1"/>
        <v>FlashMode</v>
      </c>
    </row>
    <row r="2905" spans="20:22" x14ac:dyDescent="0.25">
      <c r="T2905" s="7" t="str">
        <f ca="1"/>
        <v>D4S</v>
      </c>
      <c r="U2905" s="7" t="str">
        <f ca="1"/>
        <v>0x500D</v>
      </c>
      <c r="V2905" s="7" t="str">
        <f ca="1"/>
        <v>ExposureTime</v>
      </c>
    </row>
    <row r="2906" spans="20:22" x14ac:dyDescent="0.25">
      <c r="T2906" s="7" t="str">
        <f ca="1"/>
        <v>D4S</v>
      </c>
      <c r="U2906" s="7" t="str">
        <f ca="1"/>
        <v>0x500E</v>
      </c>
      <c r="V2906" s="7" t="str">
        <f ca="1"/>
        <v>ExposureProgramMode</v>
      </c>
    </row>
    <row r="2907" spans="20:22" x14ac:dyDescent="0.25">
      <c r="T2907" s="7" t="str">
        <f ca="1"/>
        <v>D4S</v>
      </c>
      <c r="U2907" s="7" t="str">
        <f ca="1"/>
        <v>0x500F</v>
      </c>
      <c r="V2907" s="7" t="str">
        <f ca="1"/>
        <v>ExposureIndex</v>
      </c>
    </row>
    <row r="2908" spans="20:22" x14ac:dyDescent="0.25">
      <c r="T2908" s="7" t="str">
        <f ca="1"/>
        <v>D4S</v>
      </c>
      <c r="U2908" s="7" t="str">
        <f ca="1"/>
        <v>0x5010</v>
      </c>
      <c r="V2908" s="7" t="str">
        <f ca="1"/>
        <v>ExposureBiasCompensation</v>
      </c>
    </row>
    <row r="2909" spans="20:22" x14ac:dyDescent="0.25">
      <c r="T2909" s="7" t="str">
        <f ca="1"/>
        <v>D4S</v>
      </c>
      <c r="U2909" s="7" t="str">
        <f ca="1"/>
        <v>0x5011</v>
      </c>
      <c r="V2909" s="7" t="str">
        <f ca="1"/>
        <v>DateTime</v>
      </c>
    </row>
    <row r="2910" spans="20:22" x14ac:dyDescent="0.25">
      <c r="T2910" s="7" t="str">
        <f ca="1"/>
        <v>D4S</v>
      </c>
      <c r="U2910" s="7" t="str">
        <f ca="1"/>
        <v>0x5013</v>
      </c>
      <c r="V2910" s="7" t="str">
        <f ca="1"/>
        <v>StillCaptureMode</v>
      </c>
    </row>
    <row r="2911" spans="20:22" x14ac:dyDescent="0.25">
      <c r="T2911" s="7" t="str">
        <f ca="1"/>
        <v>D4S</v>
      </c>
      <c r="U2911" s="7" t="str">
        <f ca="1"/>
        <v>0x5018</v>
      </c>
      <c r="V2911" s="7" t="str">
        <f ca="1"/>
        <v>BurstNumber</v>
      </c>
    </row>
    <row r="2912" spans="20:22" x14ac:dyDescent="0.25">
      <c r="T2912" s="7" t="str">
        <f ca="1"/>
        <v>D4S</v>
      </c>
      <c r="U2912" s="7" t="str">
        <f ca="1"/>
        <v>0x501C</v>
      </c>
      <c r="V2912" s="7" t="str">
        <f ca="1"/>
        <v>FocusMeteringMode</v>
      </c>
    </row>
    <row r="2913" spans="20:22" x14ac:dyDescent="0.25">
      <c r="T2913" s="7" t="str">
        <f ca="1"/>
        <v>D4S</v>
      </c>
      <c r="U2913" s="7" t="str">
        <f ca="1"/>
        <v>0x501E</v>
      </c>
      <c r="V2913" s="7" t="str">
        <f ca="1"/>
        <v>Artist</v>
      </c>
    </row>
    <row r="2914" spans="20:22" x14ac:dyDescent="0.25">
      <c r="T2914" s="7" t="str">
        <f ca="1"/>
        <v>D4S</v>
      </c>
      <c r="U2914" s="7" t="str">
        <f ca="1"/>
        <v>0x501F</v>
      </c>
      <c r="V2914" s="7" t="str">
        <f ca="1"/>
        <v>Copyright</v>
      </c>
    </row>
    <row r="2915" spans="20:22" x14ac:dyDescent="0.25">
      <c r="T2915" s="7" t="str">
        <f ca="1"/>
        <v>D4S</v>
      </c>
      <c r="U2915" s="7" t="str">
        <f ca="1"/>
        <v>0xD010</v>
      </c>
      <c r="V2915" s="7" t="str">
        <f ca="1"/>
        <v>ShootingMenuBank</v>
      </c>
    </row>
    <row r="2916" spans="20:22" x14ac:dyDescent="0.25">
      <c r="T2916" s="7" t="str">
        <f ca="1"/>
        <v>D4S</v>
      </c>
      <c r="U2916" s="7" t="str">
        <f ca="1"/>
        <v>0xD011</v>
      </c>
      <c r="V2916" s="7" t="str">
        <f ca="1"/>
        <v>ShootingBankNameA</v>
      </c>
    </row>
    <row r="2917" spans="20:22" x14ac:dyDescent="0.25">
      <c r="T2917" s="7" t="str">
        <f ca="1"/>
        <v>D4S</v>
      </c>
      <c r="U2917" s="7" t="str">
        <f ca="1"/>
        <v>0xD012</v>
      </c>
      <c r="V2917" s="7" t="str">
        <f ca="1"/>
        <v>ShootingBankNameB</v>
      </c>
    </row>
    <row r="2918" spans="20:22" x14ac:dyDescent="0.25">
      <c r="T2918" s="7" t="str">
        <f ca="1"/>
        <v>D4S</v>
      </c>
      <c r="U2918" s="7" t="str">
        <f ca="1"/>
        <v>0xD013</v>
      </c>
      <c r="V2918" s="7" t="str">
        <f ca="1"/>
        <v>ShootingBankNameC</v>
      </c>
    </row>
    <row r="2919" spans="20:22" x14ac:dyDescent="0.25">
      <c r="T2919" s="7" t="str">
        <f ca="1"/>
        <v>D4S</v>
      </c>
      <c r="U2919" s="7" t="str">
        <f ca="1"/>
        <v>0xD014</v>
      </c>
      <c r="V2919" s="7" t="str">
        <f ca="1"/>
        <v>ShootingBankNameD</v>
      </c>
    </row>
    <row r="2920" spans="20:22" x14ac:dyDescent="0.25">
      <c r="T2920" s="7" t="str">
        <f ca="1"/>
        <v>D4S</v>
      </c>
      <c r="U2920" s="7" t="str">
        <f ca="1"/>
        <v>0xD015</v>
      </c>
      <c r="V2920" s="7" t="str">
        <f ca="1"/>
        <v>ResetShootingMenu</v>
      </c>
    </row>
    <row r="2921" spans="20:22" x14ac:dyDescent="0.25">
      <c r="T2921" s="7" t="str">
        <f ca="1"/>
        <v>D4S</v>
      </c>
      <c r="U2921" s="7" t="str">
        <f ca="1"/>
        <v>0xD016</v>
      </c>
      <c r="V2921" s="7" t="str">
        <f ca="1"/>
        <v>RawCompressionType</v>
      </c>
    </row>
    <row r="2922" spans="20:22" x14ac:dyDescent="0.25">
      <c r="T2922" s="7" t="str">
        <f ca="1"/>
        <v>D4S</v>
      </c>
      <c r="U2922" s="7" t="str">
        <f ca="1"/>
        <v>0xD017</v>
      </c>
      <c r="V2922" s="7" t="str">
        <f ca="1"/>
        <v>WbTuneAuto</v>
      </c>
    </row>
    <row r="2923" spans="20:22" x14ac:dyDescent="0.25">
      <c r="T2923" s="7" t="str">
        <f ca="1"/>
        <v>D4S</v>
      </c>
      <c r="U2923" s="7" t="str">
        <f ca="1"/>
        <v>0xD018</v>
      </c>
      <c r="V2923" s="7" t="str">
        <f ca="1"/>
        <v>WbTuneIncandescent</v>
      </c>
    </row>
    <row r="2924" spans="20:22" x14ac:dyDescent="0.25">
      <c r="T2924" s="7" t="str">
        <f ca="1"/>
        <v>D4S</v>
      </c>
      <c r="U2924" s="7" t="str">
        <f ca="1"/>
        <v>0xD019</v>
      </c>
      <c r="V2924" s="7" t="str">
        <f ca="1"/>
        <v>WbTuneFluorescent</v>
      </c>
    </row>
    <row r="2925" spans="20:22" x14ac:dyDescent="0.25">
      <c r="T2925" s="7" t="str">
        <f ca="1"/>
        <v>D4S</v>
      </c>
      <c r="U2925" s="7" t="str">
        <f ca="1"/>
        <v>0xD01A</v>
      </c>
      <c r="V2925" s="7" t="str">
        <f ca="1"/>
        <v>WbTuneSunny</v>
      </c>
    </row>
    <row r="2926" spans="20:22" x14ac:dyDescent="0.25">
      <c r="T2926" s="7" t="str">
        <f ca="1"/>
        <v>D4S</v>
      </c>
      <c r="U2926" s="7" t="str">
        <f ca="1"/>
        <v>0xD01B</v>
      </c>
      <c r="V2926" s="7" t="str">
        <f ca="1"/>
        <v>WbTuneFlash</v>
      </c>
    </row>
    <row r="2927" spans="20:22" x14ac:dyDescent="0.25">
      <c r="T2927" s="7" t="str">
        <f ca="1"/>
        <v>D4S</v>
      </c>
      <c r="U2927" s="7" t="str">
        <f ca="1"/>
        <v>0xD01C</v>
      </c>
      <c r="V2927" s="7" t="str">
        <f ca="1"/>
        <v>WbTuneCloudy</v>
      </c>
    </row>
    <row r="2928" spans="20:22" x14ac:dyDescent="0.25">
      <c r="T2928" s="7" t="str">
        <f ca="1"/>
        <v>D4S</v>
      </c>
      <c r="U2928" s="7" t="str">
        <f ca="1"/>
        <v>0xD01D</v>
      </c>
      <c r="V2928" s="7" t="str">
        <f ca="1"/>
        <v>WbTuneShade</v>
      </c>
    </row>
    <row r="2929" spans="20:22" x14ac:dyDescent="0.25">
      <c r="T2929" s="7" t="str">
        <f ca="1"/>
        <v>D4S</v>
      </c>
      <c r="U2929" s="7" t="str">
        <f ca="1"/>
        <v>0xD01E</v>
      </c>
      <c r="V2929" s="7" t="str">
        <f ca="1"/>
        <v>WbColorTemp</v>
      </c>
    </row>
    <row r="2930" spans="20:22" x14ac:dyDescent="0.25">
      <c r="T2930" s="7" t="str">
        <f ca="1"/>
        <v>D4S</v>
      </c>
      <c r="U2930" s="7" t="str">
        <f ca="1"/>
        <v>0xD01F</v>
      </c>
      <c r="V2930" s="7" t="str">
        <f ca="1"/>
        <v>WbPresetDataNo</v>
      </c>
    </row>
    <row r="2931" spans="20:22" x14ac:dyDescent="0.25">
      <c r="T2931" s="7" t="str">
        <f ca="1"/>
        <v>D4S</v>
      </c>
      <c r="U2931" s="7" t="str">
        <f ca="1"/>
        <v>0xD021</v>
      </c>
      <c r="V2931" s="7" t="str">
        <f ca="1"/>
        <v>WbPresetDataComment1</v>
      </c>
    </row>
    <row r="2932" spans="20:22" x14ac:dyDescent="0.25">
      <c r="T2932" s="7" t="str">
        <f ca="1"/>
        <v>D4S</v>
      </c>
      <c r="U2932" s="7" t="str">
        <f ca="1"/>
        <v>0xD022</v>
      </c>
      <c r="V2932" s="7" t="str">
        <f ca="1"/>
        <v>WbPresetDataComment2</v>
      </c>
    </row>
    <row r="2933" spans="20:22" x14ac:dyDescent="0.25">
      <c r="T2933" s="7" t="str">
        <f ca="1"/>
        <v>D4S</v>
      </c>
      <c r="U2933" s="7" t="str">
        <f ca="1"/>
        <v>0xD023</v>
      </c>
      <c r="V2933" s="7" t="str">
        <f ca="1"/>
        <v>WbPresetDataComment3</v>
      </c>
    </row>
    <row r="2934" spans="20:22" x14ac:dyDescent="0.25">
      <c r="T2934" s="7" t="str">
        <f ca="1"/>
        <v>D4S</v>
      </c>
      <c r="U2934" s="7" t="str">
        <f ca="1"/>
        <v>0xD024</v>
      </c>
      <c r="V2934" s="7" t="str">
        <f ca="1"/>
        <v>WbPresetDataComment4</v>
      </c>
    </row>
    <row r="2935" spans="20:22" x14ac:dyDescent="0.25">
      <c r="T2935" s="7" t="str">
        <f ca="1"/>
        <v>D4S</v>
      </c>
      <c r="U2935" s="7" t="str">
        <f ca="1"/>
        <v>0xD026</v>
      </c>
      <c r="V2935" s="7" t="str">
        <f ca="1"/>
        <v>WbPresetDataValue1</v>
      </c>
    </row>
    <row r="2936" spans="20:22" x14ac:dyDescent="0.25">
      <c r="T2936" s="7" t="str">
        <f ca="1"/>
        <v>D4S</v>
      </c>
      <c r="U2936" s="7" t="str">
        <f ca="1"/>
        <v>0xD027</v>
      </c>
      <c r="V2936" s="7" t="str">
        <f ca="1"/>
        <v>WbPresetDataValue2</v>
      </c>
    </row>
    <row r="2937" spans="20:22" x14ac:dyDescent="0.25">
      <c r="T2937" s="7" t="str">
        <f ca="1"/>
        <v>D4S</v>
      </c>
      <c r="U2937" s="7" t="str">
        <f ca="1"/>
        <v>0xD028</v>
      </c>
      <c r="V2937" s="7" t="str">
        <f ca="1"/>
        <v>WbPresetDataValue3</v>
      </c>
    </row>
    <row r="2938" spans="20:22" x14ac:dyDescent="0.25">
      <c r="T2938" s="7" t="str">
        <f ca="1"/>
        <v>D4S</v>
      </c>
      <c r="U2938" s="7" t="str">
        <f ca="1"/>
        <v>0xD029</v>
      </c>
      <c r="V2938" s="7" t="str">
        <f ca="1"/>
        <v>WbPresetDataValue4</v>
      </c>
    </row>
    <row r="2939" spans="20:22" x14ac:dyDescent="0.25">
      <c r="T2939" s="7" t="str">
        <f ca="1"/>
        <v>D4S</v>
      </c>
      <c r="U2939" s="7" t="str">
        <f ca="1"/>
        <v>0xD02E</v>
      </c>
      <c r="V2939" s="7" t="str">
        <f ca="1"/>
        <v>FmmManualSetting</v>
      </c>
    </row>
    <row r="2940" spans="20:22" x14ac:dyDescent="0.25">
      <c r="T2940" s="7" t="str">
        <f ca="1"/>
        <v>D4S</v>
      </c>
      <c r="U2940" s="7" t="str">
        <f ca="1"/>
        <v>0xD02F</v>
      </c>
      <c r="V2940" s="7" t="str">
        <f ca="1"/>
        <v>F0ManualSetting</v>
      </c>
    </row>
    <row r="2941" spans="20:22" x14ac:dyDescent="0.25">
      <c r="T2941" s="7" t="str">
        <f ca="1"/>
        <v>D4S</v>
      </c>
      <c r="U2941" s="7" t="str">
        <f ca="1"/>
        <v>0xD030</v>
      </c>
      <c r="V2941" s="7" t="str">
        <f ca="1"/>
        <v>CaptureAreaCrop</v>
      </c>
    </row>
    <row r="2942" spans="20:22" x14ac:dyDescent="0.25">
      <c r="T2942" s="7" t="str">
        <f ca="1"/>
        <v>D4S</v>
      </c>
      <c r="U2942" s="7" t="str">
        <f ca="1"/>
        <v>0xD031</v>
      </c>
      <c r="V2942" s="7" t="str">
        <f ca="1"/>
        <v>JpegCompressionPolicy</v>
      </c>
    </row>
    <row r="2943" spans="20:22" x14ac:dyDescent="0.25">
      <c r="T2943" s="7" t="str">
        <f ca="1"/>
        <v>D4S</v>
      </c>
      <c r="U2943" s="7" t="str">
        <f ca="1"/>
        <v>0xD032</v>
      </c>
      <c r="V2943" s="7" t="str">
        <f ca="1"/>
        <v>ColorSpace</v>
      </c>
    </row>
    <row r="2944" spans="20:22" x14ac:dyDescent="0.25">
      <c r="T2944" s="7" t="str">
        <f ca="1"/>
        <v>D4S</v>
      </c>
      <c r="U2944" s="7" t="str">
        <f ca="1"/>
        <v>0xD033</v>
      </c>
      <c r="V2944" s="7" t="str">
        <f ca="1"/>
        <v>AutoDxCrop</v>
      </c>
    </row>
    <row r="2945" spans="20:22" x14ac:dyDescent="0.25">
      <c r="T2945" s="7" t="str">
        <f ca="1"/>
        <v>D4S</v>
      </c>
      <c r="U2945" s="7" t="str">
        <f ca="1"/>
        <v>0xD034</v>
      </c>
      <c r="V2945" s="7" t="str">
        <f ca="1"/>
        <v>DecreaseFlicker</v>
      </c>
    </row>
    <row r="2946" spans="20:22" x14ac:dyDescent="0.25">
      <c r="T2946" s="7" t="str">
        <f ca="1"/>
        <v>D4S</v>
      </c>
      <c r="U2946" s="7" t="str">
        <f ca="1"/>
        <v>0xD038</v>
      </c>
      <c r="V2946" s="7" t="str">
        <f ca="1"/>
        <v>WbPresetDataComment5</v>
      </c>
    </row>
    <row r="2947" spans="20:22" x14ac:dyDescent="0.25">
      <c r="T2947" s="7" t="str">
        <f ca="1"/>
        <v>D4S</v>
      </c>
      <c r="U2947" s="7" t="str">
        <f ca="1"/>
        <v>0xD039</v>
      </c>
      <c r="V2947" s="7" t="str">
        <f ca="1"/>
        <v>WbPresetDataComment6</v>
      </c>
    </row>
    <row r="2948" spans="20:22" x14ac:dyDescent="0.25">
      <c r="T2948" s="7" t="str">
        <f ca="1"/>
        <v>D4S</v>
      </c>
      <c r="U2948" s="7" t="str">
        <f ca="1"/>
        <v>0xD03A</v>
      </c>
      <c r="V2948" s="7" t="str">
        <f ca="1"/>
        <v>WbTunePreset5</v>
      </c>
    </row>
    <row r="2949" spans="20:22" x14ac:dyDescent="0.25">
      <c r="T2949" s="7" t="str">
        <f ca="1"/>
        <v>D4S</v>
      </c>
      <c r="U2949" s="7" t="str">
        <f ca="1"/>
        <v>0xD03B</v>
      </c>
      <c r="V2949" s="7" t="str">
        <f ca="1"/>
        <v>WbTunePreset6</v>
      </c>
    </row>
    <row r="2950" spans="20:22" x14ac:dyDescent="0.25">
      <c r="T2950" s="7" t="str">
        <f ca="1"/>
        <v>D4S</v>
      </c>
      <c r="U2950" s="7" t="str">
        <f ca="1"/>
        <v>0xD03C</v>
      </c>
      <c r="V2950" s="7" t="str">
        <f ca="1"/>
        <v>WbPresetProtect5</v>
      </c>
    </row>
    <row r="2951" spans="20:22" x14ac:dyDescent="0.25">
      <c r="T2951" s="7" t="str">
        <f ca="1"/>
        <v>D4S</v>
      </c>
      <c r="U2951" s="7" t="str">
        <f ca="1"/>
        <v>0xD03D</v>
      </c>
      <c r="V2951" s="7" t="str">
        <f ca="1"/>
        <v>WbPresetProtect6</v>
      </c>
    </row>
    <row r="2952" spans="20:22" x14ac:dyDescent="0.25">
      <c r="T2952" s="7" t="str">
        <f ca="1"/>
        <v>D4S</v>
      </c>
      <c r="U2952" s="7" t="str">
        <f ca="1"/>
        <v>0xD03E</v>
      </c>
      <c r="V2952" s="7" t="str">
        <f ca="1"/>
        <v>WbPresetDataValue5</v>
      </c>
    </row>
    <row r="2953" spans="20:22" x14ac:dyDescent="0.25">
      <c r="T2953" s="7" t="str">
        <f ca="1"/>
        <v>D4S</v>
      </c>
      <c r="U2953" s="7" t="str">
        <f ca="1"/>
        <v>0xD03F</v>
      </c>
      <c r="V2953" s="7" t="str">
        <f ca="1"/>
        <v>WbPresetDataValue6</v>
      </c>
    </row>
    <row r="2954" spans="20:22" x14ac:dyDescent="0.25">
      <c r="T2954" s="7" t="str">
        <f ca="1"/>
        <v>D4S</v>
      </c>
      <c r="U2954" s="7" t="str">
        <f ca="1"/>
        <v>0xD040</v>
      </c>
      <c r="V2954" s="7" t="str">
        <f ca="1"/>
        <v>CustomSettingBank</v>
      </c>
    </row>
    <row r="2955" spans="20:22" x14ac:dyDescent="0.25">
      <c r="T2955" s="7" t="str">
        <f ca="1"/>
        <v>D4S</v>
      </c>
      <c r="U2955" s="7" t="str">
        <f ca="1"/>
        <v>0xD041</v>
      </c>
      <c r="V2955" s="7" t="str">
        <f ca="1"/>
        <v>CustomBankNameA</v>
      </c>
    </row>
    <row r="2956" spans="20:22" x14ac:dyDescent="0.25">
      <c r="T2956" s="7" t="str">
        <f ca="1"/>
        <v>D4S</v>
      </c>
      <c r="U2956" s="7" t="str">
        <f ca="1"/>
        <v>0xD042</v>
      </c>
      <c r="V2956" s="7" t="str">
        <f ca="1"/>
        <v>CustomBankNameB</v>
      </c>
    </row>
    <row r="2957" spans="20:22" x14ac:dyDescent="0.25">
      <c r="T2957" s="7" t="str">
        <f ca="1"/>
        <v>D4S</v>
      </c>
      <c r="U2957" s="7" t="str">
        <f ca="1"/>
        <v>0xD043</v>
      </c>
      <c r="V2957" s="7" t="str">
        <f ca="1"/>
        <v>CustomBankNameC</v>
      </c>
    </row>
    <row r="2958" spans="20:22" x14ac:dyDescent="0.25">
      <c r="T2958" s="7" t="str">
        <f ca="1"/>
        <v>D4S</v>
      </c>
      <c r="U2958" s="7" t="str">
        <f ca="1"/>
        <v>0xD044</v>
      </c>
      <c r="V2958" s="7" t="str">
        <f ca="1"/>
        <v>CustomBankNameD</v>
      </c>
    </row>
    <row r="2959" spans="20:22" x14ac:dyDescent="0.25">
      <c r="T2959" s="7" t="str">
        <f ca="1"/>
        <v>D4S</v>
      </c>
      <c r="U2959" s="7" t="str">
        <f ca="1"/>
        <v>0xD045</v>
      </c>
      <c r="V2959" s="7" t="str">
        <f ca="1"/>
        <v>ResetCustomSetting</v>
      </c>
    </row>
    <row r="2960" spans="20:22" x14ac:dyDescent="0.25">
      <c r="T2960" s="7" t="str">
        <f ca="1"/>
        <v>D4S</v>
      </c>
      <c r="U2960" s="7" t="str">
        <f ca="1"/>
        <v>0xD048</v>
      </c>
      <c r="V2960" s="7" t="str">
        <f ca="1"/>
        <v>DynamicAFonAFC</v>
      </c>
    </row>
    <row r="2961" spans="20:22" x14ac:dyDescent="0.25">
      <c r="T2961" s="7" t="str">
        <f ca="1"/>
        <v>D4S</v>
      </c>
      <c r="U2961" s="7" t="str">
        <f ca="1"/>
        <v>0xD049</v>
      </c>
      <c r="V2961" s="7" t="str">
        <f ca="1"/>
        <v>DynamicAFonAFS</v>
      </c>
    </row>
    <row r="2962" spans="20:22" x14ac:dyDescent="0.25">
      <c r="T2962" s="7" t="str">
        <f ca="1"/>
        <v>D4S</v>
      </c>
      <c r="U2962" s="7" t="str">
        <f ca="1"/>
        <v>0xD04F</v>
      </c>
      <c r="V2962" s="7" t="str">
        <f ca="1"/>
        <v>FocusAreaSelect</v>
      </c>
    </row>
    <row r="2963" spans="20:22" x14ac:dyDescent="0.25">
      <c r="T2963" s="7" t="str">
        <f ca="1"/>
        <v>D4S</v>
      </c>
      <c r="U2963" s="7" t="str">
        <f ca="1"/>
        <v>0xD051</v>
      </c>
      <c r="V2963" s="7" t="str">
        <f ca="1"/>
        <v>AFStillLockOn</v>
      </c>
    </row>
    <row r="2964" spans="20:22" x14ac:dyDescent="0.25">
      <c r="T2964" s="7" t="str">
        <f ca="1"/>
        <v>D4S</v>
      </c>
      <c r="U2964" s="7" t="str">
        <f ca="1"/>
        <v>0xD053</v>
      </c>
      <c r="V2964" s="7" t="str">
        <f ca="1"/>
        <v>EnableCopyright</v>
      </c>
    </row>
    <row r="2965" spans="20:22" x14ac:dyDescent="0.25">
      <c r="T2965" s="7" t="str">
        <f ca="1"/>
        <v>D4S</v>
      </c>
      <c r="U2965" s="7" t="str">
        <f ca="1"/>
        <v>0xD054</v>
      </c>
      <c r="V2965" s="7" t="str">
        <f ca="1"/>
        <v>ISOAutoControl</v>
      </c>
    </row>
    <row r="2966" spans="20:22" x14ac:dyDescent="0.25">
      <c r="T2966" s="7" t="str">
        <f ca="1"/>
        <v>D4S</v>
      </c>
      <c r="U2966" s="7" t="str">
        <f ca="1"/>
        <v>0xD055</v>
      </c>
      <c r="V2966" s="7" t="str">
        <f ca="1"/>
        <v>IsoStep</v>
      </c>
    </row>
    <row r="2967" spans="20:22" x14ac:dyDescent="0.25">
      <c r="T2967" s="7" t="str">
        <f ca="1"/>
        <v>D4S</v>
      </c>
      <c r="U2967" s="7" t="str">
        <f ca="1"/>
        <v>0xD056</v>
      </c>
      <c r="V2967" s="7" t="str">
        <f ca="1"/>
        <v>ExposureEVStep</v>
      </c>
    </row>
    <row r="2968" spans="20:22" x14ac:dyDescent="0.25">
      <c r="T2968" s="7" t="str">
        <f ca="1"/>
        <v>D4S</v>
      </c>
      <c r="U2968" s="7" t="str">
        <f ca="1"/>
        <v>0xD057</v>
      </c>
      <c r="V2968" s="7" t="str">
        <f ca="1"/>
        <v>ExposureCompEVStep</v>
      </c>
    </row>
    <row r="2969" spans="20:22" x14ac:dyDescent="0.25">
      <c r="T2969" s="7" t="str">
        <f ca="1"/>
        <v>D4S</v>
      </c>
      <c r="U2969" s="7" t="str">
        <f ca="1"/>
        <v>0xD059</v>
      </c>
      <c r="V2969" s="7" t="str">
        <f ca="1"/>
        <v>CenterWeightedExRange</v>
      </c>
    </row>
    <row r="2970" spans="20:22" x14ac:dyDescent="0.25">
      <c r="T2970" s="7" t="str">
        <f ca="1"/>
        <v>D4S</v>
      </c>
      <c r="U2970" s="7" t="str">
        <f ca="1"/>
        <v>0xD05A</v>
      </c>
      <c r="V2970" s="7" t="str">
        <f ca="1"/>
        <v>ExposureBaseCompMatrix</v>
      </c>
    </row>
    <row r="2971" spans="20:22" x14ac:dyDescent="0.25">
      <c r="T2971" s="7" t="str">
        <f ca="1"/>
        <v>D4S</v>
      </c>
      <c r="U2971" s="7" t="str">
        <f ca="1"/>
        <v>0xD05B</v>
      </c>
      <c r="V2971" s="7" t="str">
        <f ca="1"/>
        <v>ExposureBaseCompCenter</v>
      </c>
    </row>
    <row r="2972" spans="20:22" x14ac:dyDescent="0.25">
      <c r="T2972" s="7" t="str">
        <f ca="1"/>
        <v>D4S</v>
      </c>
      <c r="U2972" s="7" t="str">
        <f ca="1"/>
        <v>0xD05C</v>
      </c>
      <c r="V2972" s="7" t="str">
        <f ca="1"/>
        <v>ExposureBaseCompSpot</v>
      </c>
    </row>
    <row r="2973" spans="20:22" x14ac:dyDescent="0.25">
      <c r="T2973" s="7" t="str">
        <f ca="1"/>
        <v>D4S</v>
      </c>
      <c r="U2973" s="7" t="str">
        <f ca="1"/>
        <v>0xD05D</v>
      </c>
      <c r="V2973" s="7" t="str">
        <f ca="1"/>
        <v>AfAtLiveView</v>
      </c>
    </row>
    <row r="2974" spans="20:22" x14ac:dyDescent="0.25">
      <c r="T2974" s="7" t="str">
        <f ca="1"/>
        <v>D4S</v>
      </c>
      <c r="U2974" s="7" t="str">
        <f ca="1"/>
        <v>0xD061</v>
      </c>
      <c r="V2974" s="7" t="str">
        <f ca="1"/>
        <v>AfModeAtLiveView</v>
      </c>
    </row>
    <row r="2975" spans="20:22" x14ac:dyDescent="0.25">
      <c r="T2975" s="7" t="str">
        <f ca="1"/>
        <v>D4S</v>
      </c>
      <c r="U2975" s="7" t="str">
        <f ca="1"/>
        <v>0xD067</v>
      </c>
      <c r="V2975" s="7" t="str">
        <f ca="1"/>
        <v>AngleLevel</v>
      </c>
    </row>
    <row r="2976" spans="20:22" x14ac:dyDescent="0.25">
      <c r="T2976" s="7" t="str">
        <f ca="1"/>
        <v>D4S</v>
      </c>
      <c r="U2976" s="7" t="str">
        <f ca="1"/>
        <v>0xD068</v>
      </c>
      <c r="V2976" s="7" t="str">
        <f ca="1"/>
        <v>CSpeedLow</v>
      </c>
    </row>
    <row r="2977" spans="20:22" x14ac:dyDescent="0.25">
      <c r="T2977" s="7" t="str">
        <f ca="1"/>
        <v>D4S</v>
      </c>
      <c r="U2977" s="7" t="str">
        <f ca="1"/>
        <v>0xD069</v>
      </c>
      <c r="V2977" s="7" t="str">
        <f ca="1"/>
        <v>BurstMaxNumber</v>
      </c>
    </row>
    <row r="2978" spans="20:22" x14ac:dyDescent="0.25">
      <c r="T2978" s="7" t="str">
        <f ca="1"/>
        <v>D4S</v>
      </c>
      <c r="U2978" s="7" t="str">
        <f ca="1"/>
        <v>0xD06A</v>
      </c>
      <c r="V2978" s="7" t="str">
        <f ca="1"/>
        <v>ExposureDelay</v>
      </c>
    </row>
    <row r="2979" spans="20:22" x14ac:dyDescent="0.25">
      <c r="T2979" s="7" t="str">
        <f ca="1"/>
        <v>D4S</v>
      </c>
      <c r="U2979" s="7" t="str">
        <f ca="1"/>
        <v>0xD06B</v>
      </c>
      <c r="V2979" s="7" t="str">
        <f ca="1"/>
        <v>NoiseReduction</v>
      </c>
    </row>
    <row r="2980" spans="20:22" x14ac:dyDescent="0.25">
      <c r="T2980" s="7" t="str">
        <f ca="1"/>
        <v>D4S</v>
      </c>
      <c r="U2980" s="7" t="str">
        <f ca="1"/>
        <v>0xD06C</v>
      </c>
      <c r="V2980" s="7" t="str">
        <f ca="1"/>
        <v>NumberingMode</v>
      </c>
    </row>
    <row r="2981" spans="20:22" x14ac:dyDescent="0.25">
      <c r="T2981" s="7" t="str">
        <f ca="1"/>
        <v>D4S</v>
      </c>
      <c r="U2981" s="7" t="str">
        <f ca="1"/>
        <v>0xD070</v>
      </c>
      <c r="V2981" s="7" t="str">
        <f ca="1"/>
        <v>NoiseReductionHiIso</v>
      </c>
    </row>
    <row r="2982" spans="20:22" x14ac:dyDescent="0.25">
      <c r="T2982" s="7" t="str">
        <f ca="1"/>
        <v>D4S</v>
      </c>
      <c r="U2982" s="7" t="str">
        <f ca="1"/>
        <v>0xD072</v>
      </c>
      <c r="V2982" s="7" t="str">
        <f ca="1"/>
        <v>ArtistV</v>
      </c>
    </row>
    <row r="2983" spans="20:22" x14ac:dyDescent="0.25">
      <c r="T2983" s="7" t="str">
        <f ca="1"/>
        <v>D4S</v>
      </c>
      <c r="U2983" s="7" t="str">
        <f ca="1"/>
        <v>0xD073</v>
      </c>
      <c r="V2983" s="7" t="str">
        <f ca="1"/>
        <v>CopyrightV</v>
      </c>
    </row>
    <row r="2984" spans="20:22" x14ac:dyDescent="0.25">
      <c r="T2984" s="7" t="str">
        <f ca="1"/>
        <v>D4S</v>
      </c>
      <c r="U2984" s="7" t="str">
        <f ca="1"/>
        <v>0xD074</v>
      </c>
      <c r="V2984" s="7" t="str">
        <f ca="1"/>
        <v>FlashSyncSpeed</v>
      </c>
    </row>
    <row r="2985" spans="20:22" x14ac:dyDescent="0.25">
      <c r="T2985" s="7" t="str">
        <f ca="1"/>
        <v>D4S</v>
      </c>
      <c r="U2985" s="7" t="str">
        <f ca="1"/>
        <v>0xD075</v>
      </c>
      <c r="V2985" s="7" t="str">
        <f ca="1"/>
        <v>FlashSlowSpeedLimit</v>
      </c>
    </row>
    <row r="2986" spans="20:22" x14ac:dyDescent="0.25">
      <c r="T2986" s="7" t="str">
        <f ca="1"/>
        <v>D4S</v>
      </c>
      <c r="U2986" s="7" t="str">
        <f ca="1"/>
        <v>0xD078</v>
      </c>
      <c r="V2986" s="7" t="str">
        <f ca="1"/>
        <v>BracketingType</v>
      </c>
    </row>
    <row r="2987" spans="20:22" x14ac:dyDescent="0.25">
      <c r="T2987" s="7" t="str">
        <f ca="1"/>
        <v>D4S</v>
      </c>
      <c r="U2987" s="7" t="str">
        <f ca="1"/>
        <v>0xD079</v>
      </c>
      <c r="V2987" s="7" t="str">
        <f ca="1"/>
        <v>SelectBracketChangeFactor</v>
      </c>
    </row>
    <row r="2988" spans="20:22" x14ac:dyDescent="0.25">
      <c r="T2988" s="7" t="str">
        <f ca="1"/>
        <v>D4S</v>
      </c>
      <c r="U2988" s="7" t="str">
        <f ca="1"/>
        <v>0xD07A</v>
      </c>
      <c r="V2988" s="7" t="str">
        <f ca="1"/>
        <v>BracketingOrder</v>
      </c>
    </row>
    <row r="2989" spans="20:22" x14ac:dyDescent="0.25">
      <c r="T2989" s="7" t="str">
        <f ca="1"/>
        <v>D4S</v>
      </c>
      <c r="U2989" s="7" t="str">
        <f ca="1"/>
        <v>0xD07D</v>
      </c>
      <c r="V2989" s="7" t="str">
        <f ca="1"/>
        <v>AngleLevelPitching</v>
      </c>
    </row>
    <row r="2990" spans="20:22" x14ac:dyDescent="0.25">
      <c r="T2990" s="7" t="str">
        <f ca="1"/>
        <v>D4S</v>
      </c>
      <c r="U2990" s="7" t="str">
        <f ca="1"/>
        <v>0xD07E</v>
      </c>
      <c r="V2990" s="7" t="str">
        <f ca="1"/>
        <v>AngleLevelYawing</v>
      </c>
    </row>
    <row r="2991" spans="20:22" x14ac:dyDescent="0.25">
      <c r="T2991" s="7" t="str">
        <f ca="1"/>
        <v>D4S</v>
      </c>
      <c r="U2991" s="7" t="str">
        <f ca="1"/>
        <v>0xD07F</v>
      </c>
      <c r="V2991" s="7" t="str">
        <f ca="1"/>
        <v>ExtendShootingMenu</v>
      </c>
    </row>
    <row r="2992" spans="20:22" x14ac:dyDescent="0.25">
      <c r="T2992" s="7" t="str">
        <f ca="1"/>
        <v>D4S</v>
      </c>
      <c r="U2992" s="7" t="str">
        <f ca="1"/>
        <v>0xD087</v>
      </c>
      <c r="V2992" s="7" t="str">
        <f ca="1"/>
        <v>CommandDialSetting</v>
      </c>
    </row>
    <row r="2993" spans="20:22" x14ac:dyDescent="0.25">
      <c r="T2993" s="7" t="str">
        <f ca="1"/>
        <v>D4S</v>
      </c>
      <c r="U2993" s="7" t="str">
        <f ca="1"/>
        <v>0xD08A</v>
      </c>
      <c r="V2993" s="7" t="str">
        <f ca="1"/>
        <v>EnableShutter</v>
      </c>
    </row>
    <row r="2994" spans="20:22" x14ac:dyDescent="0.25">
      <c r="T2994" s="7" t="str">
        <f ca="1"/>
        <v>D4S</v>
      </c>
      <c r="U2994" s="7" t="str">
        <f ca="1"/>
        <v>0xD08D</v>
      </c>
      <c r="V2994" s="7" t="str">
        <f ca="1"/>
        <v>EnableAFAreaPoint</v>
      </c>
    </row>
    <row r="2995" spans="20:22" x14ac:dyDescent="0.25">
      <c r="T2995" s="7" t="str">
        <f ca="1"/>
        <v>D4S</v>
      </c>
      <c r="U2995" s="7" t="str">
        <f ca="1"/>
        <v>0xD08F</v>
      </c>
      <c r="V2995" s="7" t="str">
        <f ca="1"/>
        <v>ImageSensorCleaning</v>
      </c>
    </row>
    <row r="2996" spans="20:22" x14ac:dyDescent="0.25">
      <c r="T2996" s="7" t="str">
        <f ca="1"/>
        <v>D4S</v>
      </c>
      <c r="U2996" s="7" t="str">
        <f ca="1"/>
        <v>0xD090</v>
      </c>
      <c r="V2996" s="7" t="str">
        <f ca="1"/>
        <v>CommentString</v>
      </c>
    </row>
    <row r="2997" spans="20:22" x14ac:dyDescent="0.25">
      <c r="T2997" s="7" t="str">
        <f ca="1"/>
        <v>D4S</v>
      </c>
      <c r="U2997" s="7" t="str">
        <f ca="1"/>
        <v>0xD091</v>
      </c>
      <c r="V2997" s="7" t="str">
        <f ca="1"/>
        <v>EnableComment</v>
      </c>
    </row>
    <row r="2998" spans="20:22" x14ac:dyDescent="0.25">
      <c r="T2998" s="7" t="str">
        <f ca="1"/>
        <v>D4S</v>
      </c>
      <c r="U2998" s="7" t="str">
        <f ca="1"/>
        <v>0xD092</v>
      </c>
      <c r="V2998" s="7" t="str">
        <f ca="1"/>
        <v>OrientationSensorMode</v>
      </c>
    </row>
    <row r="2999" spans="20:22" x14ac:dyDescent="0.25">
      <c r="T2999" s="7" t="str">
        <f ca="1"/>
        <v>D4S</v>
      </c>
      <c r="U2999" s="7" t="str">
        <f ca="1"/>
        <v>0xD093</v>
      </c>
      <c r="V2999" s="7" t="str">
        <f ca="1"/>
        <v>ManualSettingLensNo</v>
      </c>
    </row>
    <row r="3000" spans="20:22" x14ac:dyDescent="0.25">
      <c r="T3000" s="7" t="str">
        <f ca="1"/>
        <v>D4S</v>
      </c>
      <c r="U3000" s="7" t="str">
        <f ca="1"/>
        <v>0xD09C</v>
      </c>
      <c r="V3000" s="7" t="str">
        <f ca="1"/>
        <v>RetractableLensWarning</v>
      </c>
    </row>
    <row r="3001" spans="20:22" x14ac:dyDescent="0.25">
      <c r="T3001" s="7" t="str">
        <f ca="1"/>
        <v>D4S</v>
      </c>
      <c r="U3001" s="7" t="str">
        <f ca="1"/>
        <v>0xD0A0</v>
      </c>
      <c r="V3001" s="7" t="str">
        <f ca="1"/>
        <v>MovieRecordScreenSize</v>
      </c>
    </row>
    <row r="3002" spans="20:22" x14ac:dyDescent="0.25">
      <c r="T3002" s="7" t="str">
        <f ca="1"/>
        <v>D4S</v>
      </c>
      <c r="U3002" s="7" t="str">
        <f ca="1"/>
        <v>0xD0A2</v>
      </c>
      <c r="V3002" s="7" t="str">
        <f ca="1"/>
        <v>MovieRecordMicrophoneLevel</v>
      </c>
    </row>
    <row r="3003" spans="20:22" x14ac:dyDescent="0.25">
      <c r="T3003" s="7" t="str">
        <f ca="1"/>
        <v>D4S</v>
      </c>
      <c r="U3003" s="7" t="str">
        <f ca="1"/>
        <v>0xD0A3</v>
      </c>
      <c r="V3003" s="7" t="str">
        <f ca="1"/>
        <v>MovieRecordDestination</v>
      </c>
    </row>
    <row r="3004" spans="20:22" x14ac:dyDescent="0.25">
      <c r="T3004" s="7" t="str">
        <f ca="1"/>
        <v>D4S</v>
      </c>
      <c r="U3004" s="7" t="str">
        <f ca="1"/>
        <v>0xD0A4</v>
      </c>
      <c r="V3004" s="7" t="str">
        <f ca="1"/>
        <v>MovieRecProhibitionCondition</v>
      </c>
    </row>
    <row r="3005" spans="20:22" x14ac:dyDescent="0.25">
      <c r="T3005" s="7" t="str">
        <f ca="1"/>
        <v>D4S</v>
      </c>
      <c r="U3005" s="7" t="str">
        <f ca="1"/>
        <v>0xD0A7</v>
      </c>
      <c r="V3005" s="7" t="str">
        <f ca="1"/>
        <v>MovieRecordQuality</v>
      </c>
    </row>
    <row r="3006" spans="20:22" x14ac:dyDescent="0.25">
      <c r="T3006" s="7" t="str">
        <f ca="1"/>
        <v>D4S</v>
      </c>
      <c r="U3006" s="7" t="str">
        <f ca="1"/>
        <v>0xD0A8</v>
      </c>
      <c r="V3006" s="7" t="str">
        <f ca="1"/>
        <v>MovieRecordMicrophoneLevelValue</v>
      </c>
    </row>
    <row r="3007" spans="20:22" x14ac:dyDescent="0.25">
      <c r="T3007" s="7" t="str">
        <f ca="1"/>
        <v>D4S</v>
      </c>
      <c r="U3007" s="7" t="str">
        <f ca="1"/>
        <v>0xD0AA</v>
      </c>
      <c r="V3007" s="7" t="str">
        <f ca="1"/>
        <v>MovieWindNoiseReduction</v>
      </c>
    </row>
    <row r="3008" spans="20:22" x14ac:dyDescent="0.25">
      <c r="T3008" s="7" t="str">
        <f ca="1"/>
        <v>D4S</v>
      </c>
      <c r="U3008" s="7" t="str">
        <f ca="1"/>
        <v>0xD0AC</v>
      </c>
      <c r="V3008" s="7" t="str">
        <f ca="1"/>
        <v>MovieRecordingZone</v>
      </c>
    </row>
    <row r="3009" spans="20:22" x14ac:dyDescent="0.25">
      <c r="T3009" s="7" t="str">
        <f ca="1"/>
        <v>D4S</v>
      </c>
      <c r="U3009" s="7" t="str">
        <f ca="1"/>
        <v>0xD0AD</v>
      </c>
      <c r="V3009" s="7" t="str">
        <f ca="1"/>
        <v>MovieISOAutoControl</v>
      </c>
    </row>
    <row r="3010" spans="20:22" x14ac:dyDescent="0.25">
      <c r="T3010" s="7" t="str">
        <f ca="1"/>
        <v>D4S</v>
      </c>
      <c r="U3010" s="7" t="str">
        <f ca="1"/>
        <v>0xD0AE</v>
      </c>
      <c r="V3010" s="7" t="str">
        <f ca="1"/>
        <v>MovieISOAutoHighLimit</v>
      </c>
    </row>
    <row r="3011" spans="20:22" x14ac:dyDescent="0.25">
      <c r="T3011" s="7" t="str">
        <f ca="1"/>
        <v>D4S</v>
      </c>
      <c r="U3011" s="7" t="str">
        <f ca="1"/>
        <v>0xD0B4</v>
      </c>
      <c r="V3011" s="7" t="str">
        <f ca="1"/>
        <v>ExposureIndexEx</v>
      </c>
    </row>
    <row r="3012" spans="20:22" x14ac:dyDescent="0.25">
      <c r="T3012" s="7" t="str">
        <f ca="1"/>
        <v>D4S</v>
      </c>
      <c r="U3012" s="7" t="str">
        <f ca="1"/>
        <v>0xD0B5</v>
      </c>
      <c r="V3012" s="7" t="str">
        <f ca="1"/>
        <v>ISOControlSensitivity</v>
      </c>
    </row>
    <row r="3013" spans="20:22" x14ac:dyDescent="0.25">
      <c r="T3013" s="7" t="str">
        <f ca="1"/>
        <v>D4S</v>
      </c>
      <c r="U3013" s="7" t="str">
        <f ca="1"/>
        <v>0xD0B6</v>
      </c>
      <c r="V3013" s="7" t="str">
        <f ca="1"/>
        <v>RawImageSize</v>
      </c>
    </row>
    <row r="3014" spans="20:22" x14ac:dyDescent="0.25">
      <c r="T3014" s="7" t="str">
        <f ca="1"/>
        <v>D4S</v>
      </c>
      <c r="U3014" s="7" t="str">
        <f ca="1"/>
        <v>0xD0C0</v>
      </c>
      <c r="V3014" s="7" t="str">
        <f ca="1"/>
        <v>EnableBracketing</v>
      </c>
    </row>
    <row r="3015" spans="20:22" x14ac:dyDescent="0.25">
      <c r="T3015" s="7" t="str">
        <f ca="1"/>
        <v>D4S</v>
      </c>
      <c r="U3015" s="7" t="str">
        <f ca="1"/>
        <v>0xD0C1</v>
      </c>
      <c r="V3015" s="7" t="str">
        <f ca="1"/>
        <v>AEBracketingStep</v>
      </c>
    </row>
    <row r="3016" spans="20:22" x14ac:dyDescent="0.25">
      <c r="T3016" s="7" t="str">
        <f ca="1"/>
        <v>D4S</v>
      </c>
      <c r="U3016" s="7" t="str">
        <f ca="1"/>
        <v>0xD0C2</v>
      </c>
      <c r="V3016" s="7" t="str">
        <f ca="1"/>
        <v>AEBracketingPattern</v>
      </c>
    </row>
    <row r="3017" spans="20:22" x14ac:dyDescent="0.25">
      <c r="T3017" s="7" t="str">
        <f ca="1"/>
        <v>D4S</v>
      </c>
      <c r="U3017" s="7" t="str">
        <f ca="1"/>
        <v>0xD0C3</v>
      </c>
      <c r="V3017" s="7" t="str">
        <f ca="1"/>
        <v>AEBracketingCount</v>
      </c>
    </row>
    <row r="3018" spans="20:22" x14ac:dyDescent="0.25">
      <c r="T3018" s="7" t="str">
        <f ca="1"/>
        <v>D4S</v>
      </c>
      <c r="U3018" s="7" t="str">
        <f ca="1"/>
        <v>0xD0C4</v>
      </c>
      <c r="V3018" s="7" t="str">
        <f ca="1"/>
        <v>WBBracketingStep</v>
      </c>
    </row>
    <row r="3019" spans="20:22" x14ac:dyDescent="0.25">
      <c r="T3019" s="7" t="str">
        <f ca="1"/>
        <v>D4S</v>
      </c>
      <c r="U3019" s="7" t="str">
        <f ca="1"/>
        <v>0xD0C5</v>
      </c>
      <c r="V3019" s="7" t="str">
        <f ca="1"/>
        <v>WBBracketingPattern</v>
      </c>
    </row>
    <row r="3020" spans="20:22" x14ac:dyDescent="0.25">
      <c r="T3020" s="7" t="str">
        <f ca="1"/>
        <v>D4S</v>
      </c>
      <c r="U3020" s="7" t="str">
        <f ca="1"/>
        <v>0xD0C6</v>
      </c>
      <c r="V3020" s="7" t="str">
        <f ca="1"/>
        <v>ADLBracketingPattern</v>
      </c>
    </row>
    <row r="3021" spans="20:22" x14ac:dyDescent="0.25">
      <c r="T3021" s="7" t="str">
        <f ca="1"/>
        <v>D4S</v>
      </c>
      <c r="U3021" s="7" t="str">
        <f ca="1"/>
        <v>0xD0C7</v>
      </c>
      <c r="V3021" s="7" t="str">
        <f ca="1"/>
        <v>ADLBracketingStep</v>
      </c>
    </row>
    <row r="3022" spans="20:22" x14ac:dyDescent="0.25">
      <c r="T3022" s="7" t="str">
        <f ca="1"/>
        <v>D4S</v>
      </c>
      <c r="U3022" s="7" t="str">
        <f ca="1"/>
        <v>0xD0E0</v>
      </c>
      <c r="V3022" s="7" t="str">
        <f ca="1"/>
        <v>LensID</v>
      </c>
    </row>
    <row r="3023" spans="20:22" x14ac:dyDescent="0.25">
      <c r="T3023" s="7" t="str">
        <f ca="1"/>
        <v>D4S</v>
      </c>
      <c r="U3023" s="7" t="str">
        <f ca="1"/>
        <v>0xD0E1</v>
      </c>
      <c r="V3023" s="7" t="str">
        <f ca="1"/>
        <v>LensSort</v>
      </c>
    </row>
    <row r="3024" spans="20:22" x14ac:dyDescent="0.25">
      <c r="T3024" s="7" t="str">
        <f ca="1"/>
        <v>D4S</v>
      </c>
      <c r="U3024" s="7" t="str">
        <f ca="1"/>
        <v>0xD0E2</v>
      </c>
      <c r="V3024" s="7" t="str">
        <f ca="1"/>
        <v>LensType</v>
      </c>
    </row>
    <row r="3025" spans="20:22" x14ac:dyDescent="0.25">
      <c r="T3025" s="7" t="str">
        <f ca="1"/>
        <v>D4S</v>
      </c>
      <c r="U3025" s="7" t="str">
        <f ca="1"/>
        <v>0xD0E3</v>
      </c>
      <c r="V3025" s="7" t="str">
        <f ca="1"/>
        <v>LensFocalMin</v>
      </c>
    </row>
    <row r="3026" spans="20:22" x14ac:dyDescent="0.25">
      <c r="T3026" s="7" t="str">
        <f ca="1"/>
        <v>D4S</v>
      </c>
      <c r="U3026" s="7" t="str">
        <f ca="1"/>
        <v>0xD0E4</v>
      </c>
      <c r="V3026" s="7" t="str">
        <f ca="1"/>
        <v>LensFocalMax</v>
      </c>
    </row>
    <row r="3027" spans="20:22" x14ac:dyDescent="0.25">
      <c r="T3027" s="7" t="str">
        <f ca="1"/>
        <v>D4S</v>
      </c>
      <c r="U3027" s="7" t="str">
        <f ca="1"/>
        <v>0xD0E5</v>
      </c>
      <c r="V3027" s="7" t="str">
        <f ca="1"/>
        <v>LensApatureMin</v>
      </c>
    </row>
    <row r="3028" spans="20:22" x14ac:dyDescent="0.25">
      <c r="T3028" s="7" t="str">
        <f ca="1"/>
        <v>D4S</v>
      </c>
      <c r="U3028" s="7" t="str">
        <f ca="1"/>
        <v>0xD0E6</v>
      </c>
      <c r="V3028" s="7" t="str">
        <f ca="1"/>
        <v>LensApatureMax</v>
      </c>
    </row>
    <row r="3029" spans="20:22" x14ac:dyDescent="0.25">
      <c r="T3029" s="7" t="str">
        <f ca="1"/>
        <v>D4S</v>
      </c>
      <c r="U3029" s="7" t="str">
        <f ca="1"/>
        <v>0xD0F7</v>
      </c>
      <c r="V3029" s="7" t="str">
        <f ca="1"/>
        <v>VignetteControl</v>
      </c>
    </row>
    <row r="3030" spans="20:22" x14ac:dyDescent="0.25">
      <c r="T3030" s="7" t="str">
        <f ca="1"/>
        <v>D4S</v>
      </c>
      <c r="U3030" s="7" t="str">
        <f ca="1"/>
        <v>0xD0F8</v>
      </c>
      <c r="V3030" s="7" t="str">
        <f ca="1"/>
        <v>AutoDistortion</v>
      </c>
    </row>
    <row r="3031" spans="20:22" x14ac:dyDescent="0.25">
      <c r="T3031" s="7" t="str">
        <f ca="1"/>
        <v>D4S</v>
      </c>
      <c r="U3031" s="7" t="str">
        <f ca="1"/>
        <v>0xD100</v>
      </c>
      <c r="V3031" s="7" t="str">
        <f ca="1"/>
        <v>ShutterSpeed</v>
      </c>
    </row>
    <row r="3032" spans="20:22" x14ac:dyDescent="0.25">
      <c r="T3032" s="7" t="str">
        <f ca="1"/>
        <v>D4S</v>
      </c>
      <c r="U3032" s="7" t="str">
        <f ca="1"/>
        <v>0xD101</v>
      </c>
      <c r="V3032" s="7" t="str">
        <f ca="1"/>
        <v>ExternalDC</v>
      </c>
    </row>
    <row r="3033" spans="20:22" x14ac:dyDescent="0.25">
      <c r="T3033" s="7" t="str">
        <f ca="1"/>
        <v>D4S</v>
      </c>
      <c r="U3033" s="7" t="str">
        <f ca="1"/>
        <v>0xD102</v>
      </c>
      <c r="V3033" s="7" t="str">
        <f ca="1"/>
        <v>WarningStatus</v>
      </c>
    </row>
    <row r="3034" spans="20:22" x14ac:dyDescent="0.25">
      <c r="T3034" s="7" t="str">
        <f ca="1"/>
        <v>D4S</v>
      </c>
      <c r="U3034" s="7" t="str">
        <f ca="1"/>
        <v>0xD104</v>
      </c>
      <c r="V3034" s="7" t="str">
        <f ca="1"/>
        <v>AFLockStatus</v>
      </c>
    </row>
    <row r="3035" spans="20:22" x14ac:dyDescent="0.25">
      <c r="T3035" s="7" t="str">
        <f ca="1"/>
        <v>D4S</v>
      </c>
      <c r="U3035" s="7" t="str">
        <f ca="1"/>
        <v>0xD105</v>
      </c>
      <c r="V3035" s="7" t="str">
        <f ca="1"/>
        <v>AELockStatus</v>
      </c>
    </row>
    <row r="3036" spans="20:22" x14ac:dyDescent="0.25">
      <c r="T3036" s="7" t="str">
        <f ca="1"/>
        <v>D4S</v>
      </c>
      <c r="U3036" s="7" t="str">
        <f ca="1"/>
        <v>0xD106</v>
      </c>
      <c r="V3036" s="7" t="str">
        <f ca="1"/>
        <v>FVLockStatus</v>
      </c>
    </row>
    <row r="3037" spans="20:22" x14ac:dyDescent="0.25">
      <c r="T3037" s="7" t="str">
        <f ca="1"/>
        <v>D4S</v>
      </c>
      <c r="U3037" s="7" t="str">
        <f ca="1"/>
        <v>0xD108</v>
      </c>
      <c r="V3037" s="7" t="str">
        <f ca="1"/>
        <v>FocusArea</v>
      </c>
    </row>
    <row r="3038" spans="20:22" x14ac:dyDescent="0.25">
      <c r="T3038" s="7" t="str">
        <f ca="1"/>
        <v>D4S</v>
      </c>
      <c r="U3038" s="7" t="str">
        <f ca="1"/>
        <v>0xD109</v>
      </c>
      <c r="V3038" s="7" t="str">
        <f ca="1"/>
        <v>FlexibleProgram</v>
      </c>
    </row>
    <row r="3039" spans="20:22" x14ac:dyDescent="0.25">
      <c r="T3039" s="7" t="str">
        <f ca="1"/>
        <v>D4S</v>
      </c>
      <c r="U3039" s="7" t="str">
        <f ca="1"/>
        <v>0xD10B</v>
      </c>
      <c r="V3039" s="7" t="str">
        <f ca="1"/>
        <v>RecordingMedia</v>
      </c>
    </row>
    <row r="3040" spans="20:22" x14ac:dyDescent="0.25">
      <c r="T3040" s="7" t="str">
        <f ca="1"/>
        <v>D4S</v>
      </c>
      <c r="U3040" s="7" t="str">
        <f ca="1"/>
        <v>0xD10E</v>
      </c>
      <c r="V3040" s="7" t="str">
        <f ca="1"/>
        <v>Orientation</v>
      </c>
    </row>
    <row r="3041" spans="20:22" x14ac:dyDescent="0.25">
      <c r="T3041" s="7" t="str">
        <f ca="1"/>
        <v>D4S</v>
      </c>
      <c r="U3041" s="7" t="str">
        <f ca="1"/>
        <v>0xD112</v>
      </c>
      <c r="V3041" s="7" t="str">
        <f ca="1"/>
        <v>TVLockSetting</v>
      </c>
    </row>
    <row r="3042" spans="20:22" x14ac:dyDescent="0.25">
      <c r="T3042" s="7" t="str">
        <f ca="1"/>
        <v>D4S</v>
      </c>
      <c r="U3042" s="7" t="str">
        <f ca="1"/>
        <v>0xD113</v>
      </c>
      <c r="V3042" s="7" t="str">
        <f ca="1"/>
        <v>AVLockSetting</v>
      </c>
    </row>
    <row r="3043" spans="20:22" x14ac:dyDescent="0.25">
      <c r="T3043" s="7" t="str">
        <f ca="1"/>
        <v>D4S</v>
      </c>
      <c r="U3043" s="7" t="str">
        <f ca="1"/>
        <v>0xD118</v>
      </c>
      <c r="V3043" s="7" t="str">
        <f ca="1"/>
        <v>ExposureCompFlashUsed</v>
      </c>
    </row>
    <row r="3044" spans="20:22" x14ac:dyDescent="0.25">
      <c r="T3044" s="7" t="str">
        <f ca="1"/>
        <v>D4S</v>
      </c>
      <c r="U3044" s="7" t="str">
        <f ca="1"/>
        <v>0xD120</v>
      </c>
      <c r="V3044" s="7" t="str">
        <f ca="1"/>
        <v>ExternalSpeedLightExist</v>
      </c>
    </row>
    <row r="3045" spans="20:22" x14ac:dyDescent="0.25">
      <c r="T3045" s="7" t="str">
        <f ca="1"/>
        <v>D4S</v>
      </c>
      <c r="U3045" s="7" t="str">
        <f ca="1"/>
        <v>0xD121</v>
      </c>
      <c r="V3045" s="7" t="str">
        <f ca="1"/>
        <v>ExternalSpeedLightStatus</v>
      </c>
    </row>
    <row r="3046" spans="20:22" x14ac:dyDescent="0.25">
      <c r="T3046" s="7" t="str">
        <f ca="1"/>
        <v>D4S</v>
      </c>
      <c r="U3046" s="7" t="str">
        <f ca="1"/>
        <v>0xD122</v>
      </c>
      <c r="V3046" s="7" t="str">
        <f ca="1"/>
        <v>ExternalSpeedLightSort</v>
      </c>
    </row>
    <row r="3047" spans="20:22" x14ac:dyDescent="0.25">
      <c r="T3047" s="7" t="str">
        <f ca="1"/>
        <v>D4S</v>
      </c>
      <c r="U3047" s="7" t="str">
        <f ca="1"/>
        <v>0xD124</v>
      </c>
      <c r="V3047" s="7" t="str">
        <f ca="1"/>
        <v>FlashCompensation</v>
      </c>
    </row>
    <row r="3048" spans="20:22" x14ac:dyDescent="0.25">
      <c r="T3048" s="7" t="str">
        <f ca="1"/>
        <v>D4S</v>
      </c>
      <c r="U3048" s="7" t="str">
        <f ca="1"/>
        <v>0xD125</v>
      </c>
      <c r="V3048" s="7" t="str">
        <f ca="1"/>
        <v>NewExternalSpeedLightMode</v>
      </c>
    </row>
    <row r="3049" spans="20:22" x14ac:dyDescent="0.25">
      <c r="T3049" s="7" t="str">
        <f ca="1"/>
        <v>D4S</v>
      </c>
      <c r="U3049" s="7" t="str">
        <f ca="1"/>
        <v>0xD130</v>
      </c>
      <c r="V3049" s="7" t="str">
        <f ca="1"/>
        <v>HDRMode</v>
      </c>
    </row>
    <row r="3050" spans="20:22" x14ac:dyDescent="0.25">
      <c r="T3050" s="7" t="str">
        <f ca="1"/>
        <v>D4S</v>
      </c>
      <c r="U3050" s="7" t="str">
        <f ca="1"/>
        <v>0xD131</v>
      </c>
      <c r="V3050" s="7" t="str">
        <f ca="1"/>
        <v>HDREv</v>
      </c>
    </row>
    <row r="3051" spans="20:22" x14ac:dyDescent="0.25">
      <c r="T3051" s="7" t="str">
        <f ca="1"/>
        <v>D4S</v>
      </c>
      <c r="U3051" s="7" t="str">
        <f ca="1"/>
        <v>0xD132</v>
      </c>
      <c r="V3051" s="7" t="str">
        <f ca="1"/>
        <v>HDRSmoothing</v>
      </c>
    </row>
    <row r="3052" spans="20:22" x14ac:dyDescent="0.25">
      <c r="T3052" s="7" t="str">
        <f ca="1"/>
        <v>D4S</v>
      </c>
      <c r="U3052" s="7" t="str">
        <f ca="1"/>
        <v>0xD141</v>
      </c>
      <c r="V3052" s="7" t="str">
        <f ca="1"/>
        <v>WbAutoType</v>
      </c>
    </row>
    <row r="3053" spans="20:22" x14ac:dyDescent="0.25">
      <c r="T3053" s="7" t="str">
        <f ca="1"/>
        <v>D4S</v>
      </c>
      <c r="U3053" s="7" t="str">
        <f ca="1"/>
        <v>0xD148</v>
      </c>
      <c r="V3053" s="7" t="str">
        <f ca="1"/>
        <v>Slot2ImageSaveMode</v>
      </c>
    </row>
    <row r="3054" spans="20:22" x14ac:dyDescent="0.25">
      <c r="T3054" s="7" t="str">
        <f ca="1"/>
        <v>D4S</v>
      </c>
      <c r="U3054" s="7" t="str">
        <f ca="1"/>
        <v>0xD149</v>
      </c>
      <c r="V3054" s="7" t="str">
        <f ca="1"/>
        <v>RawCompressionBitMode</v>
      </c>
    </row>
    <row r="3055" spans="20:22" x14ac:dyDescent="0.25">
      <c r="T3055" s="7" t="str">
        <f ca="1"/>
        <v>D4S</v>
      </c>
      <c r="U3055" s="7" t="str">
        <f ca="1"/>
        <v>0xD14E</v>
      </c>
      <c r="V3055" s="7" t="str">
        <f ca="1"/>
        <v>Active</v>
      </c>
    </row>
    <row r="3056" spans="20:22" x14ac:dyDescent="0.25">
      <c r="T3056" s="7" t="str">
        <f ca="1"/>
        <v>D4S</v>
      </c>
      <c r="U3056" s="7" t="str">
        <f ca="1"/>
        <v>0xD14F</v>
      </c>
      <c r="V3056" s="7" t="str">
        <f ca="1"/>
        <v>WbFluorescentType</v>
      </c>
    </row>
    <row r="3057" spans="20:22" x14ac:dyDescent="0.25">
      <c r="T3057" s="7" t="str">
        <f ca="1"/>
        <v>D4S</v>
      </c>
      <c r="U3057" s="7" t="str">
        <f ca="1"/>
        <v>0xD150</v>
      </c>
      <c r="V3057" s="7" t="str">
        <f ca="1"/>
        <v>WbTuneColorTemp</v>
      </c>
    </row>
    <row r="3058" spans="20:22" x14ac:dyDescent="0.25">
      <c r="T3058" s="7" t="str">
        <f ca="1"/>
        <v>D4S</v>
      </c>
      <c r="U3058" s="7" t="str">
        <f ca="1"/>
        <v>0xD152</v>
      </c>
      <c r="V3058" s="7" t="str">
        <f ca="1"/>
        <v>WbTunePreset1</v>
      </c>
    </row>
    <row r="3059" spans="20:22" x14ac:dyDescent="0.25">
      <c r="T3059" s="7" t="str">
        <f ca="1"/>
        <v>D4S</v>
      </c>
      <c r="U3059" s="7" t="str">
        <f ca="1"/>
        <v>0xD153</v>
      </c>
      <c r="V3059" s="7" t="str">
        <f ca="1"/>
        <v>WbTunePreset2</v>
      </c>
    </row>
    <row r="3060" spans="20:22" x14ac:dyDescent="0.25">
      <c r="T3060" s="7" t="str">
        <f ca="1"/>
        <v>D4S</v>
      </c>
      <c r="U3060" s="7" t="str">
        <f ca="1"/>
        <v>0xD154</v>
      </c>
      <c r="V3060" s="7" t="str">
        <f ca="1"/>
        <v>WbTunePreset3</v>
      </c>
    </row>
    <row r="3061" spans="20:22" x14ac:dyDescent="0.25">
      <c r="T3061" s="7" t="str">
        <f ca="1"/>
        <v>D4S</v>
      </c>
      <c r="U3061" s="7" t="str">
        <f ca="1"/>
        <v>0xD155</v>
      </c>
      <c r="V3061" s="7" t="str">
        <f ca="1"/>
        <v>WbTunePreset4</v>
      </c>
    </row>
    <row r="3062" spans="20:22" x14ac:dyDescent="0.25">
      <c r="T3062" s="7" t="str">
        <f ca="1"/>
        <v>D4S</v>
      </c>
      <c r="U3062" s="7" t="str">
        <f ca="1"/>
        <v>0xD156</v>
      </c>
      <c r="V3062" s="7" t="str">
        <f ca="1"/>
        <v>PrimarySlot</v>
      </c>
    </row>
    <row r="3063" spans="20:22" x14ac:dyDescent="0.25">
      <c r="T3063" s="7" t="str">
        <f ca="1"/>
        <v>D4S</v>
      </c>
      <c r="U3063" s="7" t="str">
        <f ca="1"/>
        <v>0xD158</v>
      </c>
      <c r="V3063" s="7" t="str">
        <f ca="1"/>
        <v>WbPresetProtect1</v>
      </c>
    </row>
    <row r="3064" spans="20:22" x14ac:dyDescent="0.25">
      <c r="T3064" s="7" t="str">
        <f ca="1"/>
        <v>D4S</v>
      </c>
      <c r="U3064" s="7" t="str">
        <f ca="1"/>
        <v>0xD159</v>
      </c>
      <c r="V3064" s="7" t="str">
        <f ca="1"/>
        <v>WbPresetProtect2</v>
      </c>
    </row>
    <row r="3065" spans="20:22" x14ac:dyDescent="0.25">
      <c r="T3065" s="7" t="str">
        <f ca="1"/>
        <v>D4S</v>
      </c>
      <c r="U3065" s="7" t="str">
        <f ca="1"/>
        <v>0xD15A</v>
      </c>
      <c r="V3065" s="7" t="str">
        <f ca="1"/>
        <v>WbPresetProtect3</v>
      </c>
    </row>
    <row r="3066" spans="20:22" x14ac:dyDescent="0.25">
      <c r="T3066" s="7" t="str">
        <f ca="1"/>
        <v>D4S</v>
      </c>
      <c r="U3066" s="7" t="str">
        <f ca="1"/>
        <v>0xD15B</v>
      </c>
      <c r="V3066" s="7" t="str">
        <f ca="1"/>
        <v>ActiveFolder</v>
      </c>
    </row>
    <row r="3067" spans="20:22" x14ac:dyDescent="0.25">
      <c r="T3067" s="7" t="str">
        <f ca="1"/>
        <v>D4S</v>
      </c>
      <c r="U3067" s="7" t="str">
        <f ca="1"/>
        <v>0xD15C</v>
      </c>
      <c r="V3067" s="7" t="str">
        <f ca="1"/>
        <v>WbPresetProtect4</v>
      </c>
    </row>
    <row r="3068" spans="20:22" x14ac:dyDescent="0.25">
      <c r="T3068" s="7" t="str">
        <f ca="1"/>
        <v>D4S</v>
      </c>
      <c r="U3068" s="7" t="str">
        <f ca="1"/>
        <v>0xD15D</v>
      </c>
      <c r="V3068" s="7" t="str">
        <f ca="1"/>
        <v>WhiteBalanceReset</v>
      </c>
    </row>
    <row r="3069" spans="20:22" x14ac:dyDescent="0.25">
      <c r="T3069" s="7" t="str">
        <f ca="1"/>
        <v>D4S</v>
      </c>
      <c r="U3069" s="7" t="str">
        <f ca="1"/>
        <v>0xD161</v>
      </c>
      <c r="V3069" s="7" t="str">
        <f ca="1"/>
        <v>AFModeSelect</v>
      </c>
    </row>
    <row r="3070" spans="20:22" x14ac:dyDescent="0.25">
      <c r="T3070" s="7" t="str">
        <f ca="1"/>
        <v>D4S</v>
      </c>
      <c r="U3070" s="7" t="str">
        <f ca="1"/>
        <v>0xD164</v>
      </c>
      <c r="V3070" s="7" t="str">
        <f ca="1"/>
        <v>ISOAutoShutterTime</v>
      </c>
    </row>
    <row r="3071" spans="20:22" x14ac:dyDescent="0.25">
      <c r="T3071" s="7" t="str">
        <f ca="1"/>
        <v>D4S</v>
      </c>
      <c r="U3071" s="7" t="str">
        <f ca="1"/>
        <v>0xD176</v>
      </c>
      <c r="V3071" s="7" t="str">
        <f ca="1"/>
        <v>LimitedAFAreaMode</v>
      </c>
    </row>
    <row r="3072" spans="20:22" x14ac:dyDescent="0.25">
      <c r="T3072" s="7" t="str">
        <f ca="1"/>
        <v>D4S</v>
      </c>
      <c r="U3072" s="7" t="str">
        <f ca="1"/>
        <v>0xD177</v>
      </c>
      <c r="V3072" s="7" t="str">
        <f ca="1"/>
        <v>AFModeRestrictions</v>
      </c>
    </row>
    <row r="3073" spans="20:22" x14ac:dyDescent="0.25">
      <c r="T3073" s="7" t="str">
        <f ca="1"/>
        <v>D4S</v>
      </c>
      <c r="U3073" s="7" t="str">
        <f ca="1"/>
        <v>0xD183</v>
      </c>
      <c r="V3073" s="7" t="str">
        <f ca="1"/>
        <v>ISOAutoHighLimit</v>
      </c>
    </row>
    <row r="3074" spans="20:22" x14ac:dyDescent="0.25">
      <c r="T3074" s="7" t="str">
        <f ca="1"/>
        <v>D4S</v>
      </c>
      <c r="U3074" s="7" t="str">
        <f ca="1"/>
        <v>0xD186</v>
      </c>
      <c r="V3074" s="7" t="str">
        <f ca="1"/>
        <v>CSpeedHigh</v>
      </c>
    </row>
    <row r="3075" spans="20:22" x14ac:dyDescent="0.25">
      <c r="T3075" s="7" t="str">
        <f ca="1"/>
        <v>D4S</v>
      </c>
      <c r="U3075" s="7" t="str">
        <f ca="1"/>
        <v>0xD197</v>
      </c>
      <c r="V3075" s="7" t="str">
        <f ca="1"/>
        <v>MovieReleaseButton</v>
      </c>
    </row>
    <row r="3076" spans="20:22" x14ac:dyDescent="0.25">
      <c r="T3076" s="7" t="str">
        <f ca="1"/>
        <v>D4S</v>
      </c>
      <c r="U3076" s="7" t="str">
        <f ca="1"/>
        <v>0xD1A2</v>
      </c>
      <c r="V3076" s="7" t="str">
        <f ca="1"/>
        <v>LiveViewStatus</v>
      </c>
    </row>
    <row r="3077" spans="20:22" x14ac:dyDescent="0.25">
      <c r="T3077" s="7" t="str">
        <f ca="1"/>
        <v>D4S</v>
      </c>
      <c r="U3077" s="7" t="str">
        <f ca="1"/>
        <v>0xD1A3</v>
      </c>
      <c r="V3077" s="7" t="str">
        <f ca="1"/>
        <v>LiveViewImageZoomRatio</v>
      </c>
    </row>
    <row r="3078" spans="20:22" x14ac:dyDescent="0.25">
      <c r="T3078" s="7" t="str">
        <f ca="1"/>
        <v>D4S</v>
      </c>
      <c r="U3078" s="7" t="str">
        <f ca="1"/>
        <v>0xD1A4</v>
      </c>
      <c r="V3078" s="7" t="str">
        <f ca="1"/>
        <v>LiveViewProhibitionCondition</v>
      </c>
    </row>
    <row r="3079" spans="20:22" x14ac:dyDescent="0.25">
      <c r="T3079" s="7" t="str">
        <f ca="1"/>
        <v>D4S</v>
      </c>
      <c r="U3079" s="7" t="str">
        <f ca="1"/>
        <v>0xD1A5</v>
      </c>
      <c r="V3079" s="7" t="str">
        <f ca="1"/>
        <v>LiveViewExposurePreview</v>
      </c>
    </row>
    <row r="3080" spans="20:22" x14ac:dyDescent="0.25">
      <c r="T3080" s="7" t="str">
        <f ca="1"/>
        <v>D4S</v>
      </c>
      <c r="U3080" s="7" t="str">
        <f ca="1"/>
        <v>0xD1A6</v>
      </c>
      <c r="V3080" s="7" t="str">
        <f ca="1"/>
        <v>LiveViewSelector</v>
      </c>
    </row>
    <row r="3081" spans="20:22" x14ac:dyDescent="0.25">
      <c r="T3081" s="7" t="str">
        <f ca="1"/>
        <v>D4S</v>
      </c>
      <c r="U3081" s="7" t="str">
        <f ca="1"/>
        <v>0xD1A7</v>
      </c>
      <c r="V3081" s="7" t="str">
        <f ca="1"/>
        <v>LiveViewWhiteBalance</v>
      </c>
    </row>
    <row r="3082" spans="20:22" x14ac:dyDescent="0.25">
      <c r="T3082" s="7" t="str">
        <f ca="1"/>
        <v>D4S</v>
      </c>
      <c r="U3082" s="7" t="str">
        <f ca="1"/>
        <v>0xD1A8</v>
      </c>
      <c r="V3082" s="7" t="str">
        <f ca="1"/>
        <v>MovieShutterSpeed</v>
      </c>
    </row>
    <row r="3083" spans="20:22" x14ac:dyDescent="0.25">
      <c r="T3083" s="7" t="str">
        <f ca="1"/>
        <v>D4S</v>
      </c>
      <c r="U3083" s="7" t="str">
        <f ca="1"/>
        <v>0xD1A9</v>
      </c>
      <c r="V3083" s="7" t="str">
        <f ca="1"/>
        <v>MovieFnumber</v>
      </c>
    </row>
    <row r="3084" spans="20:22" x14ac:dyDescent="0.25">
      <c r="T3084" s="7" t="str">
        <f ca="1"/>
        <v>D4S</v>
      </c>
      <c r="U3084" s="7" t="str">
        <f ca="1"/>
        <v>0xD1AA</v>
      </c>
      <c r="V3084" s="7" t="str">
        <f ca="1"/>
        <v>MovieExposureIndex</v>
      </c>
    </row>
    <row r="3085" spans="20:22" x14ac:dyDescent="0.25">
      <c r="T3085" s="7" t="str">
        <f ca="1"/>
        <v>D4S</v>
      </c>
      <c r="U3085" s="7" t="str">
        <f ca="1"/>
        <v>0xD1AB</v>
      </c>
      <c r="V3085" s="7" t="str">
        <f ca="1"/>
        <v>MovieExposureBiasCompensation</v>
      </c>
    </row>
    <row r="3086" spans="20:22" x14ac:dyDescent="0.25">
      <c r="T3086" s="7" t="str">
        <f ca="1"/>
        <v>D4S</v>
      </c>
      <c r="U3086" s="7" t="str">
        <f ca="1"/>
        <v>0xD1AC</v>
      </c>
      <c r="V3086" s="7" t="str">
        <f ca="1"/>
        <v>LiveViewImageSize</v>
      </c>
    </row>
    <row r="3087" spans="20:22" x14ac:dyDescent="0.25">
      <c r="T3087" s="7" t="str">
        <f ca="1"/>
        <v>D4S</v>
      </c>
      <c r="U3087" s="7" t="str">
        <f ca="1"/>
        <v>0xD1AD</v>
      </c>
      <c r="V3087" s="7" t="str">
        <f ca="1"/>
        <v>LiveViewPhotography</v>
      </c>
    </row>
    <row r="3088" spans="20:22" x14ac:dyDescent="0.25">
      <c r="T3088" s="7" t="str">
        <f ca="1"/>
        <v>D4S</v>
      </c>
      <c r="U3088" s="7" t="str">
        <f ca="1"/>
        <v>0xD1B0</v>
      </c>
      <c r="V3088" s="7" t="str">
        <f ca="1"/>
        <v>ExposureDisplayStatus</v>
      </c>
    </row>
    <row r="3089" spans="20:22" x14ac:dyDescent="0.25">
      <c r="T3089" s="7" t="str">
        <f ca="1"/>
        <v>D4S</v>
      </c>
      <c r="U3089" s="7" t="str">
        <f ca="1"/>
        <v>0xD1B1</v>
      </c>
      <c r="V3089" s="7" t="str">
        <f ca="1"/>
        <v>ExposureIndicateStatus</v>
      </c>
    </row>
    <row r="3090" spans="20:22" x14ac:dyDescent="0.25">
      <c r="T3090" s="7" t="str">
        <f ca="1"/>
        <v>D4S</v>
      </c>
      <c r="U3090" s="7" t="str">
        <f ca="1"/>
        <v>0xD1B2</v>
      </c>
      <c r="V3090" s="7" t="str">
        <f ca="1"/>
        <v>InfoDisplayErrorStatus</v>
      </c>
    </row>
    <row r="3091" spans="20:22" x14ac:dyDescent="0.25">
      <c r="T3091" s="7" t="str">
        <f ca="1"/>
        <v>D4S</v>
      </c>
      <c r="U3091" s="7" t="str">
        <f ca="1"/>
        <v>0xD1B3</v>
      </c>
      <c r="V3091" s="7" t="str">
        <f ca="1"/>
        <v>ExposureIndicateLightup</v>
      </c>
    </row>
    <row r="3092" spans="20:22" x14ac:dyDescent="0.25">
      <c r="T3092" s="7" t="str">
        <f ca="1"/>
        <v>D4S</v>
      </c>
      <c r="U3092" s="7" t="str">
        <f ca="1"/>
        <v>0xD1B4</v>
      </c>
      <c r="V3092" s="7" t="str">
        <f ca="1"/>
        <v>ContinuousShootingCount</v>
      </c>
    </row>
    <row r="3093" spans="20:22" x14ac:dyDescent="0.25">
      <c r="T3093" s="7" t="str">
        <f ca="1"/>
        <v>D4S</v>
      </c>
      <c r="U3093" s="7" t="str">
        <f ca="1"/>
        <v>0xD1B7</v>
      </c>
      <c r="V3093" s="7" t="str">
        <f ca="1"/>
        <v>MovieRecFrameCount</v>
      </c>
    </row>
    <row r="3094" spans="20:22" x14ac:dyDescent="0.25">
      <c r="T3094" s="7" t="str">
        <f ca="1"/>
        <v>D4S</v>
      </c>
      <c r="U3094" s="7" t="str">
        <f ca="1"/>
        <v>0xD1F0</v>
      </c>
      <c r="V3094" s="7" t="str">
        <f ca="1"/>
        <v>ApplicationMode</v>
      </c>
    </row>
    <row r="3095" spans="20:22" x14ac:dyDescent="0.25">
      <c r="T3095" s="7" t="str">
        <f ca="1"/>
        <v>D4S</v>
      </c>
      <c r="U3095" s="7" t="str">
        <f ca="1"/>
        <v>0xD1F1</v>
      </c>
      <c r="V3095" s="7" t="str">
        <f ca="1"/>
        <v>ExposureRemaining</v>
      </c>
    </row>
    <row r="3096" spans="20:22" x14ac:dyDescent="0.25">
      <c r="T3096" s="7" t="str">
        <f ca="1"/>
        <v>D4S</v>
      </c>
      <c r="U3096" s="7" t="str">
        <f ca="1"/>
        <v>0xD1F2</v>
      </c>
      <c r="V3096" s="7" t="str">
        <f ca="1"/>
        <v>ActiveSlot</v>
      </c>
    </row>
    <row r="3097" spans="20:22" x14ac:dyDescent="0.25">
      <c r="T3097" s="7" t="str">
        <f ca="1"/>
        <v>D4S</v>
      </c>
      <c r="U3097" s="7" t="str">
        <f ca="1"/>
        <v>0xD1F4</v>
      </c>
      <c r="V3097" s="7" t="str">
        <f ca="1"/>
        <v>ISOAutoShutterTimeCorrectionValue</v>
      </c>
    </row>
    <row r="3098" spans="20:22" x14ac:dyDescent="0.25">
      <c r="T3098" s="7" t="str">
        <f ca="1"/>
        <v>D4S</v>
      </c>
      <c r="U3098" s="7" t="str">
        <f ca="1"/>
        <v>0xD200</v>
      </c>
      <c r="V3098" s="7" t="str">
        <f ca="1"/>
        <v>ActivePicCtrlItem</v>
      </c>
    </row>
    <row r="3099" spans="20:22" x14ac:dyDescent="0.25">
      <c r="T3099" s="7" t="str">
        <f ca="1"/>
        <v>D4S</v>
      </c>
      <c r="U3099" s="7" t="str">
        <f ca="1"/>
        <v>0xD201</v>
      </c>
      <c r="V3099" s="7" t="str">
        <f ca="1"/>
        <v>ChangePicCtrlItem</v>
      </c>
    </row>
    <row r="3100" spans="20:22" x14ac:dyDescent="0.25">
      <c r="T3100" s="7" t="str">
        <f ca="1"/>
        <v>D4S</v>
      </c>
      <c r="U3100" s="7" t="str">
        <f ca="1"/>
        <v>0xD303</v>
      </c>
      <c r="V3100" s="7" t="str">
        <f ca="1"/>
        <v>UseDeviceStageFlag</v>
      </c>
    </row>
    <row r="3101" spans="20:22" x14ac:dyDescent="0.25">
      <c r="T3101" s="7" t="str">
        <f ca="1"/>
        <v>D4S</v>
      </c>
      <c r="U3101" s="7" t="str">
        <f ca="1"/>
        <v>0xD406</v>
      </c>
      <c r="V3101" s="7" t="str">
        <f ca="1"/>
        <v>SessionInitiatorVersionInfo</v>
      </c>
    </row>
    <row r="3102" spans="20:22" x14ac:dyDescent="0.25">
      <c r="T3102" s="7" t="str">
        <f ca="1"/>
        <v>D4S</v>
      </c>
      <c r="U3102" s="7" t="str">
        <f ca="1"/>
        <v>0xD407</v>
      </c>
      <c r="V3102" s="7" t="str">
        <f ca="1"/>
        <v>PerceivedDeviceType</v>
      </c>
    </row>
    <row r="3103" spans="20:22" x14ac:dyDescent="0.25">
      <c r="T3103" s="7" t="str">
        <f ca="1"/>
        <v>D4</v>
      </c>
      <c r="U3103" s="7" t="str">
        <f ca="1"/>
        <v>0x5001</v>
      </c>
      <c r="V3103" s="7" t="str">
        <f ca="1"/>
        <v>BatteryLevel</v>
      </c>
    </row>
    <row r="3104" spans="20:22" x14ac:dyDescent="0.25">
      <c r="T3104" s="7" t="str">
        <f ca="1"/>
        <v>D4</v>
      </c>
      <c r="U3104" s="7" t="str">
        <f ca="1"/>
        <v>0x5003</v>
      </c>
      <c r="V3104" s="7" t="str">
        <f ca="1"/>
        <v>ImageSize</v>
      </c>
    </row>
    <row r="3105" spans="20:22" x14ac:dyDescent="0.25">
      <c r="T3105" s="7" t="str">
        <f ca="1"/>
        <v>D4</v>
      </c>
      <c r="U3105" s="7" t="str">
        <f ca="1"/>
        <v>0x5004</v>
      </c>
      <c r="V3105" s="7" t="str">
        <f ca="1"/>
        <v>CompressionSetting</v>
      </c>
    </row>
    <row r="3106" spans="20:22" x14ac:dyDescent="0.25">
      <c r="T3106" s="7" t="str">
        <f ca="1"/>
        <v>D4</v>
      </c>
      <c r="U3106" s="7" t="str">
        <f ca="1"/>
        <v>0x5005</v>
      </c>
      <c r="V3106" s="7" t="str">
        <f ca="1"/>
        <v>WhiteBalance</v>
      </c>
    </row>
    <row r="3107" spans="20:22" x14ac:dyDescent="0.25">
      <c r="T3107" s="7" t="str">
        <f ca="1"/>
        <v>D4</v>
      </c>
      <c r="U3107" s="7" t="str">
        <f ca="1"/>
        <v>0x5007</v>
      </c>
      <c r="V3107" s="7" t="str">
        <f ca="1"/>
        <v>Fnumber</v>
      </c>
    </row>
    <row r="3108" spans="20:22" x14ac:dyDescent="0.25">
      <c r="T3108" s="7" t="str">
        <f ca="1"/>
        <v>D4</v>
      </c>
      <c r="U3108" s="7" t="str">
        <f ca="1"/>
        <v>0x5008</v>
      </c>
      <c r="V3108" s="7" t="str">
        <f ca="1"/>
        <v>FocalLength</v>
      </c>
    </row>
    <row r="3109" spans="20:22" x14ac:dyDescent="0.25">
      <c r="T3109" s="7" t="str">
        <f ca="1"/>
        <v>D4</v>
      </c>
      <c r="U3109" s="7" t="str">
        <f ca="1"/>
        <v>0x500A</v>
      </c>
      <c r="V3109" s="7" t="str">
        <f ca="1"/>
        <v>FocusMode</v>
      </c>
    </row>
    <row r="3110" spans="20:22" x14ac:dyDescent="0.25">
      <c r="T3110" s="7" t="str">
        <f ca="1"/>
        <v>D4</v>
      </c>
      <c r="U3110" s="7" t="str">
        <f ca="1"/>
        <v>0x500B</v>
      </c>
      <c r="V3110" s="7" t="str">
        <f ca="1"/>
        <v>ExposureMeteringMode</v>
      </c>
    </row>
    <row r="3111" spans="20:22" x14ac:dyDescent="0.25">
      <c r="T3111" s="7" t="str">
        <f ca="1"/>
        <v>D4</v>
      </c>
      <c r="U3111" s="7" t="str">
        <f ca="1"/>
        <v>0x500C</v>
      </c>
      <c r="V3111" s="7" t="str">
        <f ca="1"/>
        <v>FlashMode</v>
      </c>
    </row>
    <row r="3112" spans="20:22" x14ac:dyDescent="0.25">
      <c r="T3112" s="7" t="str">
        <f ca="1"/>
        <v>D4</v>
      </c>
      <c r="U3112" s="7" t="str">
        <f ca="1"/>
        <v>0x500D</v>
      </c>
      <c r="V3112" s="7" t="str">
        <f ca="1"/>
        <v>ExposureTime</v>
      </c>
    </row>
    <row r="3113" spans="20:22" x14ac:dyDescent="0.25">
      <c r="T3113" s="7" t="str">
        <f ca="1"/>
        <v>D4</v>
      </c>
      <c r="U3113" s="7" t="str">
        <f ca="1"/>
        <v>0x500E</v>
      </c>
      <c r="V3113" s="7" t="str">
        <f ca="1"/>
        <v>ExposureProgramMode</v>
      </c>
    </row>
    <row r="3114" spans="20:22" x14ac:dyDescent="0.25">
      <c r="T3114" s="7" t="str">
        <f ca="1"/>
        <v>D4</v>
      </c>
      <c r="U3114" s="7" t="str">
        <f ca="1"/>
        <v>0x500F</v>
      </c>
      <c r="V3114" s="7" t="str">
        <f ca="1"/>
        <v>ExposureIndex</v>
      </c>
    </row>
    <row r="3115" spans="20:22" x14ac:dyDescent="0.25">
      <c r="T3115" s="7" t="str">
        <f ca="1"/>
        <v>D4</v>
      </c>
      <c r="U3115" s="7" t="str">
        <f ca="1"/>
        <v>0x5010</v>
      </c>
      <c r="V3115" s="7" t="str">
        <f ca="1"/>
        <v>ExposureBiasCompensation</v>
      </c>
    </row>
    <row r="3116" spans="20:22" x14ac:dyDescent="0.25">
      <c r="T3116" s="7" t="str">
        <f ca="1"/>
        <v>D4</v>
      </c>
      <c r="U3116" s="7" t="str">
        <f ca="1"/>
        <v>0x5011</v>
      </c>
      <c r="V3116" s="7" t="str">
        <f ca="1"/>
        <v>DateTime</v>
      </c>
    </row>
    <row r="3117" spans="20:22" x14ac:dyDescent="0.25">
      <c r="T3117" s="7" t="str">
        <f ca="1"/>
        <v>D4</v>
      </c>
      <c r="U3117" s="7" t="str">
        <f ca="1"/>
        <v>0x5013</v>
      </c>
      <c r="V3117" s="7" t="str">
        <f ca="1"/>
        <v>StillCaptureMode</v>
      </c>
    </row>
    <row r="3118" spans="20:22" x14ac:dyDescent="0.25">
      <c r="T3118" s="7" t="str">
        <f ca="1"/>
        <v>D4</v>
      </c>
      <c r="U3118" s="7" t="str">
        <f ca="1"/>
        <v>0x5018</v>
      </c>
      <c r="V3118" s="7" t="str">
        <f ca="1"/>
        <v>BurstNumber</v>
      </c>
    </row>
    <row r="3119" spans="20:22" x14ac:dyDescent="0.25">
      <c r="T3119" s="7" t="str">
        <f ca="1"/>
        <v>D4</v>
      </c>
      <c r="U3119" s="7" t="str">
        <f ca="1"/>
        <v>0x501C</v>
      </c>
      <c r="V3119" s="7" t="str">
        <f ca="1"/>
        <v>FocusMeteringMode</v>
      </c>
    </row>
    <row r="3120" spans="20:22" x14ac:dyDescent="0.25">
      <c r="T3120" s="7" t="str">
        <f ca="1"/>
        <v>D4</v>
      </c>
      <c r="U3120" s="7" t="str">
        <f ca="1"/>
        <v>0x501E</v>
      </c>
      <c r="V3120" s="7" t="str">
        <f ca="1"/>
        <v>Artist</v>
      </c>
    </row>
    <row r="3121" spans="20:22" x14ac:dyDescent="0.25">
      <c r="T3121" s="7" t="str">
        <f ca="1"/>
        <v>D4</v>
      </c>
      <c r="U3121" s="7" t="str">
        <f ca="1"/>
        <v>0x501F</v>
      </c>
      <c r="V3121" s="7" t="str">
        <f ca="1"/>
        <v>Copyright</v>
      </c>
    </row>
    <row r="3122" spans="20:22" x14ac:dyDescent="0.25">
      <c r="T3122" s="7" t="str">
        <f ca="1"/>
        <v>D4</v>
      </c>
      <c r="U3122" s="7" t="str">
        <f ca="1"/>
        <v>0xD010</v>
      </c>
      <c r="V3122" s="7" t="str">
        <f ca="1"/>
        <v>ShootingMenuBank</v>
      </c>
    </row>
    <row r="3123" spans="20:22" x14ac:dyDescent="0.25">
      <c r="T3123" s="7" t="str">
        <f ca="1"/>
        <v>D4</v>
      </c>
      <c r="U3123" s="7" t="str">
        <f ca="1"/>
        <v>0xD011</v>
      </c>
      <c r="V3123" s="7" t="str">
        <f ca="1"/>
        <v>ShootingBankNameA</v>
      </c>
    </row>
    <row r="3124" spans="20:22" x14ac:dyDescent="0.25">
      <c r="T3124" s="7" t="str">
        <f ca="1"/>
        <v>D4</v>
      </c>
      <c r="U3124" s="7" t="str">
        <f ca="1"/>
        <v>0xD012</v>
      </c>
      <c r="V3124" s="7" t="str">
        <f ca="1"/>
        <v>ShootingBankNameB</v>
      </c>
    </row>
    <row r="3125" spans="20:22" x14ac:dyDescent="0.25">
      <c r="T3125" s="7" t="str">
        <f ca="1"/>
        <v>D4</v>
      </c>
      <c r="U3125" s="7" t="str">
        <f ca="1"/>
        <v>0xD013</v>
      </c>
      <c r="V3125" s="7" t="str">
        <f ca="1"/>
        <v>ShootingBankNameC</v>
      </c>
    </row>
    <row r="3126" spans="20:22" x14ac:dyDescent="0.25">
      <c r="T3126" s="7" t="str">
        <f ca="1"/>
        <v>D4</v>
      </c>
      <c r="U3126" s="7" t="str">
        <f ca="1"/>
        <v>0xD014</v>
      </c>
      <c r="V3126" s="7" t="str">
        <f ca="1"/>
        <v>ShootingBankNameD</v>
      </c>
    </row>
    <row r="3127" spans="20:22" x14ac:dyDescent="0.25">
      <c r="T3127" s="7" t="str">
        <f ca="1"/>
        <v>D4</v>
      </c>
      <c r="U3127" s="7" t="str">
        <f ca="1"/>
        <v>0xD015</v>
      </c>
      <c r="V3127" s="7" t="str">
        <f ca="1"/>
        <v>ResetShootingMenu</v>
      </c>
    </row>
    <row r="3128" spans="20:22" x14ac:dyDescent="0.25">
      <c r="T3128" s="7" t="str">
        <f ca="1"/>
        <v>D4</v>
      </c>
      <c r="U3128" s="7" t="str">
        <f ca="1"/>
        <v>0xD016</v>
      </c>
      <c r="V3128" s="7" t="str">
        <f ca="1"/>
        <v>RawCompressionType</v>
      </c>
    </row>
    <row r="3129" spans="20:22" x14ac:dyDescent="0.25">
      <c r="T3129" s="7" t="str">
        <f ca="1"/>
        <v>D4</v>
      </c>
      <c r="U3129" s="7" t="str">
        <f ca="1"/>
        <v>0xD017</v>
      </c>
      <c r="V3129" s="7" t="str">
        <f ca="1"/>
        <v>WbTuneAuto</v>
      </c>
    </row>
    <row r="3130" spans="20:22" x14ac:dyDescent="0.25">
      <c r="T3130" s="7" t="str">
        <f ca="1"/>
        <v>D4</v>
      </c>
      <c r="U3130" s="7" t="str">
        <f ca="1"/>
        <v>0xD018</v>
      </c>
      <c r="V3130" s="7" t="str">
        <f ca="1"/>
        <v>WbTuneIncandescent</v>
      </c>
    </row>
    <row r="3131" spans="20:22" x14ac:dyDescent="0.25">
      <c r="T3131" s="7" t="str">
        <f ca="1"/>
        <v>D4</v>
      </c>
      <c r="U3131" s="7" t="str">
        <f ca="1"/>
        <v>0xD019</v>
      </c>
      <c r="V3131" s="7" t="str">
        <f ca="1"/>
        <v>WbTuneFluorescent</v>
      </c>
    </row>
    <row r="3132" spans="20:22" x14ac:dyDescent="0.25">
      <c r="T3132" s="7" t="str">
        <f ca="1"/>
        <v>D4</v>
      </c>
      <c r="U3132" s="7" t="str">
        <f ca="1"/>
        <v>0xD01A</v>
      </c>
      <c r="V3132" s="7" t="str">
        <f ca="1"/>
        <v>WbTuneSunny</v>
      </c>
    </row>
    <row r="3133" spans="20:22" x14ac:dyDescent="0.25">
      <c r="T3133" s="7" t="str">
        <f ca="1"/>
        <v>D4</v>
      </c>
      <c r="U3133" s="7" t="str">
        <f ca="1"/>
        <v>0xD01B</v>
      </c>
      <c r="V3133" s="7" t="str">
        <f ca="1"/>
        <v>WbTuneFlash</v>
      </c>
    </row>
    <row r="3134" spans="20:22" x14ac:dyDescent="0.25">
      <c r="T3134" s="7" t="str">
        <f ca="1"/>
        <v>D4</v>
      </c>
      <c r="U3134" s="7" t="str">
        <f ca="1"/>
        <v>0xD01C</v>
      </c>
      <c r="V3134" s="7" t="str">
        <f ca="1"/>
        <v>WbTuneCloudy</v>
      </c>
    </row>
    <row r="3135" spans="20:22" x14ac:dyDescent="0.25">
      <c r="T3135" s="7" t="str">
        <f ca="1"/>
        <v>D4</v>
      </c>
      <c r="U3135" s="7" t="str">
        <f ca="1"/>
        <v>0xD01D</v>
      </c>
      <c r="V3135" s="7" t="str">
        <f ca="1"/>
        <v>WbTuneShade</v>
      </c>
    </row>
    <row r="3136" spans="20:22" x14ac:dyDescent="0.25">
      <c r="T3136" s="7" t="str">
        <f ca="1"/>
        <v>D4</v>
      </c>
      <c r="U3136" s="7" t="str">
        <f ca="1"/>
        <v>0xD01E</v>
      </c>
      <c r="V3136" s="7" t="str">
        <f ca="1"/>
        <v>WbColorTemp</v>
      </c>
    </row>
    <row r="3137" spans="20:22" x14ac:dyDescent="0.25">
      <c r="T3137" s="7" t="str">
        <f ca="1"/>
        <v>D4</v>
      </c>
      <c r="U3137" s="7" t="str">
        <f ca="1"/>
        <v>0xD01F</v>
      </c>
      <c r="V3137" s="7" t="str">
        <f ca="1"/>
        <v>WbPresetDataNo</v>
      </c>
    </row>
    <row r="3138" spans="20:22" x14ac:dyDescent="0.25">
      <c r="T3138" s="7" t="str">
        <f ca="1"/>
        <v>D4</v>
      </c>
      <c r="U3138" s="7" t="str">
        <f ca="1"/>
        <v>0xD021</v>
      </c>
      <c r="V3138" s="7" t="str">
        <f ca="1"/>
        <v>WbPresetDataComment1</v>
      </c>
    </row>
    <row r="3139" spans="20:22" x14ac:dyDescent="0.25">
      <c r="T3139" s="7" t="str">
        <f ca="1"/>
        <v>D4</v>
      </c>
      <c r="U3139" s="7" t="str">
        <f ca="1"/>
        <v>0xD022</v>
      </c>
      <c r="V3139" s="7" t="str">
        <f ca="1"/>
        <v>WbPresetDataComment2</v>
      </c>
    </row>
    <row r="3140" spans="20:22" x14ac:dyDescent="0.25">
      <c r="T3140" s="7" t="str">
        <f ca="1"/>
        <v>D4</v>
      </c>
      <c r="U3140" s="7" t="str">
        <f ca="1"/>
        <v>0xD023</v>
      </c>
      <c r="V3140" s="7" t="str">
        <f ca="1"/>
        <v>WbPresetDataComment3</v>
      </c>
    </row>
    <row r="3141" spans="20:22" x14ac:dyDescent="0.25">
      <c r="T3141" s="7" t="str">
        <f ca="1"/>
        <v>D4</v>
      </c>
      <c r="U3141" s="7" t="str">
        <f ca="1"/>
        <v>0xD024</v>
      </c>
      <c r="V3141" s="7" t="str">
        <f ca="1"/>
        <v>WbPresetDataComment4</v>
      </c>
    </row>
    <row r="3142" spans="20:22" x14ac:dyDescent="0.25">
      <c r="T3142" s="7" t="str">
        <f ca="1"/>
        <v>D4</v>
      </c>
      <c r="U3142" s="7" t="str">
        <f ca="1"/>
        <v>0xD026</v>
      </c>
      <c r="V3142" s="7" t="str">
        <f ca="1"/>
        <v>WbPresetDataValue1</v>
      </c>
    </row>
    <row r="3143" spans="20:22" x14ac:dyDescent="0.25">
      <c r="T3143" s="7" t="str">
        <f ca="1"/>
        <v>D4</v>
      </c>
      <c r="U3143" s="7" t="str">
        <f ca="1"/>
        <v>0xD027</v>
      </c>
      <c r="V3143" s="7" t="str">
        <f ca="1"/>
        <v>WbPresetDataValue2</v>
      </c>
    </row>
    <row r="3144" spans="20:22" x14ac:dyDescent="0.25">
      <c r="T3144" s="7" t="str">
        <f ca="1"/>
        <v>D4</v>
      </c>
      <c r="U3144" s="7" t="str">
        <f ca="1"/>
        <v>0xD028</v>
      </c>
      <c r="V3144" s="7" t="str">
        <f ca="1"/>
        <v>WbPresetDataValue3</v>
      </c>
    </row>
    <row r="3145" spans="20:22" x14ac:dyDescent="0.25">
      <c r="T3145" s="7" t="str">
        <f ca="1"/>
        <v>D4</v>
      </c>
      <c r="U3145" s="7" t="str">
        <f ca="1"/>
        <v>0xD029</v>
      </c>
      <c r="V3145" s="7" t="str">
        <f ca="1"/>
        <v>WbPresetDataValue4</v>
      </c>
    </row>
    <row r="3146" spans="20:22" x14ac:dyDescent="0.25">
      <c r="T3146" s="7" t="str">
        <f ca="1"/>
        <v>D4</v>
      </c>
      <c r="U3146" s="7" t="str">
        <f ca="1"/>
        <v>0xD02E</v>
      </c>
      <c r="V3146" s="7" t="str">
        <f ca="1"/>
        <v>FmmManualSetting</v>
      </c>
    </row>
    <row r="3147" spans="20:22" x14ac:dyDescent="0.25">
      <c r="T3147" s="7" t="str">
        <f ca="1"/>
        <v>D4</v>
      </c>
      <c r="U3147" s="7" t="str">
        <f ca="1"/>
        <v>0xD02F</v>
      </c>
      <c r="V3147" s="7" t="str">
        <f ca="1"/>
        <v>F0ManualSetting</v>
      </c>
    </row>
    <row r="3148" spans="20:22" x14ac:dyDescent="0.25">
      <c r="T3148" s="7" t="str">
        <f ca="1"/>
        <v>D4</v>
      </c>
      <c r="U3148" s="7" t="str">
        <f ca="1"/>
        <v>0xD030</v>
      </c>
      <c r="V3148" s="7" t="str">
        <f ca="1"/>
        <v>CaptureAreaCrop</v>
      </c>
    </row>
    <row r="3149" spans="20:22" x14ac:dyDescent="0.25">
      <c r="T3149" s="7" t="str">
        <f ca="1"/>
        <v>D4</v>
      </c>
      <c r="U3149" s="7" t="str">
        <f ca="1"/>
        <v>0xD031</v>
      </c>
      <c r="V3149" s="7" t="str">
        <f ca="1"/>
        <v>JpegCompressionPolicy</v>
      </c>
    </row>
    <row r="3150" spans="20:22" x14ac:dyDescent="0.25">
      <c r="T3150" s="7" t="str">
        <f ca="1"/>
        <v>D4</v>
      </c>
      <c r="U3150" s="7" t="str">
        <f ca="1"/>
        <v>0xD032</v>
      </c>
      <c r="V3150" s="7" t="str">
        <f ca="1"/>
        <v>ColorSpace</v>
      </c>
    </row>
    <row r="3151" spans="20:22" x14ac:dyDescent="0.25">
      <c r="T3151" s="7" t="str">
        <f ca="1"/>
        <v>D4</v>
      </c>
      <c r="U3151" s="7" t="str">
        <f ca="1"/>
        <v>0xD033</v>
      </c>
      <c r="V3151" s="7" t="str">
        <f ca="1"/>
        <v>AutoDxCrop</v>
      </c>
    </row>
    <row r="3152" spans="20:22" x14ac:dyDescent="0.25">
      <c r="T3152" s="7" t="str">
        <f ca="1"/>
        <v>D4</v>
      </c>
      <c r="U3152" s="7" t="str">
        <f ca="1"/>
        <v>0xD040</v>
      </c>
      <c r="V3152" s="7" t="str">
        <f ca="1"/>
        <v>CustomSettingBank</v>
      </c>
    </row>
    <row r="3153" spans="20:22" x14ac:dyDescent="0.25">
      <c r="T3153" s="7" t="str">
        <f ca="1"/>
        <v>D4</v>
      </c>
      <c r="U3153" s="7" t="str">
        <f ca="1"/>
        <v>0xD041</v>
      </c>
      <c r="V3153" s="7" t="str">
        <f ca="1"/>
        <v>CustomBankNameA</v>
      </c>
    </row>
    <row r="3154" spans="20:22" x14ac:dyDescent="0.25">
      <c r="T3154" s="7" t="str">
        <f ca="1"/>
        <v>D4</v>
      </c>
      <c r="U3154" s="7" t="str">
        <f ca="1"/>
        <v>0xD042</v>
      </c>
      <c r="V3154" s="7" t="str">
        <f ca="1"/>
        <v>CustomBankNameB</v>
      </c>
    </row>
    <row r="3155" spans="20:22" x14ac:dyDescent="0.25">
      <c r="T3155" s="7" t="str">
        <f ca="1"/>
        <v>D4</v>
      </c>
      <c r="U3155" s="7" t="str">
        <f ca="1"/>
        <v>0xD043</v>
      </c>
      <c r="V3155" s="7" t="str">
        <f ca="1"/>
        <v>CustomBankNameC</v>
      </c>
    </row>
    <row r="3156" spans="20:22" x14ac:dyDescent="0.25">
      <c r="T3156" s="7" t="str">
        <f ca="1"/>
        <v>D4</v>
      </c>
      <c r="U3156" s="7" t="str">
        <f ca="1"/>
        <v>0xD044</v>
      </c>
      <c r="V3156" s="7" t="str">
        <f ca="1"/>
        <v>CustomBankNameD</v>
      </c>
    </row>
    <row r="3157" spans="20:22" x14ac:dyDescent="0.25">
      <c r="T3157" s="7" t="str">
        <f ca="1"/>
        <v>D4</v>
      </c>
      <c r="U3157" s="7" t="str">
        <f ca="1"/>
        <v>0xD045</v>
      </c>
      <c r="V3157" s="7" t="str">
        <f ca="1"/>
        <v>ResetCustomSetting</v>
      </c>
    </row>
    <row r="3158" spans="20:22" x14ac:dyDescent="0.25">
      <c r="T3158" s="7" t="str">
        <f ca="1"/>
        <v>D4</v>
      </c>
      <c r="U3158" s="7" t="str">
        <f ca="1"/>
        <v>0xD048</v>
      </c>
      <c r="V3158" s="7" t="str">
        <f ca="1"/>
        <v>DynamicAFonAFC</v>
      </c>
    </row>
    <row r="3159" spans="20:22" x14ac:dyDescent="0.25">
      <c r="T3159" s="7" t="str">
        <f ca="1"/>
        <v>D4</v>
      </c>
      <c r="U3159" s="7" t="str">
        <f ca="1"/>
        <v>0xD049</v>
      </c>
      <c r="V3159" s="7" t="str">
        <f ca="1"/>
        <v>DynamicAFonAFS</v>
      </c>
    </row>
    <row r="3160" spans="20:22" x14ac:dyDescent="0.25">
      <c r="T3160" s="7" t="str">
        <f ca="1"/>
        <v>D4</v>
      </c>
      <c r="U3160" s="7" t="str">
        <f ca="1"/>
        <v>0xD04F</v>
      </c>
      <c r="V3160" s="7" t="str">
        <f ca="1"/>
        <v>FocusAreaSelect</v>
      </c>
    </row>
    <row r="3161" spans="20:22" x14ac:dyDescent="0.25">
      <c r="T3161" s="7" t="str">
        <f ca="1"/>
        <v>D4</v>
      </c>
      <c r="U3161" s="7" t="str">
        <f ca="1"/>
        <v>0xD051</v>
      </c>
      <c r="V3161" s="7" t="str">
        <f ca="1"/>
        <v>AFStillLockOn</v>
      </c>
    </row>
    <row r="3162" spans="20:22" x14ac:dyDescent="0.25">
      <c r="T3162" s="7" t="str">
        <f ca="1"/>
        <v>D4</v>
      </c>
      <c r="U3162" s="7" t="str">
        <f ca="1"/>
        <v>0xD053</v>
      </c>
      <c r="V3162" s="7" t="str">
        <f ca="1"/>
        <v>EnableCopyright</v>
      </c>
    </row>
    <row r="3163" spans="20:22" x14ac:dyDescent="0.25">
      <c r="T3163" s="7" t="str">
        <f ca="1"/>
        <v>D4</v>
      </c>
      <c r="U3163" s="7" t="str">
        <f ca="1"/>
        <v>0xD054</v>
      </c>
      <c r="V3163" s="7" t="str">
        <f ca="1"/>
        <v>ISOAutoControl</v>
      </c>
    </row>
    <row r="3164" spans="20:22" x14ac:dyDescent="0.25">
      <c r="T3164" s="7" t="str">
        <f ca="1"/>
        <v>D4</v>
      </c>
      <c r="U3164" s="7" t="str">
        <f ca="1"/>
        <v>0xD055</v>
      </c>
      <c r="V3164" s="7" t="str">
        <f ca="1"/>
        <v>IsoStep</v>
      </c>
    </row>
    <row r="3165" spans="20:22" x14ac:dyDescent="0.25">
      <c r="T3165" s="7" t="str">
        <f ca="1"/>
        <v>D4</v>
      </c>
      <c r="U3165" s="7" t="str">
        <f ca="1"/>
        <v>0xD056</v>
      </c>
      <c r="V3165" s="7" t="str">
        <f ca="1"/>
        <v>ExposureEVStep</v>
      </c>
    </row>
    <row r="3166" spans="20:22" x14ac:dyDescent="0.25">
      <c r="T3166" s="7" t="str">
        <f ca="1"/>
        <v>D4</v>
      </c>
      <c r="U3166" s="7" t="str">
        <f ca="1"/>
        <v>0xD057</v>
      </c>
      <c r="V3166" s="7" t="str">
        <f ca="1"/>
        <v>ExposureCompEVStep</v>
      </c>
    </row>
    <row r="3167" spans="20:22" x14ac:dyDescent="0.25">
      <c r="T3167" s="7" t="str">
        <f ca="1"/>
        <v>D4</v>
      </c>
      <c r="U3167" s="7" t="str">
        <f ca="1"/>
        <v>0xD059</v>
      </c>
      <c r="V3167" s="7" t="str">
        <f ca="1"/>
        <v>CenterWeightedExRange</v>
      </c>
    </row>
    <row r="3168" spans="20:22" x14ac:dyDescent="0.25">
      <c r="T3168" s="7" t="str">
        <f ca="1"/>
        <v>D4</v>
      </c>
      <c r="U3168" s="7" t="str">
        <f ca="1"/>
        <v>0xD05A</v>
      </c>
      <c r="V3168" s="7" t="str">
        <f ca="1"/>
        <v>ExposureBaseCompMatrix</v>
      </c>
    </row>
    <row r="3169" spans="20:22" x14ac:dyDescent="0.25">
      <c r="T3169" s="7" t="str">
        <f ca="1"/>
        <v>D4</v>
      </c>
      <c r="U3169" s="7" t="str">
        <f ca="1"/>
        <v>0xD05B</v>
      </c>
      <c r="V3169" s="7" t="str">
        <f ca="1"/>
        <v>ExposureBaseCompCenter</v>
      </c>
    </row>
    <row r="3170" spans="20:22" x14ac:dyDescent="0.25">
      <c r="T3170" s="7" t="str">
        <f ca="1"/>
        <v>D4</v>
      </c>
      <c r="U3170" s="7" t="str">
        <f ca="1"/>
        <v>0xD05C</v>
      </c>
      <c r="V3170" s="7" t="str">
        <f ca="1"/>
        <v>ExposureBaseCompSpot</v>
      </c>
    </row>
    <row r="3171" spans="20:22" x14ac:dyDescent="0.25">
      <c r="T3171" s="7" t="str">
        <f ca="1"/>
        <v>D4</v>
      </c>
      <c r="U3171" s="7" t="str">
        <f ca="1"/>
        <v>0xD05D</v>
      </c>
      <c r="V3171" s="7" t="str">
        <f ca="1"/>
        <v>AfAtLiveView</v>
      </c>
    </row>
    <row r="3172" spans="20:22" x14ac:dyDescent="0.25">
      <c r="T3172" s="7" t="str">
        <f ca="1"/>
        <v>D4</v>
      </c>
      <c r="U3172" s="7" t="str">
        <f ca="1"/>
        <v>0xD061</v>
      </c>
      <c r="V3172" s="7" t="str">
        <f ca="1"/>
        <v>AfModeAtLiveView</v>
      </c>
    </row>
    <row r="3173" spans="20:22" x14ac:dyDescent="0.25">
      <c r="T3173" s="7" t="str">
        <f ca="1"/>
        <v>D4</v>
      </c>
      <c r="U3173" s="7" t="str">
        <f ca="1"/>
        <v>0xD067</v>
      </c>
      <c r="V3173" s="7" t="str">
        <f ca="1"/>
        <v>AngleLevel</v>
      </c>
    </row>
    <row r="3174" spans="20:22" x14ac:dyDescent="0.25">
      <c r="T3174" s="7" t="str">
        <f ca="1"/>
        <v>D4</v>
      </c>
      <c r="U3174" s="7" t="str">
        <f ca="1"/>
        <v>0xD068</v>
      </c>
      <c r="V3174" s="7" t="str">
        <f ca="1"/>
        <v>CSpeedLow</v>
      </c>
    </row>
    <row r="3175" spans="20:22" x14ac:dyDescent="0.25">
      <c r="T3175" s="7" t="str">
        <f ca="1"/>
        <v>D4</v>
      </c>
      <c r="U3175" s="7" t="str">
        <f ca="1"/>
        <v>0xD069</v>
      </c>
      <c r="V3175" s="7" t="str">
        <f ca="1"/>
        <v>BurstMaxNumber</v>
      </c>
    </row>
    <row r="3176" spans="20:22" x14ac:dyDescent="0.25">
      <c r="T3176" s="7" t="str">
        <f ca="1"/>
        <v>D4</v>
      </c>
      <c r="U3176" s="7" t="str">
        <f ca="1"/>
        <v>0xD06A</v>
      </c>
      <c r="V3176" s="7" t="str">
        <f ca="1"/>
        <v>ExposureDelay</v>
      </c>
    </row>
    <row r="3177" spans="20:22" x14ac:dyDescent="0.25">
      <c r="T3177" s="7" t="str">
        <f ca="1"/>
        <v>D4</v>
      </c>
      <c r="U3177" s="7" t="str">
        <f ca="1"/>
        <v>0xD06B</v>
      </c>
      <c r="V3177" s="7" t="str">
        <f ca="1"/>
        <v>NoiseReduction</v>
      </c>
    </row>
    <row r="3178" spans="20:22" x14ac:dyDescent="0.25">
      <c r="T3178" s="7" t="str">
        <f ca="1"/>
        <v>D4</v>
      </c>
      <c r="U3178" s="7" t="str">
        <f ca="1"/>
        <v>0xD06C</v>
      </c>
      <c r="V3178" s="7" t="str">
        <f ca="1"/>
        <v>NumberingMode</v>
      </c>
    </row>
    <row r="3179" spans="20:22" x14ac:dyDescent="0.25">
      <c r="T3179" s="7" t="str">
        <f ca="1"/>
        <v>D4</v>
      </c>
      <c r="U3179" s="7" t="str">
        <f ca="1"/>
        <v>0xD070</v>
      </c>
      <c r="V3179" s="7" t="str">
        <f ca="1"/>
        <v>NoiseReductionHiIso</v>
      </c>
    </row>
    <row r="3180" spans="20:22" x14ac:dyDescent="0.25">
      <c r="T3180" s="7" t="str">
        <f ca="1"/>
        <v>D4</v>
      </c>
      <c r="U3180" s="7" t="str">
        <f ca="1"/>
        <v>0xD072</v>
      </c>
      <c r="V3180" s="7" t="str">
        <f ca="1"/>
        <v>ArtistV</v>
      </c>
    </row>
    <row r="3181" spans="20:22" x14ac:dyDescent="0.25">
      <c r="T3181" s="7" t="str">
        <f ca="1"/>
        <v>D4</v>
      </c>
      <c r="U3181" s="7" t="str">
        <f ca="1"/>
        <v>0xD073</v>
      </c>
      <c r="V3181" s="7" t="str">
        <f ca="1"/>
        <v>CopyrightV</v>
      </c>
    </row>
    <row r="3182" spans="20:22" x14ac:dyDescent="0.25">
      <c r="T3182" s="7" t="str">
        <f ca="1"/>
        <v>D4</v>
      </c>
      <c r="U3182" s="7" t="str">
        <f ca="1"/>
        <v>0xD074</v>
      </c>
      <c r="V3182" s="7" t="str">
        <f ca="1"/>
        <v>FlashSyncSpeed</v>
      </c>
    </row>
    <row r="3183" spans="20:22" x14ac:dyDescent="0.25">
      <c r="T3183" s="7" t="str">
        <f ca="1"/>
        <v>D4</v>
      </c>
      <c r="U3183" s="7" t="str">
        <f ca="1"/>
        <v>0xD075</v>
      </c>
      <c r="V3183" s="7" t="str">
        <f ca="1"/>
        <v>FlashSlowSpeedLimit</v>
      </c>
    </row>
    <row r="3184" spans="20:22" x14ac:dyDescent="0.25">
      <c r="T3184" s="7" t="str">
        <f ca="1"/>
        <v>D4</v>
      </c>
      <c r="U3184" s="7" t="str">
        <f ca="1"/>
        <v>0xD078</v>
      </c>
      <c r="V3184" s="7" t="str">
        <f ca="1"/>
        <v>BracketingType</v>
      </c>
    </row>
    <row r="3185" spans="20:22" x14ac:dyDescent="0.25">
      <c r="T3185" s="7" t="str">
        <f ca="1"/>
        <v>D4</v>
      </c>
      <c r="U3185" s="7" t="str">
        <f ca="1"/>
        <v>0xD079</v>
      </c>
      <c r="V3185" s="7" t="str">
        <f ca="1"/>
        <v>SelectBracketChangeFactor</v>
      </c>
    </row>
    <row r="3186" spans="20:22" x14ac:dyDescent="0.25">
      <c r="T3186" s="7" t="str">
        <f ca="1"/>
        <v>D4</v>
      </c>
      <c r="U3186" s="7" t="str">
        <f ca="1"/>
        <v>0xD07A</v>
      </c>
      <c r="V3186" s="7" t="str">
        <f ca="1"/>
        <v>BracketingOrder</v>
      </c>
    </row>
    <row r="3187" spans="20:22" x14ac:dyDescent="0.25">
      <c r="T3187" s="7" t="str">
        <f ca="1"/>
        <v>D4</v>
      </c>
      <c r="U3187" s="7" t="str">
        <f ca="1"/>
        <v>0xD07D</v>
      </c>
      <c r="V3187" s="7" t="str">
        <f ca="1"/>
        <v>AngleLevelPitching</v>
      </c>
    </row>
    <row r="3188" spans="20:22" x14ac:dyDescent="0.25">
      <c r="T3188" s="7" t="str">
        <f ca="1"/>
        <v>D4</v>
      </c>
      <c r="U3188" s="7" t="str">
        <f ca="1"/>
        <v>0xD07E</v>
      </c>
      <c r="V3188" s="7" t="str">
        <f ca="1"/>
        <v>AngleLevelYawing</v>
      </c>
    </row>
    <row r="3189" spans="20:22" x14ac:dyDescent="0.25">
      <c r="T3189" s="7" t="str">
        <f ca="1"/>
        <v>D4</v>
      </c>
      <c r="U3189" s="7" t="str">
        <f ca="1"/>
        <v>0xD07F</v>
      </c>
      <c r="V3189" s="7" t="str">
        <f ca="1"/>
        <v>ExtendShootingMenu</v>
      </c>
    </row>
    <row r="3190" spans="20:22" x14ac:dyDescent="0.25">
      <c r="T3190" s="7" t="str">
        <f ca="1"/>
        <v>D4</v>
      </c>
      <c r="U3190" s="7" t="str">
        <f ca="1"/>
        <v>0xD087</v>
      </c>
      <c r="V3190" s="7" t="str">
        <f ca="1"/>
        <v>CommandDialFSetting</v>
      </c>
    </row>
    <row r="3191" spans="20:22" x14ac:dyDescent="0.25">
      <c r="T3191" s="7" t="str">
        <f ca="1"/>
        <v>D4</v>
      </c>
      <c r="U3191" s="7" t="str">
        <f ca="1"/>
        <v>0xD08A</v>
      </c>
      <c r="V3191" s="7" t="str">
        <f ca="1"/>
        <v>EnableShutter</v>
      </c>
    </row>
    <row r="3192" spans="20:22" x14ac:dyDescent="0.25">
      <c r="T3192" s="7" t="str">
        <f ca="1"/>
        <v>D4</v>
      </c>
      <c r="U3192" s="7" t="str">
        <f ca="1"/>
        <v>0xD08D</v>
      </c>
      <c r="V3192" s="7" t="str">
        <f ca="1"/>
        <v>EnableAFAreaPoint</v>
      </c>
    </row>
    <row r="3193" spans="20:22" x14ac:dyDescent="0.25">
      <c r="T3193" s="7" t="str">
        <f ca="1"/>
        <v>D4</v>
      </c>
      <c r="U3193" s="7" t="str">
        <f ca="1"/>
        <v>0xD08F</v>
      </c>
      <c r="V3193" s="7" t="str">
        <f ca="1"/>
        <v>ImageSensorCleaning</v>
      </c>
    </row>
    <row r="3194" spans="20:22" x14ac:dyDescent="0.25">
      <c r="T3194" s="7" t="str">
        <f ca="1"/>
        <v>D4</v>
      </c>
      <c r="U3194" s="7" t="str">
        <f ca="1"/>
        <v>0xD090</v>
      </c>
      <c r="V3194" s="7" t="str">
        <f ca="1"/>
        <v>CommentString</v>
      </c>
    </row>
    <row r="3195" spans="20:22" x14ac:dyDescent="0.25">
      <c r="T3195" s="7" t="str">
        <f ca="1"/>
        <v>D4</v>
      </c>
      <c r="U3195" s="7" t="str">
        <f ca="1"/>
        <v>0xD091</v>
      </c>
      <c r="V3195" s="7" t="str">
        <f ca="1"/>
        <v>EnableComment</v>
      </c>
    </row>
    <row r="3196" spans="20:22" x14ac:dyDescent="0.25">
      <c r="T3196" s="7" t="str">
        <f ca="1"/>
        <v>D4</v>
      </c>
      <c r="U3196" s="7" t="str">
        <f ca="1"/>
        <v>0xD092</v>
      </c>
      <c r="V3196" s="7" t="str">
        <f ca="1"/>
        <v>OrientationSensorMode</v>
      </c>
    </row>
    <row r="3197" spans="20:22" x14ac:dyDescent="0.25">
      <c r="T3197" s="7" t="str">
        <f ca="1"/>
        <v>D4</v>
      </c>
      <c r="U3197" s="7" t="str">
        <f ca="1"/>
        <v>0xD093</v>
      </c>
      <c r="V3197" s="7" t="str">
        <f ca="1"/>
        <v>ManualSettingLensNo</v>
      </c>
    </row>
    <row r="3198" spans="20:22" x14ac:dyDescent="0.25">
      <c r="T3198" s="7" t="str">
        <f ca="1"/>
        <v>D4</v>
      </c>
      <c r="U3198" s="7" t="str">
        <f ca="1"/>
        <v>0xD0A0</v>
      </c>
      <c r="V3198" s="7" t="str">
        <f ca="1"/>
        <v>MovieRecordScreenSize</v>
      </c>
    </row>
    <row r="3199" spans="20:22" x14ac:dyDescent="0.25">
      <c r="T3199" s="7" t="str">
        <f ca="1"/>
        <v>D4</v>
      </c>
      <c r="U3199" s="7" t="str">
        <f ca="1"/>
        <v>0xD0A2</v>
      </c>
      <c r="V3199" s="7" t="str">
        <f ca="1"/>
        <v>MovieRecordMicrophoneLevel</v>
      </c>
    </row>
    <row r="3200" spans="20:22" x14ac:dyDescent="0.25">
      <c r="T3200" s="7" t="str">
        <f ca="1"/>
        <v>D4</v>
      </c>
      <c r="U3200" s="7" t="str">
        <f ca="1"/>
        <v>0xD0A3</v>
      </c>
      <c r="V3200" s="7" t="str">
        <f ca="1"/>
        <v>MovieRecordDestination</v>
      </c>
    </row>
    <row r="3201" spans="20:22" x14ac:dyDescent="0.25">
      <c r="T3201" s="7" t="str">
        <f ca="1"/>
        <v>D4</v>
      </c>
      <c r="U3201" s="7" t="str">
        <f ca="1"/>
        <v>0xD0A4</v>
      </c>
      <c r="V3201" s="7" t="str">
        <f ca="1"/>
        <v>MovieRecProhibitionCondition</v>
      </c>
    </row>
    <row r="3202" spans="20:22" x14ac:dyDescent="0.25">
      <c r="T3202" s="7" t="str">
        <f ca="1"/>
        <v>D4</v>
      </c>
      <c r="U3202" s="7" t="str">
        <f ca="1"/>
        <v>0xD0A7</v>
      </c>
      <c r="V3202" s="7" t="str">
        <f ca="1"/>
        <v>MovieRecordQuality</v>
      </c>
    </row>
    <row r="3203" spans="20:22" x14ac:dyDescent="0.25">
      <c r="T3203" s="7" t="str">
        <f ca="1"/>
        <v>D4</v>
      </c>
      <c r="U3203" s="7" t="str">
        <f ca="1"/>
        <v>0xD0A8</v>
      </c>
      <c r="V3203" s="7" t="str">
        <f ca="1"/>
        <v>MovieRecordMicrophoneLevelValue</v>
      </c>
    </row>
    <row r="3204" spans="20:22" x14ac:dyDescent="0.25">
      <c r="T3204" s="7" t="str">
        <f ca="1"/>
        <v>D4</v>
      </c>
      <c r="U3204" s="7" t="str">
        <f ca="1"/>
        <v>0xD0A9</v>
      </c>
      <c r="V3204" s="7" t="str">
        <f ca="1"/>
        <v>MovieIsoRange</v>
      </c>
    </row>
    <row r="3205" spans="20:22" x14ac:dyDescent="0.25">
      <c r="T3205" s="7" t="str">
        <f ca="1"/>
        <v>D4</v>
      </c>
      <c r="U3205" s="7" t="str">
        <f ca="1"/>
        <v>0xD0B4</v>
      </c>
      <c r="V3205" s="7" t="str">
        <f ca="1"/>
        <v>ExposureIndexEx</v>
      </c>
    </row>
    <row r="3206" spans="20:22" x14ac:dyDescent="0.25">
      <c r="T3206" s="7" t="str">
        <f ca="1"/>
        <v>D4</v>
      </c>
      <c r="U3206" s="7" t="str">
        <f ca="1"/>
        <v>0xD0C0</v>
      </c>
      <c r="V3206" s="7" t="str">
        <f ca="1"/>
        <v>EnableBracketing</v>
      </c>
    </row>
    <row r="3207" spans="20:22" x14ac:dyDescent="0.25">
      <c r="T3207" s="7" t="str">
        <f ca="1"/>
        <v>D4</v>
      </c>
      <c r="U3207" s="7" t="str">
        <f ca="1"/>
        <v>0xD0C1</v>
      </c>
      <c r="V3207" s="7" t="str">
        <f ca="1"/>
        <v>AEBracketingStep</v>
      </c>
    </row>
    <row r="3208" spans="20:22" x14ac:dyDescent="0.25">
      <c r="T3208" s="7" t="str">
        <f ca="1"/>
        <v>D4</v>
      </c>
      <c r="U3208" s="7" t="str">
        <f ca="1"/>
        <v>0xD0C2</v>
      </c>
      <c r="V3208" s="7" t="str">
        <f ca="1"/>
        <v>AEBracketingPattern</v>
      </c>
    </row>
    <row r="3209" spans="20:22" x14ac:dyDescent="0.25">
      <c r="T3209" s="7" t="str">
        <f ca="1"/>
        <v>D4</v>
      </c>
      <c r="U3209" s="7" t="str">
        <f ca="1"/>
        <v>0xD0C3</v>
      </c>
      <c r="V3209" s="7" t="str">
        <f ca="1"/>
        <v>AEBracketingCount</v>
      </c>
    </row>
    <row r="3210" spans="20:22" x14ac:dyDescent="0.25">
      <c r="T3210" s="7" t="str">
        <f ca="1"/>
        <v>D4</v>
      </c>
      <c r="U3210" s="7" t="str">
        <f ca="1"/>
        <v>0xD0C4</v>
      </c>
      <c r="V3210" s="7" t="str">
        <f ca="1"/>
        <v>WBBracketingStep</v>
      </c>
    </row>
    <row r="3211" spans="20:22" x14ac:dyDescent="0.25">
      <c r="T3211" s="7" t="str">
        <f ca="1"/>
        <v>D4</v>
      </c>
      <c r="U3211" s="7" t="str">
        <f ca="1"/>
        <v>0xD0C5</v>
      </c>
      <c r="V3211" s="7" t="str">
        <f ca="1"/>
        <v>WBBracketingPattern</v>
      </c>
    </row>
    <row r="3212" spans="20:22" x14ac:dyDescent="0.25">
      <c r="T3212" s="7" t="str">
        <f ca="1"/>
        <v>D4</v>
      </c>
      <c r="U3212" s="7" t="str">
        <f ca="1"/>
        <v>0xD0C6</v>
      </c>
      <c r="V3212" s="7" t="str">
        <f ca="1"/>
        <v>ADLBracketingPattern</v>
      </c>
    </row>
    <row r="3213" spans="20:22" x14ac:dyDescent="0.25">
      <c r="T3213" s="7" t="str">
        <f ca="1"/>
        <v>D4</v>
      </c>
      <c r="U3213" s="7" t="str">
        <f ca="1"/>
        <v>0xD0C7</v>
      </c>
      <c r="V3213" s="7" t="str">
        <f ca="1"/>
        <v>ADLBracketingStep</v>
      </c>
    </row>
    <row r="3214" spans="20:22" x14ac:dyDescent="0.25">
      <c r="T3214" s="7" t="str">
        <f ca="1"/>
        <v>D4</v>
      </c>
      <c r="U3214" s="7" t="str">
        <f ca="1"/>
        <v>0xD0E0</v>
      </c>
      <c r="V3214" s="7" t="str">
        <f ca="1"/>
        <v>LensID</v>
      </c>
    </row>
    <row r="3215" spans="20:22" x14ac:dyDescent="0.25">
      <c r="T3215" s="7" t="str">
        <f ca="1"/>
        <v>D4</v>
      </c>
      <c r="U3215" s="7" t="str">
        <f ca="1"/>
        <v>0xD0E1</v>
      </c>
      <c r="V3215" s="7" t="str">
        <f ca="1"/>
        <v>LensSort</v>
      </c>
    </row>
    <row r="3216" spans="20:22" x14ac:dyDescent="0.25">
      <c r="T3216" s="7" t="str">
        <f ca="1"/>
        <v>D4</v>
      </c>
      <c r="U3216" s="7" t="str">
        <f ca="1"/>
        <v>0xD0E2</v>
      </c>
      <c r="V3216" s="7" t="str">
        <f ca="1"/>
        <v>LensType</v>
      </c>
    </row>
    <row r="3217" spans="20:22" x14ac:dyDescent="0.25">
      <c r="T3217" s="7" t="str">
        <f ca="1"/>
        <v>D4</v>
      </c>
      <c r="U3217" s="7" t="str">
        <f ca="1"/>
        <v>0xD0E3</v>
      </c>
      <c r="V3217" s="7" t="str">
        <f ca="1"/>
        <v>LensFocalMin</v>
      </c>
    </row>
    <row r="3218" spans="20:22" x14ac:dyDescent="0.25">
      <c r="T3218" s="7" t="str">
        <f ca="1"/>
        <v>D4</v>
      </c>
      <c r="U3218" s="7" t="str">
        <f ca="1"/>
        <v>0xD0E4</v>
      </c>
      <c r="V3218" s="7" t="str">
        <f ca="1"/>
        <v>LensFocalMax</v>
      </c>
    </row>
    <row r="3219" spans="20:22" x14ac:dyDescent="0.25">
      <c r="T3219" s="7" t="str">
        <f ca="1"/>
        <v>D4</v>
      </c>
      <c r="U3219" s="7" t="str">
        <f ca="1"/>
        <v>0xD0E5</v>
      </c>
      <c r="V3219" s="7" t="str">
        <f ca="1"/>
        <v>LensApatureMin</v>
      </c>
    </row>
    <row r="3220" spans="20:22" x14ac:dyDescent="0.25">
      <c r="T3220" s="7" t="str">
        <f ca="1"/>
        <v>D4</v>
      </c>
      <c r="U3220" s="7" t="str">
        <f ca="1"/>
        <v>0xD0E6</v>
      </c>
      <c r="V3220" s="7" t="str">
        <f ca="1"/>
        <v>LensApatureMax</v>
      </c>
    </row>
    <row r="3221" spans="20:22" x14ac:dyDescent="0.25">
      <c r="T3221" s="7" t="str">
        <f ca="1"/>
        <v>D4</v>
      </c>
      <c r="U3221" s="7" t="str">
        <f ca="1"/>
        <v>0xD0F7</v>
      </c>
      <c r="V3221" s="7" t="str">
        <f ca="1"/>
        <v>VignetteControl</v>
      </c>
    </row>
    <row r="3222" spans="20:22" x14ac:dyDescent="0.25">
      <c r="T3222" s="7" t="str">
        <f ca="1"/>
        <v>D4</v>
      </c>
      <c r="U3222" s="7" t="str">
        <f ca="1"/>
        <v>0xD0F8</v>
      </c>
      <c r="V3222" s="7" t="str">
        <f ca="1"/>
        <v>AutoDistortion</v>
      </c>
    </row>
    <row r="3223" spans="20:22" x14ac:dyDescent="0.25">
      <c r="T3223" s="7" t="str">
        <f ca="1"/>
        <v>D4</v>
      </c>
      <c r="U3223" s="7" t="str">
        <f ca="1"/>
        <v>0xD100</v>
      </c>
      <c r="V3223" s="7" t="str">
        <f ca="1"/>
        <v>ShutterSpeed</v>
      </c>
    </row>
    <row r="3224" spans="20:22" x14ac:dyDescent="0.25">
      <c r="T3224" s="7" t="str">
        <f ca="1"/>
        <v>D4</v>
      </c>
      <c r="U3224" s="7" t="str">
        <f ca="1"/>
        <v>0xD101</v>
      </c>
      <c r="V3224" s="7" t="str">
        <f ca="1"/>
        <v>ExternalDC</v>
      </c>
    </row>
    <row r="3225" spans="20:22" x14ac:dyDescent="0.25">
      <c r="T3225" s="7" t="str">
        <f ca="1"/>
        <v>D4</v>
      </c>
      <c r="U3225" s="7" t="str">
        <f ca="1"/>
        <v>0xD102</v>
      </c>
      <c r="V3225" s="7" t="str">
        <f ca="1"/>
        <v>WarningStatus</v>
      </c>
    </row>
    <row r="3226" spans="20:22" x14ac:dyDescent="0.25">
      <c r="T3226" s="7" t="str">
        <f ca="1"/>
        <v>D4</v>
      </c>
      <c r="U3226" s="7" t="str">
        <f ca="1"/>
        <v>0xD103</v>
      </c>
      <c r="V3226" s="7" t="str">
        <f ca="1"/>
        <v>RemainingExposure</v>
      </c>
    </row>
    <row r="3227" spans="20:22" x14ac:dyDescent="0.25">
      <c r="T3227" s="7" t="str">
        <f ca="1"/>
        <v>D4</v>
      </c>
      <c r="U3227" s="7" t="str">
        <f ca="1"/>
        <v>0xD104</v>
      </c>
      <c r="V3227" s="7" t="str">
        <f ca="1"/>
        <v>AFLockStatus</v>
      </c>
    </row>
    <row r="3228" spans="20:22" x14ac:dyDescent="0.25">
      <c r="T3228" s="7" t="str">
        <f ca="1"/>
        <v>D4</v>
      </c>
      <c r="U3228" s="7" t="str">
        <f ca="1"/>
        <v>0xD105</v>
      </c>
      <c r="V3228" s="7" t="str">
        <f ca="1"/>
        <v>AELockStatus</v>
      </c>
    </row>
    <row r="3229" spans="20:22" x14ac:dyDescent="0.25">
      <c r="T3229" s="7" t="str">
        <f ca="1"/>
        <v>D4</v>
      </c>
      <c r="U3229" s="7" t="str">
        <f ca="1"/>
        <v>0xD106</v>
      </c>
      <c r="V3229" s="7" t="str">
        <f ca="1"/>
        <v>FVLockStatus</v>
      </c>
    </row>
    <row r="3230" spans="20:22" x14ac:dyDescent="0.25">
      <c r="T3230" s="7" t="str">
        <f ca="1"/>
        <v>D4</v>
      </c>
      <c r="U3230" s="7" t="str">
        <f ca="1"/>
        <v>0xD108</v>
      </c>
      <c r="V3230" s="7" t="str">
        <f ca="1"/>
        <v>FocusArea</v>
      </c>
    </row>
    <row r="3231" spans="20:22" x14ac:dyDescent="0.25">
      <c r="T3231" s="7" t="str">
        <f ca="1"/>
        <v>D4</v>
      </c>
      <c r="U3231" s="7" t="str">
        <f ca="1"/>
        <v>0xD109</v>
      </c>
      <c r="V3231" s="7" t="str">
        <f ca="1"/>
        <v>FlexibleProgram</v>
      </c>
    </row>
    <row r="3232" spans="20:22" x14ac:dyDescent="0.25">
      <c r="T3232" s="7" t="str">
        <f ca="1"/>
        <v>D4</v>
      </c>
      <c r="U3232" s="7" t="str">
        <f ca="1"/>
        <v>0xD10B</v>
      </c>
      <c r="V3232" s="7" t="str">
        <f ca="1"/>
        <v>RecordingMedia</v>
      </c>
    </row>
    <row r="3233" spans="20:22" x14ac:dyDescent="0.25">
      <c r="T3233" s="7" t="str">
        <f ca="1"/>
        <v>D4</v>
      </c>
      <c r="U3233" s="7" t="str">
        <f ca="1"/>
        <v>0xD10E</v>
      </c>
      <c r="V3233" s="7" t="str">
        <f ca="1"/>
        <v>Orientation</v>
      </c>
    </row>
    <row r="3234" spans="20:22" x14ac:dyDescent="0.25">
      <c r="T3234" s="7" t="str">
        <f ca="1"/>
        <v>D4</v>
      </c>
      <c r="U3234" s="7" t="str">
        <f ca="1"/>
        <v>0xD112</v>
      </c>
      <c r="V3234" s="7" t="str">
        <f ca="1"/>
        <v>TVLockSetting</v>
      </c>
    </row>
    <row r="3235" spans="20:22" x14ac:dyDescent="0.25">
      <c r="T3235" s="7" t="str">
        <f ca="1"/>
        <v>D4</v>
      </c>
      <c r="U3235" s="7" t="str">
        <f ca="1"/>
        <v>0xD113</v>
      </c>
      <c r="V3235" s="7" t="str">
        <f ca="1"/>
        <v>AVLockSetting</v>
      </c>
    </row>
    <row r="3236" spans="20:22" x14ac:dyDescent="0.25">
      <c r="T3236" s="7" t="str">
        <f ca="1"/>
        <v>D4</v>
      </c>
      <c r="U3236" s="7" t="str">
        <f ca="1"/>
        <v>0xD118</v>
      </c>
      <c r="V3236" s="7" t="str">
        <f ca="1"/>
        <v>ExposureCompFlashUsed</v>
      </c>
    </row>
    <row r="3237" spans="20:22" x14ac:dyDescent="0.25">
      <c r="T3237" s="7" t="str">
        <f ca="1"/>
        <v>D4</v>
      </c>
      <c r="U3237" s="7" t="str">
        <f ca="1"/>
        <v>0xD120</v>
      </c>
      <c r="V3237" s="7" t="str">
        <f ca="1"/>
        <v>ExternalSpeedLightExist</v>
      </c>
    </row>
    <row r="3238" spans="20:22" x14ac:dyDescent="0.25">
      <c r="T3238" s="7" t="str">
        <f ca="1"/>
        <v>D4</v>
      </c>
      <c r="U3238" s="7" t="str">
        <f ca="1"/>
        <v>0xD121</v>
      </c>
      <c r="V3238" s="7" t="str">
        <f ca="1"/>
        <v>ExternalSpeedLightStatus</v>
      </c>
    </row>
    <row r="3239" spans="20:22" x14ac:dyDescent="0.25">
      <c r="T3239" s="7" t="str">
        <f ca="1"/>
        <v>D4</v>
      </c>
      <c r="U3239" s="7" t="str">
        <f ca="1"/>
        <v>0xD122</v>
      </c>
      <c r="V3239" s="7" t="str">
        <f ca="1"/>
        <v>ExternalSpeedLightSort</v>
      </c>
    </row>
    <row r="3240" spans="20:22" x14ac:dyDescent="0.25">
      <c r="T3240" s="7" t="str">
        <f ca="1"/>
        <v>D4</v>
      </c>
      <c r="U3240" s="7" t="str">
        <f ca="1"/>
        <v>0xD124</v>
      </c>
      <c r="V3240" s="7" t="str">
        <f ca="1"/>
        <v>FlashCompensation</v>
      </c>
    </row>
    <row r="3241" spans="20:22" x14ac:dyDescent="0.25">
      <c r="T3241" s="7" t="str">
        <f ca="1"/>
        <v>D4</v>
      </c>
      <c r="U3241" s="7" t="str">
        <f ca="1"/>
        <v>0xD125</v>
      </c>
      <c r="V3241" s="7" t="str">
        <f ca="1"/>
        <v>NewExternalSpeedLightMode</v>
      </c>
    </row>
    <row r="3242" spans="20:22" x14ac:dyDescent="0.25">
      <c r="T3242" s="7" t="str">
        <f ca="1"/>
        <v>D4</v>
      </c>
      <c r="U3242" s="7" t="str">
        <f ca="1"/>
        <v>0xD130</v>
      </c>
      <c r="V3242" s="7" t="str">
        <f ca="1"/>
        <v>HDRMode</v>
      </c>
    </row>
    <row r="3243" spans="20:22" x14ac:dyDescent="0.25">
      <c r="T3243" s="7" t="str">
        <f ca="1"/>
        <v>D4</v>
      </c>
      <c r="U3243" s="7" t="str">
        <f ca="1"/>
        <v>0xD131</v>
      </c>
      <c r="V3243" s="7" t="str">
        <f ca="1"/>
        <v>HDREv</v>
      </c>
    </row>
    <row r="3244" spans="20:22" x14ac:dyDescent="0.25">
      <c r="T3244" s="7" t="str">
        <f ca="1"/>
        <v>D4</v>
      </c>
      <c r="U3244" s="7" t="str">
        <f ca="1"/>
        <v>0xD132</v>
      </c>
      <c r="V3244" s="7" t="str">
        <f ca="1"/>
        <v>HDRSmoothing</v>
      </c>
    </row>
    <row r="3245" spans="20:22" x14ac:dyDescent="0.25">
      <c r="T3245" s="7" t="str">
        <f ca="1"/>
        <v>D4</v>
      </c>
      <c r="U3245" s="7" t="str">
        <f ca="1"/>
        <v>0xD141</v>
      </c>
      <c r="V3245" s="7" t="str">
        <f ca="1"/>
        <v>WbTuneAutoType</v>
      </c>
    </row>
    <row r="3246" spans="20:22" x14ac:dyDescent="0.25">
      <c r="T3246" s="7" t="str">
        <f ca="1"/>
        <v>D4</v>
      </c>
      <c r="U3246" s="7" t="str">
        <f ca="1"/>
        <v>0xD148</v>
      </c>
      <c r="V3246" s="7" t="str">
        <f ca="1"/>
        <v>Slot2ImageSaveMode</v>
      </c>
    </row>
    <row r="3247" spans="20:22" x14ac:dyDescent="0.25">
      <c r="T3247" s="7" t="str">
        <f ca="1"/>
        <v>D4</v>
      </c>
      <c r="U3247" s="7" t="str">
        <f ca="1"/>
        <v>0xD149</v>
      </c>
      <c r="V3247" s="7" t="str">
        <f ca="1"/>
        <v>RawCompressionBitMode</v>
      </c>
    </row>
    <row r="3248" spans="20:22" x14ac:dyDescent="0.25">
      <c r="T3248" s="7" t="str">
        <f ca="1"/>
        <v>D4</v>
      </c>
      <c r="U3248" s="7" t="str">
        <f ca="1"/>
        <v>0xD14E</v>
      </c>
      <c r="V3248" s="7" t="str">
        <f ca="1"/>
        <v>Active</v>
      </c>
    </row>
    <row r="3249" spans="20:22" x14ac:dyDescent="0.25">
      <c r="T3249" s="7" t="str">
        <f ca="1"/>
        <v>D4</v>
      </c>
      <c r="U3249" s="7" t="str">
        <f ca="1"/>
        <v>0xD14F</v>
      </c>
      <c r="V3249" s="7" t="str">
        <f ca="1"/>
        <v>WbTuneFluorescentType</v>
      </c>
    </row>
    <row r="3250" spans="20:22" x14ac:dyDescent="0.25">
      <c r="T3250" s="7" t="str">
        <f ca="1"/>
        <v>D4</v>
      </c>
      <c r="U3250" s="7" t="str">
        <f ca="1"/>
        <v>0xD150</v>
      </c>
      <c r="V3250" s="7" t="str">
        <f ca="1"/>
        <v>WbTuneColorTemp</v>
      </c>
    </row>
    <row r="3251" spans="20:22" x14ac:dyDescent="0.25">
      <c r="T3251" s="7" t="str">
        <f ca="1"/>
        <v>D4</v>
      </c>
      <c r="U3251" s="7" t="str">
        <f ca="1"/>
        <v>0xD152</v>
      </c>
      <c r="V3251" s="7" t="str">
        <f ca="1"/>
        <v>WbTune</v>
      </c>
    </row>
    <row r="3252" spans="20:22" x14ac:dyDescent="0.25">
      <c r="T3252" s="7" t="str">
        <f ca="1"/>
        <v>D4</v>
      </c>
      <c r="U3252" s="7" t="str">
        <f ca="1"/>
        <v>0xD153</v>
      </c>
      <c r="V3252" s="7" t="str">
        <f ca="1"/>
        <v>WbTune</v>
      </c>
    </row>
    <row r="3253" spans="20:22" x14ac:dyDescent="0.25">
      <c r="T3253" s="7" t="str">
        <f ca="1"/>
        <v>D4</v>
      </c>
      <c r="U3253" s="7" t="str">
        <f ca="1"/>
        <v>0xD154</v>
      </c>
      <c r="V3253" s="7" t="str">
        <f ca="1"/>
        <v>WbTune</v>
      </c>
    </row>
    <row r="3254" spans="20:22" x14ac:dyDescent="0.25">
      <c r="T3254" s="7" t="str">
        <f ca="1"/>
        <v>D4</v>
      </c>
      <c r="U3254" s="7" t="str">
        <f ca="1"/>
        <v>0xD155</v>
      </c>
      <c r="V3254" s="7" t="str">
        <f ca="1"/>
        <v>WbTune</v>
      </c>
    </row>
    <row r="3255" spans="20:22" x14ac:dyDescent="0.25">
      <c r="T3255" s="7" t="str">
        <f ca="1"/>
        <v>D4</v>
      </c>
      <c r="U3255" s="7" t="str">
        <f ca="1"/>
        <v>0xD156</v>
      </c>
      <c r="V3255" s="7" t="str">
        <f ca="1"/>
        <v>PrimarySlot</v>
      </c>
    </row>
    <row r="3256" spans="20:22" x14ac:dyDescent="0.25">
      <c r="T3256" s="7" t="str">
        <f ca="1"/>
        <v>D4</v>
      </c>
      <c r="U3256" s="7" t="str">
        <f ca="1"/>
        <v>0xD158</v>
      </c>
      <c r="V3256" s="7" t="str">
        <f ca="1"/>
        <v>WbTunePresetProtect1</v>
      </c>
    </row>
    <row r="3257" spans="20:22" x14ac:dyDescent="0.25">
      <c r="T3257" s="7" t="str">
        <f ca="1"/>
        <v>D4</v>
      </c>
      <c r="U3257" s="7" t="str">
        <f ca="1"/>
        <v>0xD159</v>
      </c>
      <c r="V3257" s="7" t="str">
        <f ca="1"/>
        <v>WbTunePresetProtect2</v>
      </c>
    </row>
    <row r="3258" spans="20:22" x14ac:dyDescent="0.25">
      <c r="T3258" s="7" t="str">
        <f ca="1"/>
        <v>D4</v>
      </c>
      <c r="U3258" s="7" t="str">
        <f ca="1"/>
        <v>0xD15A</v>
      </c>
      <c r="V3258" s="7" t="str">
        <f ca="1"/>
        <v>WbTunePresetProtect3</v>
      </c>
    </row>
    <row r="3259" spans="20:22" x14ac:dyDescent="0.25">
      <c r="T3259" s="7" t="str">
        <f ca="1"/>
        <v>D4</v>
      </c>
      <c r="U3259" s="7" t="str">
        <f ca="1"/>
        <v>0xD15B</v>
      </c>
      <c r="V3259" s="7" t="str">
        <f ca="1"/>
        <v>ActiveFolder</v>
      </c>
    </row>
    <row r="3260" spans="20:22" x14ac:dyDescent="0.25">
      <c r="T3260" s="7" t="str">
        <f ca="1"/>
        <v>D4</v>
      </c>
      <c r="U3260" s="7" t="str">
        <f ca="1"/>
        <v>0xD15C</v>
      </c>
      <c r="V3260" s="7" t="str">
        <f ca="1"/>
        <v>WbTunePresetProtect4</v>
      </c>
    </row>
    <row r="3261" spans="20:22" x14ac:dyDescent="0.25">
      <c r="T3261" s="7" t="str">
        <f ca="1"/>
        <v>D4</v>
      </c>
      <c r="U3261" s="7" t="str">
        <f ca="1"/>
        <v>0xD15D</v>
      </c>
      <c r="V3261" s="7" t="str">
        <f ca="1"/>
        <v>WhiteBalanceReset</v>
      </c>
    </row>
    <row r="3262" spans="20:22" x14ac:dyDescent="0.25">
      <c r="T3262" s="7" t="str">
        <f ca="1"/>
        <v>D4</v>
      </c>
      <c r="U3262" s="7" t="str">
        <f ca="1"/>
        <v>0xD161</v>
      </c>
      <c r="V3262" s="7" t="str">
        <f ca="1"/>
        <v>AFModeSelect</v>
      </c>
    </row>
    <row r="3263" spans="20:22" x14ac:dyDescent="0.25">
      <c r="T3263" s="7" t="str">
        <f ca="1"/>
        <v>D4</v>
      </c>
      <c r="U3263" s="7" t="str">
        <f ca="1"/>
        <v>0xD164</v>
      </c>
      <c r="V3263" s="7" t="str">
        <f ca="1"/>
        <v>ISOAutoShutterTime</v>
      </c>
    </row>
    <row r="3264" spans="20:22" x14ac:dyDescent="0.25">
      <c r="T3264" s="7" t="str">
        <f ca="1"/>
        <v>D4</v>
      </c>
      <c r="U3264" s="7" t="str">
        <f ca="1"/>
        <v>0xD183</v>
      </c>
      <c r="V3264" s="7" t="str">
        <f ca="1"/>
        <v>ISOAutoHighLimit</v>
      </c>
    </row>
    <row r="3265" spans="20:22" x14ac:dyDescent="0.25">
      <c r="T3265" s="7" t="str">
        <f ca="1"/>
        <v>D4</v>
      </c>
      <c r="U3265" s="7" t="str">
        <f ca="1"/>
        <v>0xD186</v>
      </c>
      <c r="V3265" s="7" t="str">
        <f ca="1"/>
        <v>CSpeedHigh</v>
      </c>
    </row>
    <row r="3266" spans="20:22" x14ac:dyDescent="0.25">
      <c r="T3266" s="7" t="str">
        <f ca="1"/>
        <v>D4</v>
      </c>
      <c r="U3266" s="7" t="str">
        <f ca="1"/>
        <v>0xD197</v>
      </c>
      <c r="V3266" s="7" t="str">
        <f ca="1"/>
        <v>MovieReleaseButton</v>
      </c>
    </row>
    <row r="3267" spans="20:22" x14ac:dyDescent="0.25">
      <c r="T3267" s="7" t="str">
        <f ca="1"/>
        <v>D4</v>
      </c>
      <c r="U3267" s="7" t="str">
        <f ca="1"/>
        <v>0xD1A2</v>
      </c>
      <c r="V3267" s="7" t="str">
        <f ca="1"/>
        <v>LiveViewStatus</v>
      </c>
    </row>
    <row r="3268" spans="20:22" x14ac:dyDescent="0.25">
      <c r="T3268" s="7" t="str">
        <f ca="1"/>
        <v>D4</v>
      </c>
      <c r="U3268" s="7" t="str">
        <f ca="1"/>
        <v>0xD1A3</v>
      </c>
      <c r="V3268" s="7" t="str">
        <f ca="1"/>
        <v>LiveViewImageZoomRatio</v>
      </c>
    </row>
    <row r="3269" spans="20:22" x14ac:dyDescent="0.25">
      <c r="T3269" s="7" t="str">
        <f ca="1"/>
        <v>D4</v>
      </c>
      <c r="U3269" s="7" t="str">
        <f ca="1"/>
        <v>0xD1A4</v>
      </c>
      <c r="V3269" s="7" t="str">
        <f ca="1"/>
        <v>LiveViewProhibitionCondition</v>
      </c>
    </row>
    <row r="3270" spans="20:22" x14ac:dyDescent="0.25">
      <c r="T3270" s="7" t="str">
        <f ca="1"/>
        <v>D4</v>
      </c>
      <c r="U3270" s="7" t="str">
        <f ca="1"/>
        <v>0xD1A5</v>
      </c>
      <c r="V3270" s="7" t="str">
        <f ca="1"/>
        <v>LiveViewExposurePreview</v>
      </c>
    </row>
    <row r="3271" spans="20:22" x14ac:dyDescent="0.25">
      <c r="T3271" s="7" t="str">
        <f ca="1"/>
        <v>D4</v>
      </c>
      <c r="U3271" s="7" t="str">
        <f ca="1"/>
        <v>0xD1A6</v>
      </c>
      <c r="V3271" s="7" t="str">
        <f ca="1"/>
        <v>LiveViewSelector</v>
      </c>
    </row>
    <row r="3272" spans="20:22" x14ac:dyDescent="0.25">
      <c r="T3272" s="7" t="str">
        <f ca="1"/>
        <v>D4</v>
      </c>
      <c r="U3272" s="7" t="str">
        <f ca="1"/>
        <v>0xD1A7</v>
      </c>
      <c r="V3272" s="7" t="str">
        <f ca="1"/>
        <v>LiveViewWhiteBalance</v>
      </c>
    </row>
    <row r="3273" spans="20:22" x14ac:dyDescent="0.25">
      <c r="T3273" s="7" t="str">
        <f ca="1"/>
        <v>D4</v>
      </c>
      <c r="U3273" s="7" t="str">
        <f ca="1"/>
        <v>0xD1A8</v>
      </c>
      <c r="V3273" s="7" t="str">
        <f ca="1"/>
        <v>MovieShutterSpeed</v>
      </c>
    </row>
    <row r="3274" spans="20:22" x14ac:dyDescent="0.25">
      <c r="T3274" s="7" t="str">
        <f ca="1"/>
        <v>D4</v>
      </c>
      <c r="U3274" s="7" t="str">
        <f ca="1"/>
        <v>0xD1A9</v>
      </c>
      <c r="V3274" s="7" t="str">
        <f ca="1"/>
        <v>MovieFnumber</v>
      </c>
    </row>
    <row r="3275" spans="20:22" x14ac:dyDescent="0.25">
      <c r="T3275" s="7" t="str">
        <f ca="1"/>
        <v>D4</v>
      </c>
      <c r="U3275" s="7" t="str">
        <f ca="1"/>
        <v>0xD1AA</v>
      </c>
      <c r="V3275" s="7" t="str">
        <f ca="1"/>
        <v>MovieExposureIndex</v>
      </c>
    </row>
    <row r="3276" spans="20:22" x14ac:dyDescent="0.25">
      <c r="T3276" s="7" t="str">
        <f ca="1"/>
        <v>D4</v>
      </c>
      <c r="U3276" s="7" t="str">
        <f ca="1"/>
        <v>0xD1AB</v>
      </c>
      <c r="V3276" s="7" t="str">
        <f ca="1"/>
        <v>MovieExposureBiasCompensation</v>
      </c>
    </row>
    <row r="3277" spans="20:22" x14ac:dyDescent="0.25">
      <c r="T3277" s="7" t="str">
        <f ca="1"/>
        <v>D4</v>
      </c>
      <c r="U3277" s="7" t="str">
        <f ca="1"/>
        <v>0xD1AC</v>
      </c>
      <c r="V3277" s="7" t="str">
        <f ca="1"/>
        <v>LiveViewImageSize</v>
      </c>
    </row>
    <row r="3278" spans="20:22" x14ac:dyDescent="0.25">
      <c r="T3278" s="7" t="str">
        <f ca="1"/>
        <v>D4</v>
      </c>
      <c r="U3278" s="7" t="str">
        <f ca="1"/>
        <v>0xD1AD</v>
      </c>
      <c r="V3278" s="7" t="str">
        <f ca="1"/>
        <v>LiveViewPhotography</v>
      </c>
    </row>
    <row r="3279" spans="20:22" x14ac:dyDescent="0.25">
      <c r="T3279" s="7" t="str">
        <f ca="1"/>
        <v>D4</v>
      </c>
      <c r="U3279" s="7" t="str">
        <f ca="1"/>
        <v>0xD1B0</v>
      </c>
      <c r="V3279" s="7" t="str">
        <f ca="1"/>
        <v>ExposureDisplayStatus</v>
      </c>
    </row>
    <row r="3280" spans="20:22" x14ac:dyDescent="0.25">
      <c r="T3280" s="7" t="str">
        <f ca="1"/>
        <v>D4</v>
      </c>
      <c r="U3280" s="7" t="str">
        <f ca="1"/>
        <v>0xD1B1</v>
      </c>
      <c r="V3280" s="7" t="str">
        <f ca="1"/>
        <v>ExposureIndicateStatus</v>
      </c>
    </row>
    <row r="3281" spans="20:22" x14ac:dyDescent="0.25">
      <c r="T3281" s="7" t="str">
        <f ca="1"/>
        <v>D4</v>
      </c>
      <c r="U3281" s="7" t="str">
        <f ca="1"/>
        <v>0xD1B2</v>
      </c>
      <c r="V3281" s="7" t="str">
        <f ca="1"/>
        <v>InfoDisplayErrorStatus</v>
      </c>
    </row>
    <row r="3282" spans="20:22" x14ac:dyDescent="0.25">
      <c r="T3282" s="7" t="str">
        <f ca="1"/>
        <v>D4</v>
      </c>
      <c r="U3282" s="7" t="str">
        <f ca="1"/>
        <v>0xD1B3</v>
      </c>
      <c r="V3282" s="7" t="str">
        <f ca="1"/>
        <v>ExposureIndicateLightup</v>
      </c>
    </row>
    <row r="3283" spans="20:22" x14ac:dyDescent="0.25">
      <c r="T3283" s="7" t="str">
        <f ca="1"/>
        <v>D4</v>
      </c>
      <c r="U3283" s="7" t="str">
        <f ca="1"/>
        <v>0xD1B4</v>
      </c>
      <c r="V3283" s="7" t="str">
        <f ca="1"/>
        <v>ContinuousShootingCount</v>
      </c>
    </row>
    <row r="3284" spans="20:22" x14ac:dyDescent="0.25">
      <c r="T3284" s="7" t="str">
        <f ca="1"/>
        <v>D4</v>
      </c>
      <c r="U3284" s="7" t="str">
        <f ca="1"/>
        <v>0xD1B7</v>
      </c>
      <c r="V3284" s="7" t="str">
        <f ca="1"/>
        <v>MovieRecFrameCount</v>
      </c>
    </row>
    <row r="3285" spans="20:22" x14ac:dyDescent="0.25">
      <c r="T3285" s="7" t="str">
        <f ca="1"/>
        <v>D4</v>
      </c>
      <c r="U3285" s="7" t="str">
        <f ca="1"/>
        <v>0xD1F0</v>
      </c>
      <c r="V3285" s="7" t="str">
        <f ca="1"/>
        <v>ApplicationMode</v>
      </c>
    </row>
    <row r="3286" spans="20:22" x14ac:dyDescent="0.25">
      <c r="T3286" s="7" t="str">
        <f ca="1"/>
        <v>D4</v>
      </c>
      <c r="U3286" s="7" t="str">
        <f ca="1"/>
        <v>0xD1F1</v>
      </c>
      <c r="V3286" s="7" t="str">
        <f ca="1"/>
        <v>ExposureRemaining</v>
      </c>
    </row>
    <row r="3287" spans="20:22" x14ac:dyDescent="0.25">
      <c r="T3287" s="7" t="str">
        <f ca="1"/>
        <v>D4</v>
      </c>
      <c r="U3287" s="7" t="str">
        <f ca="1"/>
        <v>0xD1F2</v>
      </c>
      <c r="V3287" s="7" t="str">
        <f ca="1"/>
        <v>ActiveSlot</v>
      </c>
    </row>
    <row r="3288" spans="20:22" x14ac:dyDescent="0.25">
      <c r="T3288" s="7" t="str">
        <f ca="1"/>
        <v>D4</v>
      </c>
      <c r="U3288" s="7" t="str">
        <f ca="1"/>
        <v>0xD1F4</v>
      </c>
      <c r="V3288" s="7" t="str">
        <f ca="1"/>
        <v>ISOAutoShutterTimeCorrectionValue</v>
      </c>
    </row>
    <row r="3289" spans="20:22" x14ac:dyDescent="0.25">
      <c r="T3289" s="7" t="str">
        <f ca="1"/>
        <v>D4</v>
      </c>
      <c r="U3289" s="7" t="str">
        <f ca="1"/>
        <v>0xD200</v>
      </c>
      <c r="V3289" s="7" t="str">
        <f ca="1"/>
        <v>ActivePicCtrlItem</v>
      </c>
    </row>
    <row r="3290" spans="20:22" x14ac:dyDescent="0.25">
      <c r="T3290" s="7" t="str">
        <f ca="1"/>
        <v>D4</v>
      </c>
      <c r="U3290" s="7" t="str">
        <f ca="1"/>
        <v>0xD201</v>
      </c>
      <c r="V3290" s="7" t="str">
        <f ca="1"/>
        <v>ChangePicCtrlItem</v>
      </c>
    </row>
    <row r="3291" spans="20:22" x14ac:dyDescent="0.25">
      <c r="T3291" s="7" t="str">
        <f ca="1"/>
        <v>D4</v>
      </c>
      <c r="U3291" s="7" t="str">
        <f ca="1"/>
        <v>0xD303</v>
      </c>
      <c r="V3291" s="7" t="str">
        <f ca="1"/>
        <v>UseDeviceStageFlag</v>
      </c>
    </row>
    <row r="3292" spans="20:22" x14ac:dyDescent="0.25">
      <c r="T3292" s="7" t="str">
        <f ca="1"/>
        <v>D4</v>
      </c>
      <c r="U3292" s="7" t="str">
        <f ca="1"/>
        <v>0xD406</v>
      </c>
      <c r="V3292" s="7" t="str">
        <f ca="1"/>
        <v>SessionInitiatorVersionInfo</v>
      </c>
    </row>
    <row r="3293" spans="20:22" x14ac:dyDescent="0.25">
      <c r="T3293" s="7" t="str">
        <f ca="1"/>
        <v>D4</v>
      </c>
      <c r="U3293" s="7" t="str">
        <f ca="1"/>
        <v>0xD407</v>
      </c>
      <c r="V3293" s="7" t="str">
        <f ca="1"/>
        <v>PerceivedDeviceType</v>
      </c>
    </row>
    <row r="3294" spans="20:22" x14ac:dyDescent="0.25">
      <c r="T3294" s="7" t="str">
        <f ca="1"/>
        <v>D3X</v>
      </c>
      <c r="U3294" s="7" t="str">
        <f ca="1"/>
        <v>0x5001</v>
      </c>
      <c r="V3294" s="7" t="str">
        <f ca="1"/>
        <v>BatteryLevel</v>
      </c>
    </row>
    <row r="3295" spans="20:22" x14ac:dyDescent="0.25">
      <c r="T3295" s="7" t="str">
        <f ca="1"/>
        <v>D3X</v>
      </c>
      <c r="U3295" s="7" t="str">
        <f ca="1"/>
        <v>0x5003</v>
      </c>
      <c r="V3295" s="7" t="str">
        <f ca="1"/>
        <v>ImageSize</v>
      </c>
    </row>
    <row r="3296" spans="20:22" x14ac:dyDescent="0.25">
      <c r="T3296" s="7" t="str">
        <f ca="1"/>
        <v>D3X</v>
      </c>
      <c r="U3296" s="7" t="str">
        <f ca="1"/>
        <v>0x5004</v>
      </c>
      <c r="V3296" s="7" t="str">
        <f ca="1"/>
        <v>CompressionSetting</v>
      </c>
    </row>
    <row r="3297" spans="20:22" x14ac:dyDescent="0.25">
      <c r="T3297" s="7" t="str">
        <f ca="1"/>
        <v>D3X</v>
      </c>
      <c r="U3297" s="7" t="str">
        <f ca="1"/>
        <v>0x5005</v>
      </c>
      <c r="V3297" s="7" t="str">
        <f ca="1"/>
        <v>WhiteBalance</v>
      </c>
    </row>
    <row r="3298" spans="20:22" x14ac:dyDescent="0.25">
      <c r="T3298" s="7" t="str">
        <f ca="1"/>
        <v>D3X</v>
      </c>
      <c r="U3298" s="7" t="str">
        <f ca="1"/>
        <v>0x5007</v>
      </c>
      <c r="V3298" s="7" t="str">
        <f ca="1"/>
        <v>Fnumber</v>
      </c>
    </row>
    <row r="3299" spans="20:22" x14ac:dyDescent="0.25">
      <c r="T3299" s="7" t="str">
        <f ca="1"/>
        <v>D3X</v>
      </c>
      <c r="U3299" s="7" t="str">
        <f ca="1"/>
        <v>0x5008</v>
      </c>
      <c r="V3299" s="7" t="str">
        <f ca="1"/>
        <v>FocalLength</v>
      </c>
    </row>
    <row r="3300" spans="20:22" x14ac:dyDescent="0.25">
      <c r="T3300" s="7" t="str">
        <f ca="1"/>
        <v>D3X</v>
      </c>
      <c r="U3300" s="7" t="str">
        <f ca="1"/>
        <v>0x500A</v>
      </c>
      <c r="V3300" s="7" t="str">
        <f ca="1"/>
        <v>FocusMode</v>
      </c>
    </row>
    <row r="3301" spans="20:22" x14ac:dyDescent="0.25">
      <c r="T3301" s="7" t="str">
        <f ca="1"/>
        <v>D3X</v>
      </c>
      <c r="U3301" s="7" t="str">
        <f ca="1"/>
        <v>0x500B</v>
      </c>
      <c r="V3301" s="7" t="str">
        <f ca="1"/>
        <v>ExposureMeteringMode</v>
      </c>
    </row>
    <row r="3302" spans="20:22" x14ac:dyDescent="0.25">
      <c r="T3302" s="7" t="str">
        <f ca="1"/>
        <v>D3X</v>
      </c>
      <c r="U3302" s="7" t="str">
        <f ca="1"/>
        <v>0x500C</v>
      </c>
      <c r="V3302" s="7" t="str">
        <f ca="1"/>
        <v>FlashMode</v>
      </c>
    </row>
    <row r="3303" spans="20:22" x14ac:dyDescent="0.25">
      <c r="T3303" s="7" t="str">
        <f ca="1"/>
        <v>D3X</v>
      </c>
      <c r="U3303" s="7" t="str">
        <f ca="1"/>
        <v>0x500D</v>
      </c>
      <c r="V3303" s="7" t="str">
        <f ca="1"/>
        <v>ExposureTime</v>
      </c>
    </row>
    <row r="3304" spans="20:22" x14ac:dyDescent="0.25">
      <c r="T3304" s="7" t="str">
        <f ca="1"/>
        <v>D3X</v>
      </c>
      <c r="U3304" s="7" t="str">
        <f ca="1"/>
        <v>0x500E</v>
      </c>
      <c r="V3304" s="7" t="str">
        <f ca="1"/>
        <v>ExposureProgramMode</v>
      </c>
    </row>
    <row r="3305" spans="20:22" x14ac:dyDescent="0.25">
      <c r="T3305" s="7" t="str">
        <f ca="1"/>
        <v>D3X</v>
      </c>
      <c r="U3305" s="7" t="str">
        <f ca="1"/>
        <v>0x500F</v>
      </c>
      <c r="V3305" s="7" t="str">
        <f ca="1"/>
        <v>ExposureIndex</v>
      </c>
    </row>
    <row r="3306" spans="20:22" x14ac:dyDescent="0.25">
      <c r="T3306" s="7" t="str">
        <f ca="1"/>
        <v>D3X</v>
      </c>
      <c r="U3306" s="7" t="str">
        <f ca="1"/>
        <v>0x5010</v>
      </c>
      <c r="V3306" s="7" t="str">
        <f ca="1"/>
        <v>ExposureBiasCompensation</v>
      </c>
    </row>
    <row r="3307" spans="20:22" x14ac:dyDescent="0.25">
      <c r="T3307" s="7" t="str">
        <f ca="1"/>
        <v>D3X</v>
      </c>
      <c r="U3307" s="7" t="str">
        <f ca="1"/>
        <v>0x5011</v>
      </c>
      <c r="V3307" s="7" t="str">
        <f ca="1"/>
        <v>DateTime</v>
      </c>
    </row>
    <row r="3308" spans="20:22" x14ac:dyDescent="0.25">
      <c r="T3308" s="7" t="str">
        <f ca="1"/>
        <v>D3X</v>
      </c>
      <c r="U3308" s="7" t="str">
        <f ca="1"/>
        <v>0x5013</v>
      </c>
      <c r="V3308" s="7" t="str">
        <f ca="1"/>
        <v>StillCaptureMode</v>
      </c>
    </row>
    <row r="3309" spans="20:22" x14ac:dyDescent="0.25">
      <c r="T3309" s="7" t="str">
        <f ca="1"/>
        <v>D3X</v>
      </c>
      <c r="U3309" s="7" t="str">
        <f ca="1"/>
        <v>0x5018</v>
      </c>
      <c r="V3309" s="7" t="str">
        <f ca="1"/>
        <v>BurstNumber</v>
      </c>
    </row>
    <row r="3310" spans="20:22" x14ac:dyDescent="0.25">
      <c r="T3310" s="7" t="str">
        <f ca="1"/>
        <v>D3X</v>
      </c>
      <c r="U3310" s="7" t="str">
        <f ca="1"/>
        <v>0x501C</v>
      </c>
      <c r="V3310" s="7" t="str">
        <f ca="1"/>
        <v>FocusMeteringMode</v>
      </c>
    </row>
    <row r="3311" spans="20:22" x14ac:dyDescent="0.25">
      <c r="T3311" s="7" t="str">
        <f ca="1"/>
        <v>D3X</v>
      </c>
      <c r="U3311" s="7" t="str">
        <f ca="1"/>
        <v>0x501E</v>
      </c>
      <c r="V3311" s="7" t="str">
        <f ca="1"/>
        <v>Artist</v>
      </c>
    </row>
    <row r="3312" spans="20:22" x14ac:dyDescent="0.25">
      <c r="T3312" s="7" t="str">
        <f ca="1"/>
        <v>D3X</v>
      </c>
      <c r="U3312" s="7" t="str">
        <f ca="1"/>
        <v>0x501F</v>
      </c>
      <c r="V3312" s="7" t="str">
        <f ca="1"/>
        <v>Copyright</v>
      </c>
    </row>
    <row r="3313" spans="20:22" x14ac:dyDescent="0.25">
      <c r="T3313" s="7" t="str">
        <f ca="1"/>
        <v>D3X</v>
      </c>
      <c r="U3313" s="7" t="str">
        <f ca="1"/>
        <v>0xD010</v>
      </c>
      <c r="V3313" s="7" t="str">
        <f ca="1"/>
        <v>ShootingMenuBank</v>
      </c>
    </row>
    <row r="3314" spans="20:22" x14ac:dyDescent="0.25">
      <c r="T3314" s="7" t="str">
        <f ca="1"/>
        <v>D3X</v>
      </c>
      <c r="U3314" s="7" t="str">
        <f ca="1"/>
        <v>0xD011</v>
      </c>
      <c r="V3314" s="7" t="str">
        <f ca="1"/>
        <v>ShootingBankNameA</v>
      </c>
    </row>
    <row r="3315" spans="20:22" x14ac:dyDescent="0.25">
      <c r="T3315" s="7" t="str">
        <f ca="1"/>
        <v>D3X</v>
      </c>
      <c r="U3315" s="7" t="str">
        <f ca="1"/>
        <v>0xD012</v>
      </c>
      <c r="V3315" s="7" t="str">
        <f ca="1"/>
        <v>ShootingBankNameB</v>
      </c>
    </row>
    <row r="3316" spans="20:22" x14ac:dyDescent="0.25">
      <c r="T3316" s="7" t="str">
        <f ca="1"/>
        <v>D3X</v>
      </c>
      <c r="U3316" s="7" t="str">
        <f ca="1"/>
        <v>0xD013</v>
      </c>
      <c r="V3316" s="7" t="str">
        <f ca="1"/>
        <v>ShootingBankNameC</v>
      </c>
    </row>
    <row r="3317" spans="20:22" x14ac:dyDescent="0.25">
      <c r="T3317" s="7" t="str">
        <f ca="1"/>
        <v>D3X</v>
      </c>
      <c r="U3317" s="7" t="str">
        <f ca="1"/>
        <v>0xD014</v>
      </c>
      <c r="V3317" s="7" t="str">
        <f ca="1"/>
        <v>ShootingBankNameD</v>
      </c>
    </row>
    <row r="3318" spans="20:22" x14ac:dyDescent="0.25">
      <c r="T3318" s="7" t="str">
        <f ca="1"/>
        <v>D3X</v>
      </c>
      <c r="U3318" s="7" t="str">
        <f ca="1"/>
        <v>0xD015</v>
      </c>
      <c r="V3318" s="7" t="str">
        <f ca="1"/>
        <v>ResetShootingMenu</v>
      </c>
    </row>
    <row r="3319" spans="20:22" x14ac:dyDescent="0.25">
      <c r="T3319" s="7" t="str">
        <f ca="1"/>
        <v>D3X</v>
      </c>
      <c r="U3319" s="7" t="str">
        <f ca="1"/>
        <v>0xD016</v>
      </c>
      <c r="V3319" s="7" t="str">
        <f ca="1"/>
        <v>RawCompressionType</v>
      </c>
    </row>
    <row r="3320" spans="20:22" x14ac:dyDescent="0.25">
      <c r="T3320" s="7" t="str">
        <f ca="1"/>
        <v>D3X</v>
      </c>
      <c r="U3320" s="7" t="str">
        <f ca="1"/>
        <v>0xD017</v>
      </c>
      <c r="V3320" s="7" t="str">
        <f ca="1"/>
        <v>WbTuneAuto</v>
      </c>
    </row>
    <row r="3321" spans="20:22" x14ac:dyDescent="0.25">
      <c r="T3321" s="7" t="str">
        <f ca="1"/>
        <v>D3X</v>
      </c>
      <c r="U3321" s="7" t="str">
        <f ca="1"/>
        <v>0xD018</v>
      </c>
      <c r="V3321" s="7" t="str">
        <f ca="1"/>
        <v>WbTuneIncandescent</v>
      </c>
    </row>
    <row r="3322" spans="20:22" x14ac:dyDescent="0.25">
      <c r="T3322" s="7" t="str">
        <f ca="1"/>
        <v>D3X</v>
      </c>
      <c r="U3322" s="7" t="str">
        <f ca="1"/>
        <v>0xD019</v>
      </c>
      <c r="V3322" s="7" t="str">
        <f ca="1"/>
        <v>WbTuneFluorescent</v>
      </c>
    </row>
    <row r="3323" spans="20:22" x14ac:dyDescent="0.25">
      <c r="T3323" s="7" t="str">
        <f ca="1"/>
        <v>D3X</v>
      </c>
      <c r="U3323" s="7" t="str">
        <f ca="1"/>
        <v>0xD01A</v>
      </c>
      <c r="V3323" s="7" t="str">
        <f ca="1"/>
        <v>WbTuneSunny</v>
      </c>
    </row>
    <row r="3324" spans="20:22" x14ac:dyDescent="0.25">
      <c r="T3324" s="7" t="str">
        <f ca="1"/>
        <v>D3X</v>
      </c>
      <c r="U3324" s="7" t="str">
        <f ca="1"/>
        <v>0xD01B</v>
      </c>
      <c r="V3324" s="7" t="str">
        <f ca="1"/>
        <v>WbTuneFlash</v>
      </c>
    </row>
    <row r="3325" spans="20:22" x14ac:dyDescent="0.25">
      <c r="T3325" s="7" t="str">
        <f ca="1"/>
        <v>D3X</v>
      </c>
      <c r="U3325" s="7" t="str">
        <f ca="1"/>
        <v>0xD01C</v>
      </c>
      <c r="V3325" s="7" t="str">
        <f ca="1"/>
        <v>WbTuneCloudy</v>
      </c>
    </row>
    <row r="3326" spans="20:22" x14ac:dyDescent="0.25">
      <c r="T3326" s="7" t="str">
        <f ca="1"/>
        <v>D3X</v>
      </c>
      <c r="U3326" s="7" t="str">
        <f ca="1"/>
        <v>0xD01D</v>
      </c>
      <c r="V3326" s="7" t="str">
        <f ca="1"/>
        <v>WbTuneShade</v>
      </c>
    </row>
    <row r="3327" spans="20:22" x14ac:dyDescent="0.25">
      <c r="T3327" s="7" t="str">
        <f ca="1"/>
        <v>D3X</v>
      </c>
      <c r="U3327" s="7" t="str">
        <f ca="1"/>
        <v>0xD01E</v>
      </c>
      <c r="V3327" s="7" t="str">
        <f ca="1"/>
        <v>WbColorTemp</v>
      </c>
    </row>
    <row r="3328" spans="20:22" x14ac:dyDescent="0.25">
      <c r="T3328" s="7" t="str">
        <f ca="1"/>
        <v>D3X</v>
      </c>
      <c r="U3328" s="7" t="str">
        <f ca="1"/>
        <v>0xD01F</v>
      </c>
      <c r="V3328" s="7" t="str">
        <f ca="1"/>
        <v>WbPresetDataNo</v>
      </c>
    </row>
    <row r="3329" spans="20:22" x14ac:dyDescent="0.25">
      <c r="T3329" s="7" t="str">
        <f ca="1"/>
        <v>D3X</v>
      </c>
      <c r="U3329" s="7" t="str">
        <f ca="1"/>
        <v>0xD020</v>
      </c>
      <c r="V3329" s="7" t="str">
        <f ca="1"/>
        <v>WbPresetDataComment0</v>
      </c>
    </row>
    <row r="3330" spans="20:22" x14ac:dyDescent="0.25">
      <c r="T3330" s="7" t="str">
        <f ca="1"/>
        <v>D3X</v>
      </c>
      <c r="U3330" s="7" t="str">
        <f ca="1"/>
        <v>0xD021</v>
      </c>
      <c r="V3330" s="7" t="str">
        <f ca="1"/>
        <v>WbPresetDataComment1</v>
      </c>
    </row>
    <row r="3331" spans="20:22" x14ac:dyDescent="0.25">
      <c r="T3331" s="7" t="str">
        <f ca="1"/>
        <v>D3X</v>
      </c>
      <c r="U3331" s="7" t="str">
        <f ca="1"/>
        <v>0xD022</v>
      </c>
      <c r="V3331" s="7" t="str">
        <f ca="1"/>
        <v>WbPresetDataComment2</v>
      </c>
    </row>
    <row r="3332" spans="20:22" x14ac:dyDescent="0.25">
      <c r="T3332" s="7" t="str">
        <f ca="1"/>
        <v>D3X</v>
      </c>
      <c r="U3332" s="7" t="str">
        <f ca="1"/>
        <v>0xD023</v>
      </c>
      <c r="V3332" s="7" t="str">
        <f ca="1"/>
        <v>WbPresetDataComment3</v>
      </c>
    </row>
    <row r="3333" spans="20:22" x14ac:dyDescent="0.25">
      <c r="T3333" s="7" t="str">
        <f ca="1"/>
        <v>D3X</v>
      </c>
      <c r="U3333" s="7" t="str">
        <f ca="1"/>
        <v>0xD024</v>
      </c>
      <c r="V3333" s="7" t="str">
        <f ca="1"/>
        <v>WbPresetDataComment4</v>
      </c>
    </row>
    <row r="3334" spans="20:22" x14ac:dyDescent="0.25">
      <c r="T3334" s="7" t="str">
        <f ca="1"/>
        <v>D3X</v>
      </c>
      <c r="U3334" s="7" t="str">
        <f ca="1"/>
        <v>0xD025</v>
      </c>
      <c r="V3334" s="7" t="str">
        <f ca="1"/>
        <v>WbPresetDataValue0</v>
      </c>
    </row>
    <row r="3335" spans="20:22" x14ac:dyDescent="0.25">
      <c r="T3335" s="7" t="str">
        <f ca="1"/>
        <v>D3X</v>
      </c>
      <c r="U3335" s="7" t="str">
        <f ca="1"/>
        <v>0xD026</v>
      </c>
      <c r="V3335" s="7" t="str">
        <f ca="1"/>
        <v>WbPresetDataValue1</v>
      </c>
    </row>
    <row r="3336" spans="20:22" x14ac:dyDescent="0.25">
      <c r="T3336" s="7" t="str">
        <f ca="1"/>
        <v>D3X</v>
      </c>
      <c r="U3336" s="7" t="str">
        <f ca="1"/>
        <v>0xD027</v>
      </c>
      <c r="V3336" s="7" t="str">
        <f ca="1"/>
        <v>WbPresetDataValue2</v>
      </c>
    </row>
    <row r="3337" spans="20:22" x14ac:dyDescent="0.25">
      <c r="T3337" s="7" t="str">
        <f ca="1"/>
        <v>D3X</v>
      </c>
      <c r="U3337" s="7" t="str">
        <f ca="1"/>
        <v>0xD028</v>
      </c>
      <c r="V3337" s="7" t="str">
        <f ca="1"/>
        <v>WbPresetDataValue3</v>
      </c>
    </row>
    <row r="3338" spans="20:22" x14ac:dyDescent="0.25">
      <c r="T3338" s="7" t="str">
        <f ca="1"/>
        <v>D3X</v>
      </c>
      <c r="U3338" s="7" t="str">
        <f ca="1"/>
        <v>0xD029</v>
      </c>
      <c r="V3338" s="7" t="str">
        <f ca="1"/>
        <v>WbPresetDataValue4</v>
      </c>
    </row>
    <row r="3339" spans="20:22" x14ac:dyDescent="0.25">
      <c r="T3339" s="7" t="str">
        <f ca="1"/>
        <v>D3X</v>
      </c>
      <c r="U3339" s="7" t="str">
        <f ca="1"/>
        <v>0xD02E</v>
      </c>
      <c r="V3339" s="7" t="str">
        <f ca="1"/>
        <v>FmmManualSetting</v>
      </c>
    </row>
    <row r="3340" spans="20:22" x14ac:dyDescent="0.25">
      <c r="T3340" s="7" t="str">
        <f ca="1"/>
        <v>D3X</v>
      </c>
      <c r="U3340" s="7" t="str">
        <f ca="1"/>
        <v>0xD02F</v>
      </c>
      <c r="V3340" s="7" t="str">
        <f ca="1"/>
        <v>F0ManualSetting</v>
      </c>
    </row>
    <row r="3341" spans="20:22" x14ac:dyDescent="0.25">
      <c r="T3341" s="7" t="str">
        <f ca="1"/>
        <v>D3X</v>
      </c>
      <c r="U3341" s="7" t="str">
        <f ca="1"/>
        <v>0xD030</v>
      </c>
      <c r="V3341" s="7" t="str">
        <f ca="1"/>
        <v>CaptureAreaCrop</v>
      </c>
    </row>
    <row r="3342" spans="20:22" x14ac:dyDescent="0.25">
      <c r="T3342" s="7" t="str">
        <f ca="1"/>
        <v>D3X</v>
      </c>
      <c r="U3342" s="7" t="str">
        <f ca="1"/>
        <v>0xD031</v>
      </c>
      <c r="V3342" s="7" t="str">
        <f ca="1"/>
        <v>JpegCompressionPolicy</v>
      </c>
    </row>
    <row r="3343" spans="20:22" x14ac:dyDescent="0.25">
      <c r="T3343" s="7" t="str">
        <f ca="1"/>
        <v>D3X</v>
      </c>
      <c r="U3343" s="7" t="str">
        <f ca="1"/>
        <v>0xD032</v>
      </c>
      <c r="V3343" s="7" t="str">
        <f ca="1"/>
        <v>ColorSpace</v>
      </c>
    </row>
    <row r="3344" spans="20:22" x14ac:dyDescent="0.25">
      <c r="T3344" s="7" t="str">
        <f ca="1"/>
        <v>D3X</v>
      </c>
      <c r="U3344" s="7" t="str">
        <f ca="1"/>
        <v>0xD033</v>
      </c>
      <c r="V3344" s="7" t="str">
        <f ca="1"/>
        <v>AutoDxCrop</v>
      </c>
    </row>
    <row r="3345" spans="20:22" x14ac:dyDescent="0.25">
      <c r="T3345" s="7" t="str">
        <f ca="1"/>
        <v>D3X</v>
      </c>
      <c r="U3345" s="7" t="str">
        <f ca="1"/>
        <v>0xD040</v>
      </c>
      <c r="V3345" s="7" t="str">
        <f ca="1"/>
        <v>CustomSettingBank</v>
      </c>
    </row>
    <row r="3346" spans="20:22" x14ac:dyDescent="0.25">
      <c r="T3346" s="7" t="str">
        <f ca="1"/>
        <v>D3X</v>
      </c>
      <c r="U3346" s="7" t="str">
        <f ca="1"/>
        <v>0xD041</v>
      </c>
      <c r="V3346" s="7" t="str">
        <f ca="1"/>
        <v>CustomBankNameA</v>
      </c>
    </row>
    <row r="3347" spans="20:22" x14ac:dyDescent="0.25">
      <c r="T3347" s="7" t="str">
        <f ca="1"/>
        <v>D3X</v>
      </c>
      <c r="U3347" s="7" t="str">
        <f ca="1"/>
        <v>0xD042</v>
      </c>
      <c r="V3347" s="7" t="str">
        <f ca="1"/>
        <v>CustomBankNameB</v>
      </c>
    </row>
    <row r="3348" spans="20:22" x14ac:dyDescent="0.25">
      <c r="T3348" s="7" t="str">
        <f ca="1"/>
        <v>D3X</v>
      </c>
      <c r="U3348" s="7" t="str">
        <f ca="1"/>
        <v>0xD043</v>
      </c>
      <c r="V3348" s="7" t="str">
        <f ca="1"/>
        <v>CustomBankNameC</v>
      </c>
    </row>
    <row r="3349" spans="20:22" x14ac:dyDescent="0.25">
      <c r="T3349" s="7" t="str">
        <f ca="1"/>
        <v>D3X</v>
      </c>
      <c r="U3349" s="7" t="str">
        <f ca="1"/>
        <v>0xD044</v>
      </c>
      <c r="V3349" s="7" t="str">
        <f ca="1"/>
        <v>CustomBankNameD</v>
      </c>
    </row>
    <row r="3350" spans="20:22" x14ac:dyDescent="0.25">
      <c r="T3350" s="7" t="str">
        <f ca="1"/>
        <v>D3X</v>
      </c>
      <c r="U3350" s="7" t="str">
        <f ca="1"/>
        <v>0xD045</v>
      </c>
      <c r="V3350" s="7" t="str">
        <f ca="1"/>
        <v>ResetCustomSetting</v>
      </c>
    </row>
    <row r="3351" spans="20:22" x14ac:dyDescent="0.25">
      <c r="T3351" s="7" t="str">
        <f ca="1"/>
        <v>D3X</v>
      </c>
      <c r="U3351" s="7" t="str">
        <f ca="1"/>
        <v>0xD048</v>
      </c>
      <c r="V3351" s="7" t="str">
        <f ca="1"/>
        <v>DynamicAFonAFC</v>
      </c>
    </row>
    <row r="3352" spans="20:22" x14ac:dyDescent="0.25">
      <c r="T3352" s="7" t="str">
        <f ca="1"/>
        <v>D3X</v>
      </c>
      <c r="U3352" s="7" t="str">
        <f ca="1"/>
        <v>0xD049</v>
      </c>
      <c r="V3352" s="7" t="str">
        <f ca="1"/>
        <v>DynamicAFonAFS</v>
      </c>
    </row>
    <row r="3353" spans="20:22" x14ac:dyDescent="0.25">
      <c r="T3353" s="7" t="str">
        <f ca="1"/>
        <v>D3X</v>
      </c>
      <c r="U3353" s="7" t="str">
        <f ca="1"/>
        <v>0xD04B</v>
      </c>
      <c r="V3353" s="7" t="str">
        <f ca="1"/>
        <v>AFDriveByRelease</v>
      </c>
    </row>
    <row r="3354" spans="20:22" x14ac:dyDescent="0.25">
      <c r="T3354" s="7" t="str">
        <f ca="1"/>
        <v>D3X</v>
      </c>
      <c r="U3354" s="7" t="str">
        <f ca="1"/>
        <v>0xD04C</v>
      </c>
      <c r="V3354" s="7" t="str">
        <f ca="1"/>
        <v>FocusFrameMFSetting</v>
      </c>
    </row>
    <row r="3355" spans="20:22" x14ac:dyDescent="0.25">
      <c r="T3355" s="7" t="str">
        <f ca="1"/>
        <v>D3X</v>
      </c>
      <c r="U3355" s="7" t="str">
        <f ca="1"/>
        <v>0xD04D</v>
      </c>
      <c r="V3355" s="7" t="str">
        <f ca="1"/>
        <v>FocusFrameCSetting</v>
      </c>
    </row>
    <row r="3356" spans="20:22" x14ac:dyDescent="0.25">
      <c r="T3356" s="7" t="str">
        <f ca="1"/>
        <v>D3X</v>
      </c>
      <c r="U3356" s="7" t="str">
        <f ca="1"/>
        <v>0xD04F</v>
      </c>
      <c r="V3356" s="7" t="str">
        <f ca="1"/>
        <v>FocusAreaSelect</v>
      </c>
    </row>
    <row r="3357" spans="20:22" x14ac:dyDescent="0.25">
      <c r="T3357" s="7" t="str">
        <f ca="1"/>
        <v>D3X</v>
      </c>
      <c r="U3357" s="7" t="str">
        <f ca="1"/>
        <v>0xD050</v>
      </c>
      <c r="V3357" s="7" t="str">
        <f ca="1"/>
        <v>VerticalAF</v>
      </c>
    </row>
    <row r="3358" spans="20:22" x14ac:dyDescent="0.25">
      <c r="T3358" s="7" t="str">
        <f ca="1"/>
        <v>D3X</v>
      </c>
      <c r="U3358" s="7" t="str">
        <f ca="1"/>
        <v>0xD051</v>
      </c>
      <c r="V3358" s="7" t="str">
        <f ca="1"/>
        <v>AFStillLockOn</v>
      </c>
    </row>
    <row r="3359" spans="20:22" x14ac:dyDescent="0.25">
      <c r="T3359" s="7" t="str">
        <f ca="1"/>
        <v>D3X</v>
      </c>
      <c r="U3359" s="7" t="str">
        <f ca="1"/>
        <v>0xD053</v>
      </c>
      <c r="V3359" s="7" t="str">
        <f ca="1"/>
        <v>EnableCopyright</v>
      </c>
    </row>
    <row r="3360" spans="20:22" x14ac:dyDescent="0.25">
      <c r="T3360" s="7" t="str">
        <f ca="1"/>
        <v>D3X</v>
      </c>
      <c r="U3360" s="7" t="str">
        <f ca="1"/>
        <v>0xD054</v>
      </c>
      <c r="V3360" s="7" t="str">
        <f ca="1"/>
        <v>ISOAutoControl</v>
      </c>
    </row>
    <row r="3361" spans="20:22" x14ac:dyDescent="0.25">
      <c r="T3361" s="7" t="str">
        <f ca="1"/>
        <v>D3X</v>
      </c>
      <c r="U3361" s="7" t="str">
        <f ca="1"/>
        <v>0xD055</v>
      </c>
      <c r="V3361" s="7" t="str">
        <f ca="1"/>
        <v>IsoStep</v>
      </c>
    </row>
    <row r="3362" spans="20:22" x14ac:dyDescent="0.25">
      <c r="T3362" s="7" t="str">
        <f ca="1"/>
        <v>D3X</v>
      </c>
      <c r="U3362" s="7" t="str">
        <f ca="1"/>
        <v>0xD056</v>
      </c>
      <c r="V3362" s="7" t="str">
        <f ca="1"/>
        <v>ExposureEVStep</v>
      </c>
    </row>
    <row r="3363" spans="20:22" x14ac:dyDescent="0.25">
      <c r="T3363" s="7" t="str">
        <f ca="1"/>
        <v>D3X</v>
      </c>
      <c r="U3363" s="7" t="str">
        <f ca="1"/>
        <v>0xD057</v>
      </c>
      <c r="V3363" s="7" t="str">
        <f ca="1"/>
        <v>ExposureCompEVStep</v>
      </c>
    </row>
    <row r="3364" spans="20:22" x14ac:dyDescent="0.25">
      <c r="T3364" s="7" t="str">
        <f ca="1"/>
        <v>D3X</v>
      </c>
      <c r="U3364" s="7" t="str">
        <f ca="1"/>
        <v>0xD058</v>
      </c>
      <c r="V3364" s="7" t="str">
        <f ca="1"/>
        <v>ExposureCompSetting</v>
      </c>
    </row>
    <row r="3365" spans="20:22" x14ac:dyDescent="0.25">
      <c r="T3365" s="7" t="str">
        <f ca="1"/>
        <v>D3X</v>
      </c>
      <c r="U3365" s="7" t="str">
        <f ca="1"/>
        <v>0xD059</v>
      </c>
      <c r="V3365" s="7" t="str">
        <f ca="1"/>
        <v>CenterWeightedExRange</v>
      </c>
    </row>
    <row r="3366" spans="20:22" x14ac:dyDescent="0.25">
      <c r="T3366" s="7" t="str">
        <f ca="1"/>
        <v>D3X</v>
      </c>
      <c r="U3366" s="7" t="str">
        <f ca="1"/>
        <v>0xD05A</v>
      </c>
      <c r="V3366" s="7" t="str">
        <f ca="1"/>
        <v>ExposureBaseCompMatrix</v>
      </c>
    </row>
    <row r="3367" spans="20:22" x14ac:dyDescent="0.25">
      <c r="T3367" s="7" t="str">
        <f ca="1"/>
        <v>D3X</v>
      </c>
      <c r="U3367" s="7" t="str">
        <f ca="1"/>
        <v>0xD05B</v>
      </c>
      <c r="V3367" s="7" t="str">
        <f ca="1"/>
        <v>ExposureBaseCompCenter</v>
      </c>
    </row>
    <row r="3368" spans="20:22" x14ac:dyDescent="0.25">
      <c r="T3368" s="7" t="str">
        <f ca="1"/>
        <v>D3X</v>
      </c>
      <c r="U3368" s="7" t="str">
        <f ca="1"/>
        <v>0xD05C</v>
      </c>
      <c r="V3368" s="7" t="str">
        <f ca="1"/>
        <v>ExposureBaseCompSpot</v>
      </c>
    </row>
    <row r="3369" spans="20:22" x14ac:dyDescent="0.25">
      <c r="T3369" s="7" t="str">
        <f ca="1"/>
        <v>D3X</v>
      </c>
      <c r="U3369" s="7" t="str">
        <f ca="1"/>
        <v>0xD05E</v>
      </c>
      <c r="V3369" s="7" t="str">
        <f ca="1"/>
        <v>AELockRelease</v>
      </c>
    </row>
    <row r="3370" spans="20:22" x14ac:dyDescent="0.25">
      <c r="T3370" s="7" t="str">
        <f ca="1"/>
        <v>D3X</v>
      </c>
      <c r="U3370" s="7" t="str">
        <f ca="1"/>
        <v>0xD05F</v>
      </c>
      <c r="V3370" s="7" t="str">
        <f ca="1"/>
        <v>AEAFLockSetting</v>
      </c>
    </row>
    <row r="3371" spans="20:22" x14ac:dyDescent="0.25">
      <c r="T3371" s="7" t="str">
        <f ca="1"/>
        <v>D3X</v>
      </c>
      <c r="U3371" s="7" t="str">
        <f ca="1"/>
        <v>0xD062</v>
      </c>
      <c r="V3371" s="7" t="str">
        <f ca="1"/>
        <v>AutoMeterOffDelay</v>
      </c>
    </row>
    <row r="3372" spans="20:22" x14ac:dyDescent="0.25">
      <c r="T3372" s="7" t="str">
        <f ca="1"/>
        <v>D3X</v>
      </c>
      <c r="U3372" s="7" t="str">
        <f ca="1"/>
        <v>0xD063</v>
      </c>
      <c r="V3372" s="7" t="str">
        <f ca="1"/>
        <v>SelfTimerDelay</v>
      </c>
    </row>
    <row r="3373" spans="20:22" x14ac:dyDescent="0.25">
      <c r="T3373" s="7" t="str">
        <f ca="1"/>
        <v>D3X</v>
      </c>
      <c r="U3373" s="7" t="str">
        <f ca="1"/>
        <v>0xD064</v>
      </c>
      <c r="V3373" s="7" t="str">
        <f ca="1"/>
        <v>LCDPowerOff</v>
      </c>
    </row>
    <row r="3374" spans="20:22" x14ac:dyDescent="0.25">
      <c r="T3374" s="7" t="str">
        <f ca="1"/>
        <v>D3X</v>
      </c>
      <c r="U3374" s="7" t="str">
        <f ca="1"/>
        <v>0xD067</v>
      </c>
      <c r="V3374" s="7" t="str">
        <f ca="1"/>
        <v>AngleLevel</v>
      </c>
    </row>
    <row r="3375" spans="20:22" x14ac:dyDescent="0.25">
      <c r="T3375" s="7" t="str">
        <f ca="1"/>
        <v>D3X</v>
      </c>
      <c r="U3375" s="7" t="str">
        <f ca="1"/>
        <v>0xD068</v>
      </c>
      <c r="V3375" s="7" t="str">
        <f ca="1"/>
        <v>CSpeedLow</v>
      </c>
    </row>
    <row r="3376" spans="20:22" x14ac:dyDescent="0.25">
      <c r="T3376" s="7" t="str">
        <f ca="1"/>
        <v>D3X</v>
      </c>
      <c r="U3376" s="7" t="str">
        <f ca="1"/>
        <v>0xD069</v>
      </c>
      <c r="V3376" s="7" t="str">
        <f ca="1"/>
        <v>BurstMaxNumber</v>
      </c>
    </row>
    <row r="3377" spans="20:22" x14ac:dyDescent="0.25">
      <c r="T3377" s="7" t="str">
        <f ca="1"/>
        <v>D3X</v>
      </c>
      <c r="U3377" s="7" t="str">
        <f ca="1"/>
        <v>0xD06A</v>
      </c>
      <c r="V3377" s="7" t="str">
        <f ca="1"/>
        <v>ExposureDelay</v>
      </c>
    </row>
    <row r="3378" spans="20:22" x14ac:dyDescent="0.25">
      <c r="T3378" s="7" t="str">
        <f ca="1"/>
        <v>D3X</v>
      </c>
      <c r="U3378" s="7" t="str">
        <f ca="1"/>
        <v>0xD06B</v>
      </c>
      <c r="V3378" s="7" t="str">
        <f ca="1"/>
        <v>NoiseReduction</v>
      </c>
    </row>
    <row r="3379" spans="20:22" x14ac:dyDescent="0.25">
      <c r="T3379" s="7" t="str">
        <f ca="1"/>
        <v>D3X</v>
      </c>
      <c r="U3379" s="7" t="str">
        <f ca="1"/>
        <v>0xD06C</v>
      </c>
      <c r="V3379" s="7" t="str">
        <f ca="1"/>
        <v>NumberingMode</v>
      </c>
    </row>
    <row r="3380" spans="20:22" x14ac:dyDescent="0.25">
      <c r="T3380" s="7" t="str">
        <f ca="1"/>
        <v>D3X</v>
      </c>
      <c r="U3380" s="7" t="str">
        <f ca="1"/>
        <v>0xD06D</v>
      </c>
      <c r="V3380" s="7" t="str">
        <f ca="1"/>
        <v>TFTDisplaySetting</v>
      </c>
    </row>
    <row r="3381" spans="20:22" x14ac:dyDescent="0.25">
      <c r="T3381" s="7" t="str">
        <f ca="1"/>
        <v>D3X</v>
      </c>
      <c r="U3381" s="7" t="str">
        <f ca="1"/>
        <v>0xD06E</v>
      </c>
      <c r="V3381" s="7" t="str">
        <f ca="1"/>
        <v>FinderDisplaySetting</v>
      </c>
    </row>
    <row r="3382" spans="20:22" x14ac:dyDescent="0.25">
      <c r="T3382" s="7" t="str">
        <f ca="1"/>
        <v>D3X</v>
      </c>
      <c r="U3382" s="7" t="str">
        <f ca="1"/>
        <v>0xD06F</v>
      </c>
      <c r="V3382" s="7" t="str">
        <f ca="1"/>
        <v>LCDIllumination</v>
      </c>
    </row>
    <row r="3383" spans="20:22" x14ac:dyDescent="0.25">
      <c r="T3383" s="7" t="str">
        <f ca="1"/>
        <v>D3X</v>
      </c>
      <c r="U3383" s="7" t="str">
        <f ca="1"/>
        <v>0xD070</v>
      </c>
      <c r="V3383" s="7" t="str">
        <f ca="1"/>
        <v>NoiseReductionHiIso</v>
      </c>
    </row>
    <row r="3384" spans="20:22" x14ac:dyDescent="0.25">
      <c r="T3384" s="7" t="str">
        <f ca="1"/>
        <v>D3X</v>
      </c>
      <c r="U3384" s="7" t="str">
        <f ca="1"/>
        <v>0xD072</v>
      </c>
      <c r="V3384" s="7" t="str">
        <f ca="1"/>
        <v>ArtistV</v>
      </c>
    </row>
    <row r="3385" spans="20:22" x14ac:dyDescent="0.25">
      <c r="T3385" s="7" t="str">
        <f ca="1"/>
        <v>D3X</v>
      </c>
      <c r="U3385" s="7" t="str">
        <f ca="1"/>
        <v>0xD073</v>
      </c>
      <c r="V3385" s="7" t="str">
        <f ca="1"/>
        <v>CopyrightV</v>
      </c>
    </row>
    <row r="3386" spans="20:22" x14ac:dyDescent="0.25">
      <c r="T3386" s="7" t="str">
        <f ca="1"/>
        <v>D3X</v>
      </c>
      <c r="U3386" s="7" t="str">
        <f ca="1"/>
        <v>0xD074</v>
      </c>
      <c r="V3386" s="7" t="str">
        <f ca="1"/>
        <v>FlashSyncSpeed</v>
      </c>
    </row>
    <row r="3387" spans="20:22" x14ac:dyDescent="0.25">
      <c r="T3387" s="7" t="str">
        <f ca="1"/>
        <v>D3X</v>
      </c>
      <c r="U3387" s="7" t="str">
        <f ca="1"/>
        <v>0xD075</v>
      </c>
      <c r="V3387" s="7" t="str">
        <f ca="1"/>
        <v>FlashSlowSpeedLimit</v>
      </c>
    </row>
    <row r="3388" spans="20:22" x14ac:dyDescent="0.25">
      <c r="T3388" s="7" t="str">
        <f ca="1"/>
        <v>D3X</v>
      </c>
      <c r="U3388" s="7" t="str">
        <f ca="1"/>
        <v>0xD077</v>
      </c>
      <c r="V3388" s="7" t="str">
        <f ca="1"/>
        <v>ModelingOnPreviewButton</v>
      </c>
    </row>
    <row r="3389" spans="20:22" x14ac:dyDescent="0.25">
      <c r="T3389" s="7" t="str">
        <f ca="1"/>
        <v>D3X</v>
      </c>
      <c r="U3389" s="7" t="str">
        <f ca="1"/>
        <v>0xD078</v>
      </c>
      <c r="V3389" s="7" t="str">
        <f ca="1"/>
        <v>BracketingType</v>
      </c>
    </row>
    <row r="3390" spans="20:22" x14ac:dyDescent="0.25">
      <c r="T3390" s="7" t="str">
        <f ca="1"/>
        <v>D3X</v>
      </c>
      <c r="U3390" s="7" t="str">
        <f ca="1"/>
        <v>0xD079</v>
      </c>
      <c r="V3390" s="7" t="str">
        <f ca="1"/>
        <v>SelectBracketChangeFactor</v>
      </c>
    </row>
    <row r="3391" spans="20:22" x14ac:dyDescent="0.25">
      <c r="T3391" s="7" t="str">
        <f ca="1"/>
        <v>D3X</v>
      </c>
      <c r="U3391" s="7" t="str">
        <f ca="1"/>
        <v>0xD07A</v>
      </c>
      <c r="V3391" s="7" t="str">
        <f ca="1"/>
        <v>BracketingOrder</v>
      </c>
    </row>
    <row r="3392" spans="20:22" x14ac:dyDescent="0.25">
      <c r="T3392" s="7" t="str">
        <f ca="1"/>
        <v>D3X</v>
      </c>
      <c r="U3392" s="7" t="str">
        <f ca="1"/>
        <v>0xD080</v>
      </c>
      <c r="V3392" s="7" t="str">
        <f ca="1"/>
        <v>CenterButtonOnShootingMode</v>
      </c>
    </row>
    <row r="3393" spans="20:22" x14ac:dyDescent="0.25">
      <c r="T3393" s="7" t="str">
        <f ca="1"/>
        <v>D3X</v>
      </c>
      <c r="U3393" s="7" t="str">
        <f ca="1"/>
        <v>0xD081</v>
      </c>
      <c r="V3393" s="7" t="str">
        <f ca="1"/>
        <v>CenterButtonOnPlaybackMode</v>
      </c>
    </row>
    <row r="3394" spans="20:22" x14ac:dyDescent="0.25">
      <c r="T3394" s="7" t="str">
        <f ca="1"/>
        <v>D3X</v>
      </c>
      <c r="U3394" s="7" t="str">
        <f ca="1"/>
        <v>0xD082</v>
      </c>
      <c r="V3394" s="7" t="str">
        <f ca="1"/>
        <v>MultiSelectorSetting</v>
      </c>
    </row>
    <row r="3395" spans="20:22" x14ac:dyDescent="0.25">
      <c r="T3395" s="7" t="str">
        <f ca="1"/>
        <v>D3X</v>
      </c>
      <c r="U3395" s="7" t="str">
        <f ca="1"/>
        <v>0xD083</v>
      </c>
      <c r="V3395" s="7" t="str">
        <f ca="1"/>
        <v>MultiSelectorDirection</v>
      </c>
    </row>
    <row r="3396" spans="20:22" x14ac:dyDescent="0.25">
      <c r="T3396" s="7" t="str">
        <f ca="1"/>
        <v>D3X</v>
      </c>
      <c r="U3396" s="7" t="str">
        <f ca="1"/>
        <v>0xD084</v>
      </c>
      <c r="V3396" s="7" t="str">
        <f ca="1"/>
        <v>FunctionButton</v>
      </c>
    </row>
    <row r="3397" spans="20:22" x14ac:dyDescent="0.25">
      <c r="T3397" s="7" t="str">
        <f ca="1"/>
        <v>D3X</v>
      </c>
      <c r="U3397" s="7" t="str">
        <f ca="1"/>
        <v>0xD085</v>
      </c>
      <c r="V3397" s="7" t="str">
        <f ca="1"/>
        <v>CommandDialRotation</v>
      </c>
    </row>
    <row r="3398" spans="20:22" x14ac:dyDescent="0.25">
      <c r="T3398" s="7" t="str">
        <f ca="1"/>
        <v>D3X</v>
      </c>
      <c r="U3398" s="7" t="str">
        <f ca="1"/>
        <v>0xD086</v>
      </c>
      <c r="V3398" s="7" t="str">
        <f ca="1"/>
        <v>CommandDialChange</v>
      </c>
    </row>
    <row r="3399" spans="20:22" x14ac:dyDescent="0.25">
      <c r="T3399" s="7" t="str">
        <f ca="1"/>
        <v>D3X</v>
      </c>
      <c r="U3399" s="7" t="str">
        <f ca="1"/>
        <v>0xD087</v>
      </c>
      <c r="V3399" s="7" t="str">
        <f ca="1"/>
        <v>CommandDialFSetting</v>
      </c>
    </row>
    <row r="3400" spans="20:22" x14ac:dyDescent="0.25">
      <c r="T3400" s="7" t="str">
        <f ca="1"/>
        <v>D3X</v>
      </c>
      <c r="U3400" s="7" t="str">
        <f ca="1"/>
        <v>0xD088</v>
      </c>
      <c r="V3400" s="7" t="str">
        <f ca="1"/>
        <v>CommandDialActiveOnPlaybackMenu</v>
      </c>
    </row>
    <row r="3401" spans="20:22" x14ac:dyDescent="0.25">
      <c r="T3401" s="7" t="str">
        <f ca="1"/>
        <v>D3X</v>
      </c>
      <c r="U3401" s="7" t="str">
        <f ca="1"/>
        <v>0xD089</v>
      </c>
      <c r="V3401" s="7" t="str">
        <f ca="1"/>
        <v>UniversalMode</v>
      </c>
    </row>
    <row r="3402" spans="20:22" x14ac:dyDescent="0.25">
      <c r="T3402" s="7" t="str">
        <f ca="1"/>
        <v>D3X</v>
      </c>
      <c r="U3402" s="7" t="str">
        <f ca="1"/>
        <v>0xD08A</v>
      </c>
      <c r="V3402" s="7" t="str">
        <f ca="1"/>
        <v>EnableShutter</v>
      </c>
    </row>
    <row r="3403" spans="20:22" x14ac:dyDescent="0.25">
      <c r="T3403" s="7" t="str">
        <f ca="1"/>
        <v>D3X</v>
      </c>
      <c r="U3403" s="7" t="str">
        <f ca="1"/>
        <v>0xD08B</v>
      </c>
      <c r="V3403" s="7" t="str">
        <f ca="1"/>
        <v>AfZoomRatio</v>
      </c>
    </row>
    <row r="3404" spans="20:22" x14ac:dyDescent="0.25">
      <c r="T3404" s="7" t="str">
        <f ca="1"/>
        <v>D3X</v>
      </c>
      <c r="U3404" s="7" t="str">
        <f ca="1"/>
        <v>0xD08C</v>
      </c>
      <c r="V3404" s="7" t="str">
        <f ca="1"/>
        <v>FunctionButton2</v>
      </c>
    </row>
    <row r="3405" spans="20:22" x14ac:dyDescent="0.25">
      <c r="T3405" s="7" t="str">
        <f ca="1"/>
        <v>D3X</v>
      </c>
      <c r="U3405" s="7" t="str">
        <f ca="1"/>
        <v>0xD08D</v>
      </c>
      <c r="V3405" s="7" t="str">
        <f ca="1"/>
        <v>EnableAFAreaPoint</v>
      </c>
    </row>
    <row r="3406" spans="20:22" x14ac:dyDescent="0.25">
      <c r="T3406" s="7" t="str">
        <f ca="1"/>
        <v>D3X</v>
      </c>
      <c r="U3406" s="7" t="str">
        <f ca="1"/>
        <v>0xD08E</v>
      </c>
      <c r="V3406" s="7" t="str">
        <f ca="1"/>
        <v>NomalAF</v>
      </c>
    </row>
    <row r="3407" spans="20:22" x14ac:dyDescent="0.25">
      <c r="T3407" s="7" t="str">
        <f ca="1"/>
        <v>D3X</v>
      </c>
      <c r="U3407" s="7" t="str">
        <f ca="1"/>
        <v>0xD090</v>
      </c>
      <c r="V3407" s="7" t="str">
        <f ca="1"/>
        <v>CommentString</v>
      </c>
    </row>
    <row r="3408" spans="20:22" x14ac:dyDescent="0.25">
      <c r="T3408" s="7" t="str">
        <f ca="1"/>
        <v>D3X</v>
      </c>
      <c r="U3408" s="7" t="str">
        <f ca="1"/>
        <v>0xD091</v>
      </c>
      <c r="V3408" s="7" t="str">
        <f ca="1"/>
        <v>EnableComment</v>
      </c>
    </row>
    <row r="3409" spans="20:22" x14ac:dyDescent="0.25">
      <c r="T3409" s="7" t="str">
        <f ca="1"/>
        <v>D3X</v>
      </c>
      <c r="U3409" s="7" t="str">
        <f ca="1"/>
        <v>0xD092</v>
      </c>
      <c r="V3409" s="7" t="str">
        <f ca="1"/>
        <v>OrientationSensorMode</v>
      </c>
    </row>
    <row r="3410" spans="20:22" x14ac:dyDescent="0.25">
      <c r="T3410" s="7" t="str">
        <f ca="1"/>
        <v>D3X</v>
      </c>
      <c r="U3410" s="7" t="str">
        <f ca="1"/>
        <v>0xD093</v>
      </c>
      <c r="V3410" s="7" t="str">
        <f ca="1"/>
        <v>ManualSettingLensNo</v>
      </c>
    </row>
    <row r="3411" spans="20:22" x14ac:dyDescent="0.25">
      <c r="T3411" s="7" t="str">
        <f ca="1"/>
        <v>D3X</v>
      </c>
      <c r="U3411" s="7" t="str">
        <f ca="1"/>
        <v>0xD094</v>
      </c>
      <c r="V3411" s="7" t="str">
        <f ca="1"/>
        <v>AfTuneEnable</v>
      </c>
    </row>
    <row r="3412" spans="20:22" x14ac:dyDescent="0.25">
      <c r="T3412" s="7" t="str">
        <f ca="1"/>
        <v>D3X</v>
      </c>
      <c r="U3412" s="7" t="str">
        <f ca="1"/>
        <v>0xD095</v>
      </c>
      <c r="V3412" s="7" t="str">
        <f ca="1"/>
        <v>AfTuneUnregistryLens</v>
      </c>
    </row>
    <row r="3413" spans="20:22" x14ac:dyDescent="0.25">
      <c r="T3413" s="7" t="str">
        <f ca="1"/>
        <v>D3X</v>
      </c>
      <c r="U3413" s="7" t="str">
        <f ca="1"/>
        <v>0xD096</v>
      </c>
      <c r="V3413" s="7" t="str">
        <f ca="1"/>
        <v>AfTuneRegistryLens</v>
      </c>
    </row>
    <row r="3414" spans="20:22" x14ac:dyDescent="0.25">
      <c r="T3414" s="7" t="str">
        <f ca="1"/>
        <v>D3X</v>
      </c>
      <c r="U3414" s="7" t="str">
        <f ca="1"/>
        <v>0xD097</v>
      </c>
      <c r="V3414" s="7" t="str">
        <f ca="1"/>
        <v>AfTuneLensNoIndex</v>
      </c>
    </row>
    <row r="3415" spans="20:22" x14ac:dyDescent="0.25">
      <c r="T3415" s="7" t="str">
        <f ca="1"/>
        <v>D3X</v>
      </c>
      <c r="U3415" s="7" t="str">
        <f ca="1"/>
        <v>0xD098</v>
      </c>
      <c r="V3415" s="7" t="str">
        <f ca="1"/>
        <v>AfTuneLensNo</v>
      </c>
    </row>
    <row r="3416" spans="20:22" x14ac:dyDescent="0.25">
      <c r="T3416" s="7" t="str">
        <f ca="1"/>
        <v>D3X</v>
      </c>
      <c r="U3416" s="7" t="str">
        <f ca="1"/>
        <v>0xD099</v>
      </c>
      <c r="V3416" s="7" t="str">
        <f ca="1"/>
        <v>AfTuneLensNoIndexNum</v>
      </c>
    </row>
    <row r="3417" spans="20:22" x14ac:dyDescent="0.25">
      <c r="T3417" s="7" t="str">
        <f ca="1"/>
        <v>D3X</v>
      </c>
      <c r="U3417" s="7" t="str">
        <f ca="1"/>
        <v>0xD09A</v>
      </c>
      <c r="V3417" s="7" t="str">
        <f ca="1"/>
        <v>AfTuneLensNoIndexNow</v>
      </c>
    </row>
    <row r="3418" spans="20:22" x14ac:dyDescent="0.25">
      <c r="T3418" s="7" t="str">
        <f ca="1"/>
        <v>D3X</v>
      </c>
      <c r="U3418" s="7" t="str">
        <f ca="1"/>
        <v>0xD09B</v>
      </c>
      <c r="V3418" s="7" t="str">
        <f ca="1"/>
        <v>AfTuneLensNoDelete</v>
      </c>
    </row>
    <row r="3419" spans="20:22" x14ac:dyDescent="0.25">
      <c r="T3419" s="7" t="str">
        <f ca="1"/>
        <v>D3X</v>
      </c>
      <c r="U3419" s="7" t="str">
        <f ca="1"/>
        <v>0xD0B0</v>
      </c>
      <c r="V3419" s="7" t="str">
        <f ca="1"/>
        <v>CenterButtonOnLiveViewMode</v>
      </c>
    </row>
    <row r="3420" spans="20:22" x14ac:dyDescent="0.25">
      <c r="T3420" s="7" t="str">
        <f ca="1"/>
        <v>D3X</v>
      </c>
      <c r="U3420" s="7" t="str">
        <f ca="1"/>
        <v>0xD0B1</v>
      </c>
      <c r="V3420" s="7" t="str">
        <f ca="1"/>
        <v>AfZoomRatioInLiveView</v>
      </c>
    </row>
    <row r="3421" spans="20:22" x14ac:dyDescent="0.25">
      <c r="T3421" s="7" t="str">
        <f ca="1"/>
        <v>D3X</v>
      </c>
      <c r="U3421" s="7" t="str">
        <f ca="1"/>
        <v>0xD0C0</v>
      </c>
      <c r="V3421" s="7" t="str">
        <f ca="1"/>
        <v>EnableBracketing</v>
      </c>
    </row>
    <row r="3422" spans="20:22" x14ac:dyDescent="0.25">
      <c r="T3422" s="7" t="str">
        <f ca="1"/>
        <v>D3X</v>
      </c>
      <c r="U3422" s="7" t="str">
        <f ca="1"/>
        <v>0xD0C1</v>
      </c>
      <c r="V3422" s="7" t="str">
        <f ca="1"/>
        <v>AEBracketingStep</v>
      </c>
    </row>
    <row r="3423" spans="20:22" x14ac:dyDescent="0.25">
      <c r="T3423" s="7" t="str">
        <f ca="1"/>
        <v>D3X</v>
      </c>
      <c r="U3423" s="7" t="str">
        <f ca="1"/>
        <v>0xD0C2</v>
      </c>
      <c r="V3423" s="7" t="str">
        <f ca="1"/>
        <v>AEBracketingPattern</v>
      </c>
    </row>
    <row r="3424" spans="20:22" x14ac:dyDescent="0.25">
      <c r="T3424" s="7" t="str">
        <f ca="1"/>
        <v>D3X</v>
      </c>
      <c r="U3424" s="7" t="str">
        <f ca="1"/>
        <v>0xD0C3</v>
      </c>
      <c r="V3424" s="7" t="str">
        <f ca="1"/>
        <v>AEBracketingCount</v>
      </c>
    </row>
    <row r="3425" spans="20:22" x14ac:dyDescent="0.25">
      <c r="T3425" s="7" t="str">
        <f ca="1"/>
        <v>D3X</v>
      </c>
      <c r="U3425" s="7" t="str">
        <f ca="1"/>
        <v>0xD0C4</v>
      </c>
      <c r="V3425" s="7" t="str">
        <f ca="1"/>
        <v>WBBracketingStep</v>
      </c>
    </row>
    <row r="3426" spans="20:22" x14ac:dyDescent="0.25">
      <c r="T3426" s="7" t="str">
        <f ca="1"/>
        <v>D3X</v>
      </c>
      <c r="U3426" s="7" t="str">
        <f ca="1"/>
        <v>0xD0C5</v>
      </c>
      <c r="V3426" s="7" t="str">
        <f ca="1"/>
        <v>WBBracketingPattern</v>
      </c>
    </row>
    <row r="3427" spans="20:22" x14ac:dyDescent="0.25">
      <c r="T3427" s="7" t="str">
        <f ca="1"/>
        <v>D3X</v>
      </c>
      <c r="U3427" s="7" t="str">
        <f ca="1"/>
        <v>0xD0E0</v>
      </c>
      <c r="V3427" s="7" t="str">
        <f ca="1"/>
        <v>LensID</v>
      </c>
    </row>
    <row r="3428" spans="20:22" x14ac:dyDescent="0.25">
      <c r="T3428" s="7" t="str">
        <f ca="1"/>
        <v>D3X</v>
      </c>
      <c r="U3428" s="7" t="str">
        <f ca="1"/>
        <v>0xD0E1</v>
      </c>
      <c r="V3428" s="7" t="str">
        <f ca="1"/>
        <v>LensSort</v>
      </c>
    </row>
    <row r="3429" spans="20:22" x14ac:dyDescent="0.25">
      <c r="T3429" s="7" t="str">
        <f ca="1"/>
        <v>D3X</v>
      </c>
      <c r="U3429" s="7" t="str">
        <f ca="1"/>
        <v>0xD0E2</v>
      </c>
      <c r="V3429" s="7" t="str">
        <f ca="1"/>
        <v>LensType</v>
      </c>
    </row>
    <row r="3430" spans="20:22" x14ac:dyDescent="0.25">
      <c r="T3430" s="7" t="str">
        <f ca="1"/>
        <v>D3X</v>
      </c>
      <c r="U3430" s="7" t="str">
        <f ca="1"/>
        <v>0xD0E3</v>
      </c>
      <c r="V3430" s="7" t="str">
        <f ca="1"/>
        <v>LensFocalMin</v>
      </c>
    </row>
    <row r="3431" spans="20:22" x14ac:dyDescent="0.25">
      <c r="T3431" s="7" t="str">
        <f ca="1"/>
        <v>D3X</v>
      </c>
      <c r="U3431" s="7" t="str">
        <f ca="1"/>
        <v>0xD0E4</v>
      </c>
      <c r="V3431" s="7" t="str">
        <f ca="1"/>
        <v>LensFocalMax</v>
      </c>
    </row>
    <row r="3432" spans="20:22" x14ac:dyDescent="0.25">
      <c r="T3432" s="7" t="str">
        <f ca="1"/>
        <v>D3X</v>
      </c>
      <c r="U3432" s="7" t="str">
        <f ca="1"/>
        <v>0xD0E5</v>
      </c>
      <c r="V3432" s="7" t="str">
        <f ca="1"/>
        <v>LensApatureMin</v>
      </c>
    </row>
    <row r="3433" spans="20:22" x14ac:dyDescent="0.25">
      <c r="T3433" s="7" t="str">
        <f ca="1"/>
        <v>D3X</v>
      </c>
      <c r="U3433" s="7" t="str">
        <f ca="1"/>
        <v>0xD0E6</v>
      </c>
      <c r="V3433" s="7" t="str">
        <f ca="1"/>
        <v>LensApatureMax</v>
      </c>
    </row>
    <row r="3434" spans="20:22" x14ac:dyDescent="0.25">
      <c r="T3434" s="7" t="str">
        <f ca="1"/>
        <v>D3X</v>
      </c>
      <c r="U3434" s="7" t="str">
        <f ca="1"/>
        <v>0xD100</v>
      </c>
      <c r="V3434" s="7" t="str">
        <f ca="1"/>
        <v>ShutterSpeed</v>
      </c>
    </row>
    <row r="3435" spans="20:22" x14ac:dyDescent="0.25">
      <c r="T3435" s="7" t="str">
        <f ca="1"/>
        <v>D3X</v>
      </c>
      <c r="U3435" s="7" t="str">
        <f ca="1"/>
        <v>0xD101</v>
      </c>
      <c r="V3435" s="7" t="str">
        <f ca="1"/>
        <v>ExternalDC</v>
      </c>
    </row>
    <row r="3436" spans="20:22" x14ac:dyDescent="0.25">
      <c r="T3436" s="7" t="str">
        <f ca="1"/>
        <v>D3X</v>
      </c>
      <c r="U3436" s="7" t="str">
        <f ca="1"/>
        <v>0xD102</v>
      </c>
      <c r="V3436" s="7" t="str">
        <f ca="1"/>
        <v>WarningStatus</v>
      </c>
    </row>
    <row r="3437" spans="20:22" x14ac:dyDescent="0.25">
      <c r="T3437" s="7" t="str">
        <f ca="1"/>
        <v>D3X</v>
      </c>
      <c r="U3437" s="7" t="str">
        <f ca="1"/>
        <v>0xD103</v>
      </c>
      <c r="V3437" s="7" t="str">
        <f ca="1"/>
        <v>RemainingExposure</v>
      </c>
    </row>
    <row r="3438" spans="20:22" x14ac:dyDescent="0.25">
      <c r="T3438" s="7" t="str">
        <f ca="1"/>
        <v>D3X</v>
      </c>
      <c r="U3438" s="7" t="str">
        <f ca="1"/>
        <v>0xD104</v>
      </c>
      <c r="V3438" s="7" t="str">
        <f ca="1"/>
        <v>AFLockStatus</v>
      </c>
    </row>
    <row r="3439" spans="20:22" x14ac:dyDescent="0.25">
      <c r="T3439" s="7" t="str">
        <f ca="1"/>
        <v>D3X</v>
      </c>
      <c r="U3439" s="7" t="str">
        <f ca="1"/>
        <v>0xD105</v>
      </c>
      <c r="V3439" s="7" t="str">
        <f ca="1"/>
        <v>AELockStatus</v>
      </c>
    </row>
    <row r="3440" spans="20:22" x14ac:dyDescent="0.25">
      <c r="T3440" s="7" t="str">
        <f ca="1"/>
        <v>D3X</v>
      </c>
      <c r="U3440" s="7" t="str">
        <f ca="1"/>
        <v>0xD106</v>
      </c>
      <c r="V3440" s="7" t="str">
        <f ca="1"/>
        <v>FVLockStatus</v>
      </c>
    </row>
    <row r="3441" spans="20:22" x14ac:dyDescent="0.25">
      <c r="T3441" s="7" t="str">
        <f ca="1"/>
        <v>D3X</v>
      </c>
      <c r="U3441" s="7" t="str">
        <f ca="1"/>
        <v>0xD108</v>
      </c>
      <c r="V3441" s="7" t="str">
        <f ca="1"/>
        <v>FocusArea</v>
      </c>
    </row>
    <row r="3442" spans="20:22" x14ac:dyDescent="0.25">
      <c r="T3442" s="7" t="str">
        <f ca="1"/>
        <v>D3X</v>
      </c>
      <c r="U3442" s="7" t="str">
        <f ca="1"/>
        <v>0xD109</v>
      </c>
      <c r="V3442" s="7" t="str">
        <f ca="1"/>
        <v>FlexibleProgram</v>
      </c>
    </row>
    <row r="3443" spans="20:22" x14ac:dyDescent="0.25">
      <c r="T3443" s="7" t="str">
        <f ca="1"/>
        <v>D3X</v>
      </c>
      <c r="U3443" s="7" t="str">
        <f ca="1"/>
        <v>0xD10A</v>
      </c>
      <c r="V3443" s="7" t="str">
        <f ca="1"/>
        <v>ExposureStatus</v>
      </c>
    </row>
    <row r="3444" spans="20:22" x14ac:dyDescent="0.25">
      <c r="T3444" s="7" t="str">
        <f ca="1"/>
        <v>D3X</v>
      </c>
      <c r="U3444" s="7" t="str">
        <f ca="1"/>
        <v>0xD10B</v>
      </c>
      <c r="V3444" s="7" t="str">
        <f ca="1"/>
        <v>RecordingMedia</v>
      </c>
    </row>
    <row r="3445" spans="20:22" x14ac:dyDescent="0.25">
      <c r="T3445" s="7" t="str">
        <f ca="1"/>
        <v>D3X</v>
      </c>
      <c r="U3445" s="7" t="str">
        <f ca="1"/>
        <v>0xD10C</v>
      </c>
      <c r="V3445" s="7" t="str">
        <f ca="1"/>
        <v>USBSpeed</v>
      </c>
    </row>
    <row r="3446" spans="20:22" x14ac:dyDescent="0.25">
      <c r="T3446" s="7" t="str">
        <f ca="1"/>
        <v>D3X</v>
      </c>
      <c r="U3446" s="7" t="str">
        <f ca="1"/>
        <v>0xD10D</v>
      </c>
      <c r="V3446" s="7" t="str">
        <f ca="1"/>
        <v>CCDNumber</v>
      </c>
    </row>
    <row r="3447" spans="20:22" x14ac:dyDescent="0.25">
      <c r="T3447" s="7" t="str">
        <f ca="1"/>
        <v>D3X</v>
      </c>
      <c r="U3447" s="7" t="str">
        <f ca="1"/>
        <v>0xD10E</v>
      </c>
      <c r="V3447" s="7" t="str">
        <f ca="1"/>
        <v>Orientation</v>
      </c>
    </row>
    <row r="3448" spans="20:22" x14ac:dyDescent="0.25">
      <c r="T3448" s="7" t="str">
        <f ca="1"/>
        <v>D3X</v>
      </c>
      <c r="U3448" s="7" t="str">
        <f ca="1"/>
        <v>0xD110</v>
      </c>
      <c r="V3448" s="7" t="str">
        <f ca="1"/>
        <v>FnumberLock</v>
      </c>
    </row>
    <row r="3449" spans="20:22" x14ac:dyDescent="0.25">
      <c r="T3449" s="7" t="str">
        <f ca="1"/>
        <v>D3X</v>
      </c>
      <c r="U3449" s="7" t="str">
        <f ca="1"/>
        <v>0xD111</v>
      </c>
      <c r="V3449" s="7" t="str">
        <f ca="1"/>
        <v>ShutterSpeedLock</v>
      </c>
    </row>
    <row r="3450" spans="20:22" x14ac:dyDescent="0.25">
      <c r="T3450" s="7" t="str">
        <f ca="1"/>
        <v>D3X</v>
      </c>
      <c r="U3450" s="7" t="str">
        <f ca="1"/>
        <v>0xD115</v>
      </c>
      <c r="V3450" s="7" t="str">
        <f ca="1"/>
        <v>FocusPointBrightness</v>
      </c>
    </row>
    <row r="3451" spans="20:22" x14ac:dyDescent="0.25">
      <c r="T3451" s="7" t="str">
        <f ca="1"/>
        <v>D3X</v>
      </c>
      <c r="U3451" s="7" t="str">
        <f ca="1"/>
        <v>0xD120</v>
      </c>
      <c r="V3451" s="7" t="str">
        <f ca="1"/>
        <v>ExternalSpeedLightExist</v>
      </c>
    </row>
    <row r="3452" spans="20:22" x14ac:dyDescent="0.25">
      <c r="T3452" s="7" t="str">
        <f ca="1"/>
        <v>D3X</v>
      </c>
      <c r="U3452" s="7" t="str">
        <f ca="1"/>
        <v>0xD121</v>
      </c>
      <c r="V3452" s="7" t="str">
        <f ca="1"/>
        <v>ExternalSpeedLightStatus</v>
      </c>
    </row>
    <row r="3453" spans="20:22" x14ac:dyDescent="0.25">
      <c r="T3453" s="7" t="str">
        <f ca="1"/>
        <v>D3X</v>
      </c>
      <c r="U3453" s="7" t="str">
        <f ca="1"/>
        <v>0xD122</v>
      </c>
      <c r="V3453" s="7" t="str">
        <f ca="1"/>
        <v>ExternalSpeedLightSort</v>
      </c>
    </row>
    <row r="3454" spans="20:22" x14ac:dyDescent="0.25">
      <c r="T3454" s="7" t="str">
        <f ca="1"/>
        <v>D3X</v>
      </c>
      <c r="U3454" s="7" t="str">
        <f ca="1"/>
        <v>0xD124</v>
      </c>
      <c r="V3454" s="7" t="str">
        <f ca="1"/>
        <v>FlashCompensation</v>
      </c>
    </row>
    <row r="3455" spans="20:22" x14ac:dyDescent="0.25">
      <c r="T3455" s="7" t="str">
        <f ca="1"/>
        <v>D3X</v>
      </c>
      <c r="U3455" s="7" t="str">
        <f ca="1"/>
        <v>0xD125</v>
      </c>
      <c r="V3455" s="7" t="str">
        <f ca="1"/>
        <v>NewExternalSpeedLightMode</v>
      </c>
    </row>
    <row r="3456" spans="20:22" x14ac:dyDescent="0.25">
      <c r="T3456" s="7" t="str">
        <f ca="1"/>
        <v>D3X</v>
      </c>
      <c r="U3456" s="7" t="str">
        <f ca="1"/>
        <v>0xD148</v>
      </c>
      <c r="V3456" s="7" t="str">
        <f ca="1"/>
        <v>Slot2ImageSaveMode</v>
      </c>
    </row>
    <row r="3457" spans="20:22" x14ac:dyDescent="0.25">
      <c r="T3457" s="7" t="str">
        <f ca="1"/>
        <v>D3X</v>
      </c>
      <c r="U3457" s="7" t="str">
        <f ca="1"/>
        <v>0xD149</v>
      </c>
      <c r="V3457" s="7" t="str">
        <f ca="1"/>
        <v>RawCompressionBitMode</v>
      </c>
    </row>
    <row r="3458" spans="20:22" x14ac:dyDescent="0.25">
      <c r="T3458" s="7" t="str">
        <f ca="1"/>
        <v>D3X</v>
      </c>
      <c r="U3458" s="7" t="str">
        <f ca="1"/>
        <v>0xD14E</v>
      </c>
      <c r="V3458" s="7" t="str">
        <f ca="1"/>
        <v>Active</v>
      </c>
    </row>
    <row r="3459" spans="20:22" x14ac:dyDescent="0.25">
      <c r="T3459" s="7" t="str">
        <f ca="1"/>
        <v>D3X</v>
      </c>
      <c r="U3459" s="7" t="str">
        <f ca="1"/>
        <v>0xD14F</v>
      </c>
      <c r="V3459" s="7" t="str">
        <f ca="1"/>
        <v>WbTuneFluorescentType</v>
      </c>
    </row>
    <row r="3460" spans="20:22" x14ac:dyDescent="0.25">
      <c r="T3460" s="7" t="str">
        <f ca="1"/>
        <v>D3X</v>
      </c>
      <c r="U3460" s="7" t="str">
        <f ca="1"/>
        <v>0xD150</v>
      </c>
      <c r="V3460" s="7" t="str">
        <f ca="1"/>
        <v>WbTuneColorTemp</v>
      </c>
    </row>
    <row r="3461" spans="20:22" x14ac:dyDescent="0.25">
      <c r="T3461" s="7" t="str">
        <f ca="1"/>
        <v>D3X</v>
      </c>
      <c r="U3461" s="7" t="str">
        <f ca="1"/>
        <v>0xD151</v>
      </c>
      <c r="V3461" s="7" t="str">
        <f ca="1"/>
        <v>WbTunePreset0</v>
      </c>
    </row>
    <row r="3462" spans="20:22" x14ac:dyDescent="0.25">
      <c r="T3462" s="7" t="str">
        <f ca="1"/>
        <v>D3X</v>
      </c>
      <c r="U3462" s="7" t="str">
        <f ca="1"/>
        <v>0xD152</v>
      </c>
      <c r="V3462" s="7" t="str">
        <f ca="1"/>
        <v>WbTunePreset1</v>
      </c>
    </row>
    <row r="3463" spans="20:22" x14ac:dyDescent="0.25">
      <c r="T3463" s="7" t="str">
        <f ca="1"/>
        <v>D3X</v>
      </c>
      <c r="U3463" s="7" t="str">
        <f ca="1"/>
        <v>0xD153</v>
      </c>
      <c r="V3463" s="7" t="str">
        <f ca="1"/>
        <v>WbTunePreset2</v>
      </c>
    </row>
    <row r="3464" spans="20:22" x14ac:dyDescent="0.25">
      <c r="T3464" s="7" t="str">
        <f ca="1"/>
        <v>D3X</v>
      </c>
      <c r="U3464" s="7" t="str">
        <f ca="1"/>
        <v>0xD154</v>
      </c>
      <c r="V3464" s="7" t="str">
        <f ca="1"/>
        <v>WbTunePreset3</v>
      </c>
    </row>
    <row r="3465" spans="20:22" x14ac:dyDescent="0.25">
      <c r="T3465" s="7" t="str">
        <f ca="1"/>
        <v>D3X</v>
      </c>
      <c r="U3465" s="7" t="str">
        <f ca="1"/>
        <v>0xD155</v>
      </c>
      <c r="V3465" s="7" t="str">
        <f ca="1"/>
        <v>WbTunePreset4</v>
      </c>
    </row>
    <row r="3466" spans="20:22" x14ac:dyDescent="0.25">
      <c r="T3466" s="7" t="str">
        <f ca="1"/>
        <v>D3X</v>
      </c>
      <c r="U3466" s="7" t="str">
        <f ca="1"/>
        <v>0xD160</v>
      </c>
      <c r="V3466" s="7" t="str">
        <f ca="1"/>
        <v>Beep</v>
      </c>
    </row>
    <row r="3467" spans="20:22" x14ac:dyDescent="0.25">
      <c r="T3467" s="7" t="str">
        <f ca="1"/>
        <v>D3X</v>
      </c>
      <c r="U3467" s="7" t="str">
        <f ca="1"/>
        <v>0xD164</v>
      </c>
      <c r="V3467" s="7" t="str">
        <f ca="1"/>
        <v>ISOAutoShutterTime</v>
      </c>
    </row>
    <row r="3468" spans="20:22" x14ac:dyDescent="0.25">
      <c r="T3468" s="7" t="str">
        <f ca="1"/>
        <v>D3X</v>
      </c>
      <c r="U3468" s="7" t="str">
        <f ca="1"/>
        <v>0xD183</v>
      </c>
      <c r="V3468" s="7" t="str">
        <f ca="1"/>
        <v>ISOAutoHighLimit</v>
      </c>
    </row>
    <row r="3469" spans="20:22" x14ac:dyDescent="0.25">
      <c r="T3469" s="7" t="str">
        <f ca="1"/>
        <v>D3X</v>
      </c>
      <c r="U3469" s="7" t="str">
        <f ca="1"/>
        <v>0xD184</v>
      </c>
      <c r="V3469" s="7" t="str">
        <f ca="1"/>
        <v>DynamicAFArea</v>
      </c>
    </row>
    <row r="3470" spans="20:22" x14ac:dyDescent="0.25">
      <c r="T3470" s="7" t="str">
        <f ca="1"/>
        <v>D3X</v>
      </c>
      <c r="U3470" s="7" t="str">
        <f ca="1"/>
        <v>0xD186</v>
      </c>
      <c r="V3470" s="7" t="str">
        <f ca="1"/>
        <v>CSpeedHigh</v>
      </c>
    </row>
    <row r="3471" spans="20:22" x14ac:dyDescent="0.25">
      <c r="T3471" s="7" t="str">
        <f ca="1"/>
        <v>D3X</v>
      </c>
      <c r="U3471" s="7" t="str">
        <f ca="1"/>
        <v>0xD187</v>
      </c>
      <c r="V3471" s="7" t="str">
        <f ca="1"/>
        <v>InformationScreenDisplaySetting</v>
      </c>
    </row>
    <row r="3472" spans="20:22" x14ac:dyDescent="0.25">
      <c r="T3472" s="7" t="str">
        <f ca="1"/>
        <v>D3X</v>
      </c>
      <c r="U3472" s="7" t="str">
        <f ca="1"/>
        <v>0xD189</v>
      </c>
      <c r="V3472" s="7" t="str">
        <f ca="1"/>
        <v>PreviewButton</v>
      </c>
    </row>
    <row r="3473" spans="20:22" x14ac:dyDescent="0.25">
      <c r="T3473" s="7" t="str">
        <f ca="1"/>
        <v>D3X</v>
      </c>
      <c r="U3473" s="7" t="str">
        <f ca="1"/>
        <v>0xD18A</v>
      </c>
      <c r="V3473" s="7" t="str">
        <f ca="1"/>
        <v>PreviewButton2</v>
      </c>
    </row>
    <row r="3474" spans="20:22" x14ac:dyDescent="0.25">
      <c r="T3474" s="7" t="str">
        <f ca="1"/>
        <v>D3X</v>
      </c>
      <c r="U3474" s="7" t="str">
        <f ca="1"/>
        <v>0xD18B</v>
      </c>
      <c r="V3474" s="7" t="str">
        <f ca="1"/>
        <v>AEAFLockSetting2</v>
      </c>
    </row>
    <row r="3475" spans="20:22" x14ac:dyDescent="0.25">
      <c r="T3475" s="7" t="str">
        <f ca="1"/>
        <v>D3X</v>
      </c>
      <c r="U3475" s="7" t="str">
        <f ca="1"/>
        <v>0xD18D</v>
      </c>
      <c r="V3475" s="7" t="str">
        <f ca="1"/>
        <v>IndicatorDisplay</v>
      </c>
    </row>
    <row r="3476" spans="20:22" x14ac:dyDescent="0.25">
      <c r="T3476" s="7" t="str">
        <f ca="1"/>
        <v>D3X</v>
      </c>
      <c r="U3476" s="7" t="str">
        <f ca="1"/>
        <v>0xD1A0</v>
      </c>
      <c r="V3476" s="7" t="str">
        <f ca="1"/>
        <v>LiveViewMode</v>
      </c>
    </row>
    <row r="3477" spans="20:22" x14ac:dyDescent="0.25">
      <c r="T3477" s="7" t="str">
        <f ca="1"/>
        <v>D3X</v>
      </c>
      <c r="U3477" s="7" t="str">
        <f ca="1"/>
        <v>0xD1A1</v>
      </c>
      <c r="V3477" s="7" t="str">
        <f ca="1"/>
        <v>LiveViewStillCaptureMode</v>
      </c>
    </row>
    <row r="3478" spans="20:22" x14ac:dyDescent="0.25">
      <c r="T3478" s="7" t="str">
        <f ca="1"/>
        <v>D3X</v>
      </c>
      <c r="U3478" s="7" t="str">
        <f ca="1"/>
        <v>0xD1A2</v>
      </c>
      <c r="V3478" s="7" t="str">
        <f ca="1"/>
        <v>LiveViewStatus</v>
      </c>
    </row>
    <row r="3479" spans="20:22" x14ac:dyDescent="0.25">
      <c r="T3479" s="7" t="str">
        <f ca="1"/>
        <v>D3X</v>
      </c>
      <c r="U3479" s="7" t="str">
        <f ca="1"/>
        <v>0xD1A3</v>
      </c>
      <c r="V3479" s="7" t="str">
        <f ca="1"/>
        <v>LiveViewImageZoomRatio</v>
      </c>
    </row>
    <row r="3480" spans="20:22" x14ac:dyDescent="0.25">
      <c r="T3480" s="7" t="str">
        <f ca="1"/>
        <v>D3X</v>
      </c>
      <c r="U3480" s="7" t="str">
        <f ca="1"/>
        <v>0xD1A4</v>
      </c>
      <c r="V3480" s="7" t="str">
        <f ca="1"/>
        <v>LiveViewProhibitionCondition</v>
      </c>
    </row>
    <row r="3481" spans="20:22" x14ac:dyDescent="0.25">
      <c r="T3481" s="7" t="str">
        <f ca="1"/>
        <v>D3X</v>
      </c>
      <c r="U3481" s="7" t="str">
        <f ca="1"/>
        <v>0xD1B0</v>
      </c>
      <c r="V3481" s="7" t="str">
        <f ca="1"/>
        <v>ExposureDisplayStatus</v>
      </c>
    </row>
    <row r="3482" spans="20:22" x14ac:dyDescent="0.25">
      <c r="T3482" s="7" t="str">
        <f ca="1"/>
        <v>D3X</v>
      </c>
      <c r="U3482" s="7" t="str">
        <f ca="1"/>
        <v>0xD1B1</v>
      </c>
      <c r="V3482" s="7" t="str">
        <f ca="1"/>
        <v>ExposureIndicateStatus</v>
      </c>
    </row>
    <row r="3483" spans="20:22" x14ac:dyDescent="0.25">
      <c r="T3483" s="7" t="str">
        <f ca="1"/>
        <v>D3X</v>
      </c>
      <c r="U3483" s="7" t="str">
        <f ca="1"/>
        <v>0xD1B2</v>
      </c>
      <c r="V3483" s="7" t="str">
        <f ca="1"/>
        <v>InfoDisplayErrorStatus</v>
      </c>
    </row>
    <row r="3484" spans="20:22" x14ac:dyDescent="0.25">
      <c r="T3484" s="7" t="str">
        <f ca="1"/>
        <v>D3X</v>
      </c>
      <c r="U3484" s="7" t="str">
        <f ca="1"/>
        <v>0xD1B3</v>
      </c>
      <c r="V3484" s="7" t="str">
        <f ca="1"/>
        <v>ExposureIndicateLightup</v>
      </c>
    </row>
    <row r="3485" spans="20:22" x14ac:dyDescent="0.25">
      <c r="T3485" s="7" t="str">
        <f ca="1"/>
        <v>D3X</v>
      </c>
      <c r="U3485" s="7" t="str">
        <f ca="1"/>
        <v>0xD1F0</v>
      </c>
      <c r="V3485" s="7" t="str">
        <f ca="1"/>
        <v>ApplicationMode</v>
      </c>
    </row>
    <row r="3486" spans="20:22" x14ac:dyDescent="0.25">
      <c r="T3486" s="7" t="str">
        <f ca="1"/>
        <v>D3X</v>
      </c>
      <c r="U3486" s="7" t="str">
        <f ca="1"/>
        <v>0xD1F1</v>
      </c>
      <c r="V3486" s="7" t="str">
        <f ca="1"/>
        <v>ExposuresRemaining</v>
      </c>
    </row>
    <row r="3487" spans="20:22" x14ac:dyDescent="0.25">
      <c r="T3487" s="7" t="str">
        <f ca="1"/>
        <v>D3X</v>
      </c>
      <c r="U3487" s="7" t="str">
        <f ca="1"/>
        <v>0xD1F2</v>
      </c>
      <c r="V3487" s="7" t="str">
        <f ca="1"/>
        <v>ActiveSlot</v>
      </c>
    </row>
    <row r="3488" spans="20:22" x14ac:dyDescent="0.25">
      <c r="T3488" s="7" t="str">
        <f ca="1"/>
        <v>D3X</v>
      </c>
      <c r="U3488" s="7" t="str">
        <f ca="1"/>
        <v>0xD200</v>
      </c>
      <c r="V3488" s="7" t="str">
        <f ca="1"/>
        <v>ActivePicCtrlItem</v>
      </c>
    </row>
    <row r="3489" spans="20:22" x14ac:dyDescent="0.25">
      <c r="T3489" s="7" t="str">
        <f ca="1"/>
        <v>D3X</v>
      </c>
      <c r="U3489" s="7" t="str">
        <f ca="1"/>
        <v>0xD201</v>
      </c>
      <c r="V3489" s="7" t="str">
        <f ca="1"/>
        <v>ChangePicCtrlItem</v>
      </c>
    </row>
    <row r="3490" spans="20:22" x14ac:dyDescent="0.25">
      <c r="T3490" s="7" t="str">
        <f ca="1"/>
        <v>D3X</v>
      </c>
      <c r="U3490" s="7" t="str">
        <f ca="1"/>
        <v>0xD406</v>
      </c>
      <c r="V3490" s="7" t="str">
        <f ca="1"/>
        <v>SessionInitiatorVersionInfo</v>
      </c>
    </row>
    <row r="3491" spans="20:22" x14ac:dyDescent="0.25">
      <c r="T3491" s="7" t="str">
        <f ca="1"/>
        <v>D3X</v>
      </c>
      <c r="U3491" s="7" t="str">
        <f ca="1"/>
        <v>0xD407</v>
      </c>
      <c r="V3491" s="7" t="str">
        <f ca="1"/>
        <v>PerceivedDeviceType</v>
      </c>
    </row>
    <row r="3492" spans="20:22" x14ac:dyDescent="0.25">
      <c r="T3492" s="7" t="str">
        <f ca="1"/>
        <v>D3</v>
      </c>
      <c r="U3492" s="7" t="str">
        <f ca="1"/>
        <v>0x5001</v>
      </c>
      <c r="V3492" s="7" t="str">
        <f ca="1"/>
        <v>BatteryLevel</v>
      </c>
    </row>
    <row r="3493" spans="20:22" x14ac:dyDescent="0.25">
      <c r="T3493" s="7" t="str">
        <f ca="1"/>
        <v>D3</v>
      </c>
      <c r="U3493" s="7" t="str">
        <f ca="1"/>
        <v>0x5003</v>
      </c>
      <c r="V3493" s="7" t="str">
        <f ca="1"/>
        <v>ImageSize</v>
      </c>
    </row>
    <row r="3494" spans="20:22" x14ac:dyDescent="0.25">
      <c r="T3494" s="7" t="str">
        <f ca="1"/>
        <v>D3</v>
      </c>
      <c r="U3494" s="7" t="str">
        <f ca="1"/>
        <v>0x5004</v>
      </c>
      <c r="V3494" s="7" t="str">
        <f ca="1"/>
        <v>CompressionSetting</v>
      </c>
    </row>
    <row r="3495" spans="20:22" x14ac:dyDescent="0.25">
      <c r="T3495" s="7" t="str">
        <f ca="1"/>
        <v>D3</v>
      </c>
      <c r="U3495" s="7" t="str">
        <f ca="1"/>
        <v>0x5005</v>
      </c>
      <c r="V3495" s="7" t="str">
        <f ca="1"/>
        <v>WhiteBalance</v>
      </c>
    </row>
    <row r="3496" spans="20:22" x14ac:dyDescent="0.25">
      <c r="T3496" s="7" t="str">
        <f ca="1"/>
        <v>D3</v>
      </c>
      <c r="U3496" s="7" t="str">
        <f ca="1"/>
        <v>0x5007</v>
      </c>
      <c r="V3496" s="7" t="str">
        <f ca="1"/>
        <v>Fnumber</v>
      </c>
    </row>
    <row r="3497" spans="20:22" x14ac:dyDescent="0.25">
      <c r="T3497" s="7" t="str">
        <f ca="1"/>
        <v>D3</v>
      </c>
      <c r="U3497" s="7" t="str">
        <f ca="1"/>
        <v>0x5008</v>
      </c>
      <c r="V3497" s="7" t="str">
        <f ca="1"/>
        <v>FocalLength</v>
      </c>
    </row>
    <row r="3498" spans="20:22" x14ac:dyDescent="0.25">
      <c r="T3498" s="7" t="str">
        <f ca="1"/>
        <v>D3</v>
      </c>
      <c r="U3498" s="7" t="str">
        <f ca="1"/>
        <v>0x500A</v>
      </c>
      <c r="V3498" s="7" t="str">
        <f ca="1"/>
        <v>FocusMode</v>
      </c>
    </row>
    <row r="3499" spans="20:22" x14ac:dyDescent="0.25">
      <c r="T3499" s="7" t="str">
        <f ca="1"/>
        <v>D3</v>
      </c>
      <c r="U3499" s="7" t="str">
        <f ca="1"/>
        <v>0x500B</v>
      </c>
      <c r="V3499" s="7" t="str">
        <f ca="1"/>
        <v>ExposureMeteringMode</v>
      </c>
    </row>
    <row r="3500" spans="20:22" x14ac:dyDescent="0.25">
      <c r="T3500" s="7" t="str">
        <f ca="1"/>
        <v>D3</v>
      </c>
      <c r="U3500" s="7" t="str">
        <f ca="1"/>
        <v>0x500C</v>
      </c>
      <c r="V3500" s="7" t="str">
        <f ca="1"/>
        <v>FlashMode</v>
      </c>
    </row>
    <row r="3501" spans="20:22" x14ac:dyDescent="0.25">
      <c r="T3501" s="7" t="str">
        <f ca="1"/>
        <v>D3</v>
      </c>
      <c r="U3501" s="7" t="str">
        <f ca="1"/>
        <v>0x500D</v>
      </c>
      <c r="V3501" s="7" t="str">
        <f ca="1"/>
        <v>ExposureTime</v>
      </c>
    </row>
    <row r="3502" spans="20:22" x14ac:dyDescent="0.25">
      <c r="T3502" s="7" t="str">
        <f ca="1"/>
        <v>D3</v>
      </c>
      <c r="U3502" s="7" t="str">
        <f ca="1"/>
        <v>0x500E</v>
      </c>
      <c r="V3502" s="7" t="str">
        <f ca="1"/>
        <v>ExposureProgramMode</v>
      </c>
    </row>
    <row r="3503" spans="20:22" x14ac:dyDescent="0.25">
      <c r="T3503" s="7" t="str">
        <f ca="1"/>
        <v>D3</v>
      </c>
      <c r="U3503" s="7" t="str">
        <f ca="1"/>
        <v>0x500F</v>
      </c>
      <c r="V3503" s="7" t="str">
        <f ca="1"/>
        <v>ExposureIndex</v>
      </c>
    </row>
    <row r="3504" spans="20:22" x14ac:dyDescent="0.25">
      <c r="T3504" s="7" t="str">
        <f ca="1"/>
        <v>D3</v>
      </c>
      <c r="U3504" s="7" t="str">
        <f ca="1"/>
        <v>0x5010</v>
      </c>
      <c r="V3504" s="7" t="str">
        <f ca="1"/>
        <v>ExposureBiasCompensation</v>
      </c>
    </row>
    <row r="3505" spans="20:22" x14ac:dyDescent="0.25">
      <c r="T3505" s="7" t="str">
        <f ca="1"/>
        <v>D3</v>
      </c>
      <c r="U3505" s="7" t="str">
        <f ca="1"/>
        <v>0x5011</v>
      </c>
      <c r="V3505" s="7" t="str">
        <f ca="1"/>
        <v>DateTime</v>
      </c>
    </row>
    <row r="3506" spans="20:22" x14ac:dyDescent="0.25">
      <c r="T3506" s="7" t="str">
        <f ca="1"/>
        <v>D3</v>
      </c>
      <c r="U3506" s="7" t="str">
        <f ca="1"/>
        <v>0x5013</v>
      </c>
      <c r="V3506" s="7" t="str">
        <f ca="1"/>
        <v>StillCaptureMode</v>
      </c>
    </row>
    <row r="3507" spans="20:22" x14ac:dyDescent="0.25">
      <c r="T3507" s="7" t="str">
        <f ca="1"/>
        <v>D3</v>
      </c>
      <c r="U3507" s="7" t="str">
        <f ca="1"/>
        <v>0x5018</v>
      </c>
      <c r="V3507" s="7" t="str">
        <f ca="1"/>
        <v>BurstNumber</v>
      </c>
    </row>
    <row r="3508" spans="20:22" x14ac:dyDescent="0.25">
      <c r="T3508" s="7" t="str">
        <f ca="1"/>
        <v>D3</v>
      </c>
      <c r="U3508" s="7" t="str">
        <f ca="1"/>
        <v>0x501C</v>
      </c>
      <c r="V3508" s="7" t="str">
        <f ca="1"/>
        <v>FocusMeteringMode</v>
      </c>
    </row>
    <row r="3509" spans="20:22" x14ac:dyDescent="0.25">
      <c r="T3509" s="7" t="str">
        <f ca="1"/>
        <v>D3</v>
      </c>
      <c r="U3509" s="7" t="str">
        <f ca="1"/>
        <v>0xD010</v>
      </c>
      <c r="V3509" s="7" t="str">
        <f ca="1"/>
        <v>ShootingMenuBank</v>
      </c>
    </row>
    <row r="3510" spans="20:22" x14ac:dyDescent="0.25">
      <c r="T3510" s="7" t="str">
        <f ca="1"/>
        <v>D3</v>
      </c>
      <c r="U3510" s="7" t="str">
        <f ca="1"/>
        <v>0xD011</v>
      </c>
      <c r="V3510" s="7" t="str">
        <f ca="1"/>
        <v>ShootingBankNameA</v>
      </c>
    </row>
    <row r="3511" spans="20:22" x14ac:dyDescent="0.25">
      <c r="T3511" s="7" t="str">
        <f ca="1"/>
        <v>D3</v>
      </c>
      <c r="U3511" s="7" t="str">
        <f ca="1"/>
        <v>0xD012</v>
      </c>
      <c r="V3511" s="7" t="str">
        <f ca="1"/>
        <v>ShootingBankNameB</v>
      </c>
    </row>
    <row r="3512" spans="20:22" x14ac:dyDescent="0.25">
      <c r="T3512" s="7" t="str">
        <f ca="1"/>
        <v>D3</v>
      </c>
      <c r="U3512" s="7" t="str">
        <f ca="1"/>
        <v>0xD013</v>
      </c>
      <c r="V3512" s="7" t="str">
        <f ca="1"/>
        <v>ShootingBankNameC</v>
      </c>
    </row>
    <row r="3513" spans="20:22" x14ac:dyDescent="0.25">
      <c r="T3513" s="7" t="str">
        <f ca="1"/>
        <v>D3</v>
      </c>
      <c r="U3513" s="7" t="str">
        <f ca="1"/>
        <v>0xD014</v>
      </c>
      <c r="V3513" s="7" t="str">
        <f ca="1"/>
        <v>ShootingBankNameD</v>
      </c>
    </row>
    <row r="3514" spans="20:22" x14ac:dyDescent="0.25">
      <c r="T3514" s="7" t="str">
        <f ca="1"/>
        <v>D3</v>
      </c>
      <c r="U3514" s="7" t="str">
        <f ca="1"/>
        <v>0xD015</v>
      </c>
      <c r="V3514" s="7" t="str">
        <f ca="1"/>
        <v>ResetShootingMenu</v>
      </c>
    </row>
    <row r="3515" spans="20:22" x14ac:dyDescent="0.25">
      <c r="T3515" s="7" t="str">
        <f ca="1"/>
        <v>D3</v>
      </c>
      <c r="U3515" s="7" t="str">
        <f ca="1"/>
        <v>0xD016</v>
      </c>
      <c r="V3515" s="7" t="str">
        <f ca="1"/>
        <v>RawCompressionType</v>
      </c>
    </row>
    <row r="3516" spans="20:22" x14ac:dyDescent="0.25">
      <c r="T3516" s="7" t="str">
        <f ca="1"/>
        <v>D3</v>
      </c>
      <c r="U3516" s="7" t="str">
        <f ca="1"/>
        <v>0xD017</v>
      </c>
      <c r="V3516" s="7" t="str">
        <f ca="1"/>
        <v>WbTuneAuto</v>
      </c>
    </row>
    <row r="3517" spans="20:22" x14ac:dyDescent="0.25">
      <c r="T3517" s="7" t="str">
        <f ca="1"/>
        <v>D3</v>
      </c>
      <c r="U3517" s="7" t="str">
        <f ca="1"/>
        <v>0xD018</v>
      </c>
      <c r="V3517" s="7" t="str">
        <f ca="1"/>
        <v>WbTuneIncandescent</v>
      </c>
    </row>
    <row r="3518" spans="20:22" x14ac:dyDescent="0.25">
      <c r="T3518" s="7" t="str">
        <f ca="1"/>
        <v>D3</v>
      </c>
      <c r="U3518" s="7" t="str">
        <f ca="1"/>
        <v>0xD019</v>
      </c>
      <c r="V3518" s="7" t="str">
        <f ca="1"/>
        <v>WbTuneFluorescent</v>
      </c>
    </row>
    <row r="3519" spans="20:22" x14ac:dyDescent="0.25">
      <c r="T3519" s="7" t="str">
        <f ca="1"/>
        <v>D3</v>
      </c>
      <c r="U3519" s="7" t="str">
        <f ca="1"/>
        <v>0xD01A</v>
      </c>
      <c r="V3519" s="7" t="str">
        <f ca="1"/>
        <v>WbTuneSunny</v>
      </c>
    </row>
    <row r="3520" spans="20:22" x14ac:dyDescent="0.25">
      <c r="T3520" s="7" t="str">
        <f ca="1"/>
        <v>D3</v>
      </c>
      <c r="U3520" s="7" t="str">
        <f ca="1"/>
        <v>0xD01B</v>
      </c>
      <c r="V3520" s="7" t="str">
        <f ca="1"/>
        <v>WbTuneFlash</v>
      </c>
    </row>
    <row r="3521" spans="20:22" x14ac:dyDescent="0.25">
      <c r="T3521" s="7" t="str">
        <f ca="1"/>
        <v>D3</v>
      </c>
      <c r="U3521" s="7" t="str">
        <f ca="1"/>
        <v>0xD01C</v>
      </c>
      <c r="V3521" s="7" t="str">
        <f ca="1"/>
        <v>WbTuneCloudy</v>
      </c>
    </row>
    <row r="3522" spans="20:22" x14ac:dyDescent="0.25">
      <c r="T3522" s="7" t="str">
        <f ca="1"/>
        <v>D3</v>
      </c>
      <c r="U3522" s="7" t="str">
        <f ca="1"/>
        <v>0xD01D</v>
      </c>
      <c r="V3522" s="7" t="str">
        <f ca="1"/>
        <v>WbTuneShade</v>
      </c>
    </row>
    <row r="3523" spans="20:22" x14ac:dyDescent="0.25">
      <c r="T3523" s="7" t="str">
        <f ca="1"/>
        <v>D3</v>
      </c>
      <c r="U3523" s="7" t="str">
        <f ca="1"/>
        <v>0xD01E</v>
      </c>
      <c r="V3523" s="7" t="str">
        <f ca="1"/>
        <v>WbColorTemp</v>
      </c>
    </row>
    <row r="3524" spans="20:22" x14ac:dyDescent="0.25">
      <c r="T3524" s="7" t="str">
        <f ca="1"/>
        <v>D3</v>
      </c>
      <c r="U3524" s="7" t="str">
        <f ca="1"/>
        <v>0xD01F</v>
      </c>
      <c r="V3524" s="7" t="str">
        <f ca="1"/>
        <v>WbPresetDataNo</v>
      </c>
    </row>
    <row r="3525" spans="20:22" x14ac:dyDescent="0.25">
      <c r="T3525" s="7" t="str">
        <f ca="1"/>
        <v>D3</v>
      </c>
      <c r="U3525" s="7" t="str">
        <f ca="1"/>
        <v>0xD020</v>
      </c>
      <c r="V3525" s="7" t="str">
        <f ca="1"/>
        <v>WbPresetDataComment0</v>
      </c>
    </row>
    <row r="3526" spans="20:22" x14ac:dyDescent="0.25">
      <c r="T3526" s="7" t="str">
        <f ca="1"/>
        <v>D3</v>
      </c>
      <c r="U3526" s="7" t="str">
        <f ca="1"/>
        <v>0xD021</v>
      </c>
      <c r="V3526" s="7" t="str">
        <f ca="1"/>
        <v>WbPresetDataComment1</v>
      </c>
    </row>
    <row r="3527" spans="20:22" x14ac:dyDescent="0.25">
      <c r="T3527" s="7" t="str">
        <f ca="1"/>
        <v>D3</v>
      </c>
      <c r="U3527" s="7" t="str">
        <f ca="1"/>
        <v>0xD022</v>
      </c>
      <c r="V3527" s="7" t="str">
        <f ca="1"/>
        <v>WbPresetDataComment2</v>
      </c>
    </row>
    <row r="3528" spans="20:22" x14ac:dyDescent="0.25">
      <c r="T3528" s="7" t="str">
        <f ca="1"/>
        <v>D3</v>
      </c>
      <c r="U3528" s="7" t="str">
        <f ca="1"/>
        <v>0xD023</v>
      </c>
      <c r="V3528" s="7" t="str">
        <f ca="1"/>
        <v>WbPresetDataComment3</v>
      </c>
    </row>
    <row r="3529" spans="20:22" x14ac:dyDescent="0.25">
      <c r="T3529" s="7" t="str">
        <f ca="1"/>
        <v>D3</v>
      </c>
      <c r="U3529" s="7" t="str">
        <f ca="1"/>
        <v>0xD024</v>
      </c>
      <c r="V3529" s="7" t="str">
        <f ca="1"/>
        <v>WbPresetDataComment4</v>
      </c>
    </row>
    <row r="3530" spans="20:22" x14ac:dyDescent="0.25">
      <c r="T3530" s="7" t="str">
        <f ca="1"/>
        <v>D3</v>
      </c>
      <c r="U3530" s="7" t="str">
        <f ca="1"/>
        <v>0xD025</v>
      </c>
      <c r="V3530" s="7" t="str">
        <f ca="1"/>
        <v>WbPresetDataValue0</v>
      </c>
    </row>
    <row r="3531" spans="20:22" x14ac:dyDescent="0.25">
      <c r="T3531" s="7" t="str">
        <f ca="1"/>
        <v>D3</v>
      </c>
      <c r="U3531" s="7" t="str">
        <f ca="1"/>
        <v>0xD026</v>
      </c>
      <c r="V3531" s="7" t="str">
        <f ca="1"/>
        <v>WbPresetDataValue1</v>
      </c>
    </row>
    <row r="3532" spans="20:22" x14ac:dyDescent="0.25">
      <c r="T3532" s="7" t="str">
        <f ca="1"/>
        <v>D3</v>
      </c>
      <c r="U3532" s="7" t="str">
        <f ca="1"/>
        <v>0xD027</v>
      </c>
      <c r="V3532" s="7" t="str">
        <f ca="1"/>
        <v>WbPresetDataValue2</v>
      </c>
    </row>
    <row r="3533" spans="20:22" x14ac:dyDescent="0.25">
      <c r="T3533" s="7" t="str">
        <f ca="1"/>
        <v>D3</v>
      </c>
      <c r="U3533" s="7" t="str">
        <f ca="1"/>
        <v>0xD028</v>
      </c>
      <c r="V3533" s="7" t="str">
        <f ca="1"/>
        <v>WbPresetDataValue3</v>
      </c>
    </row>
    <row r="3534" spans="20:22" x14ac:dyDescent="0.25">
      <c r="T3534" s="7" t="str">
        <f ca="1"/>
        <v>D3</v>
      </c>
      <c r="U3534" s="7" t="str">
        <f ca="1"/>
        <v>0xD029</v>
      </c>
      <c r="V3534" s="7" t="str">
        <f ca="1"/>
        <v>WbPresetDataValue4</v>
      </c>
    </row>
    <row r="3535" spans="20:22" x14ac:dyDescent="0.25">
      <c r="T3535" s="7" t="str">
        <f ca="1"/>
        <v>D3</v>
      </c>
      <c r="U3535" s="7" t="str">
        <f ca="1"/>
        <v>0xD02E</v>
      </c>
      <c r="V3535" s="7" t="str">
        <f ca="1"/>
        <v>FmmManualSetting</v>
      </c>
    </row>
    <row r="3536" spans="20:22" x14ac:dyDescent="0.25">
      <c r="T3536" s="7" t="str">
        <f ca="1"/>
        <v>D3</v>
      </c>
      <c r="U3536" s="7" t="str">
        <f ca="1"/>
        <v>0xD02F</v>
      </c>
      <c r="V3536" s="7" t="str">
        <f ca="1"/>
        <v>F0ManualSetting</v>
      </c>
    </row>
    <row r="3537" spans="20:22" x14ac:dyDescent="0.25">
      <c r="T3537" s="7" t="str">
        <f ca="1"/>
        <v>D3</v>
      </c>
      <c r="U3537" s="7" t="str">
        <f ca="1"/>
        <v>0xD030</v>
      </c>
      <c r="V3537" s="7" t="str">
        <f ca="1"/>
        <v>ShootingMode</v>
      </c>
    </row>
    <row r="3538" spans="20:22" x14ac:dyDescent="0.25">
      <c r="T3538" s="7" t="str">
        <f ca="1"/>
        <v>D3</v>
      </c>
      <c r="U3538" s="7" t="str">
        <f ca="1"/>
        <v>0xD031</v>
      </c>
      <c r="V3538" s="7" t="str">
        <f ca="1"/>
        <v>JpegCompressionPolicy</v>
      </c>
    </row>
    <row r="3539" spans="20:22" x14ac:dyDescent="0.25">
      <c r="T3539" s="7" t="str">
        <f ca="1"/>
        <v>D3</v>
      </c>
      <c r="U3539" s="7" t="str">
        <f ca="1"/>
        <v>0xD032</v>
      </c>
      <c r="V3539" s="7" t="str">
        <f ca="1"/>
        <v>ColorSpace</v>
      </c>
    </row>
    <row r="3540" spans="20:22" x14ac:dyDescent="0.25">
      <c r="T3540" s="7" t="str">
        <f ca="1"/>
        <v>D3</v>
      </c>
      <c r="U3540" s="7" t="str">
        <f ca="1"/>
        <v>0xD033</v>
      </c>
      <c r="V3540" s="7" t="str">
        <f ca="1"/>
        <v>AutoDxCrop</v>
      </c>
    </row>
    <row r="3541" spans="20:22" x14ac:dyDescent="0.25">
      <c r="T3541" s="7" t="str">
        <f ca="1"/>
        <v>D3</v>
      </c>
      <c r="U3541" s="7" t="str">
        <f ca="1"/>
        <v>0xD040</v>
      </c>
      <c r="V3541" s="7" t="str">
        <f ca="1"/>
        <v>CustomSettingBank</v>
      </c>
    </row>
    <row r="3542" spans="20:22" x14ac:dyDescent="0.25">
      <c r="T3542" s="7" t="str">
        <f ca="1"/>
        <v>D3</v>
      </c>
      <c r="U3542" s="7" t="str">
        <f ca="1"/>
        <v>0xD041</v>
      </c>
      <c r="V3542" s="7" t="str">
        <f ca="1"/>
        <v>CustomBankNameA</v>
      </c>
    </row>
    <row r="3543" spans="20:22" x14ac:dyDescent="0.25">
      <c r="T3543" s="7" t="str">
        <f ca="1"/>
        <v>D3</v>
      </c>
      <c r="U3543" s="7" t="str">
        <f ca="1"/>
        <v>0xD042</v>
      </c>
      <c r="V3543" s="7" t="str">
        <f ca="1"/>
        <v>CustomBankNameB</v>
      </c>
    </row>
    <row r="3544" spans="20:22" x14ac:dyDescent="0.25">
      <c r="T3544" s="7" t="str">
        <f ca="1"/>
        <v>D3</v>
      </c>
      <c r="U3544" s="7" t="str">
        <f ca="1"/>
        <v>0xD043</v>
      </c>
      <c r="V3544" s="7" t="str">
        <f ca="1"/>
        <v>CustomBankNameC</v>
      </c>
    </row>
    <row r="3545" spans="20:22" x14ac:dyDescent="0.25">
      <c r="T3545" s="7" t="str">
        <f ca="1"/>
        <v>D3</v>
      </c>
      <c r="U3545" s="7" t="str">
        <f ca="1"/>
        <v>0xD044</v>
      </c>
      <c r="V3545" s="7" t="str">
        <f ca="1"/>
        <v>CustomBankNameD</v>
      </c>
    </row>
    <row r="3546" spans="20:22" x14ac:dyDescent="0.25">
      <c r="T3546" s="7" t="str">
        <f ca="1"/>
        <v>D3</v>
      </c>
      <c r="U3546" s="7" t="str">
        <f ca="1"/>
        <v>0xD045</v>
      </c>
      <c r="V3546" s="7" t="str">
        <f ca="1"/>
        <v>ResetCustomSetting</v>
      </c>
    </row>
    <row r="3547" spans="20:22" x14ac:dyDescent="0.25">
      <c r="T3547" s="7" t="str">
        <f ca="1"/>
        <v>D3</v>
      </c>
      <c r="U3547" s="7" t="str">
        <f ca="1"/>
        <v>0xD048</v>
      </c>
      <c r="V3547" s="7" t="str">
        <f ca="1"/>
        <v>DynamicAFonAFC</v>
      </c>
    </row>
    <row r="3548" spans="20:22" x14ac:dyDescent="0.25">
      <c r="T3548" s="7" t="str">
        <f ca="1"/>
        <v>D3</v>
      </c>
      <c r="U3548" s="7" t="str">
        <f ca="1"/>
        <v>0xD049</v>
      </c>
      <c r="V3548" s="7" t="str">
        <f ca="1"/>
        <v>DynamicAFonAFS</v>
      </c>
    </row>
    <row r="3549" spans="20:22" x14ac:dyDescent="0.25">
      <c r="T3549" s="7" t="str">
        <f ca="1"/>
        <v>D3</v>
      </c>
      <c r="U3549" s="7" t="str">
        <f ca="1"/>
        <v>0xD04B</v>
      </c>
      <c r="V3549" s="7" t="str">
        <f ca="1"/>
        <v>AFDriveByRelease</v>
      </c>
    </row>
    <row r="3550" spans="20:22" x14ac:dyDescent="0.25">
      <c r="T3550" s="7" t="str">
        <f ca="1"/>
        <v>D3</v>
      </c>
      <c r="U3550" s="7" t="str">
        <f ca="1"/>
        <v>0xD04C</v>
      </c>
      <c r="V3550" s="7" t="str">
        <f ca="1"/>
        <v>FocusFrameMFSetting</v>
      </c>
    </row>
    <row r="3551" spans="20:22" x14ac:dyDescent="0.25">
      <c r="T3551" s="7" t="str">
        <f ca="1"/>
        <v>D3</v>
      </c>
      <c r="U3551" s="7" t="str">
        <f ca="1"/>
        <v>0xD04D</v>
      </c>
      <c r="V3551" s="7" t="str">
        <f ca="1"/>
        <v>FocusFrameCSetting</v>
      </c>
    </row>
    <row r="3552" spans="20:22" x14ac:dyDescent="0.25">
      <c r="T3552" s="7" t="str">
        <f ca="1"/>
        <v>D3</v>
      </c>
      <c r="U3552" s="7" t="str">
        <f ca="1"/>
        <v>0xD04F</v>
      </c>
      <c r="V3552" s="7" t="str">
        <f ca="1"/>
        <v>FocusAreaSelect</v>
      </c>
    </row>
    <row r="3553" spans="20:22" x14ac:dyDescent="0.25">
      <c r="T3553" s="7" t="str">
        <f ca="1"/>
        <v>D3</v>
      </c>
      <c r="U3553" s="7" t="str">
        <f ca="1"/>
        <v>0xD050</v>
      </c>
      <c r="V3553" s="7" t="str">
        <f ca="1"/>
        <v>VerticalAF</v>
      </c>
    </row>
    <row r="3554" spans="20:22" x14ac:dyDescent="0.25">
      <c r="T3554" s="7" t="str">
        <f ca="1"/>
        <v>D3</v>
      </c>
      <c r="U3554" s="7" t="str">
        <f ca="1"/>
        <v>0xD051</v>
      </c>
      <c r="V3554" s="7" t="str">
        <f ca="1"/>
        <v>AFStillLockOn</v>
      </c>
    </row>
    <row r="3555" spans="20:22" x14ac:dyDescent="0.25">
      <c r="T3555" s="7" t="str">
        <f ca="1"/>
        <v>D3</v>
      </c>
      <c r="U3555" s="7" t="str">
        <f ca="1"/>
        <v>0xD054</v>
      </c>
      <c r="V3555" s="7" t="str">
        <f ca="1"/>
        <v>ISOAutoControl</v>
      </c>
    </row>
    <row r="3556" spans="20:22" x14ac:dyDescent="0.25">
      <c r="T3556" s="7" t="str">
        <f ca="1"/>
        <v>D3</v>
      </c>
      <c r="U3556" s="7" t="str">
        <f ca="1"/>
        <v>0xD055</v>
      </c>
      <c r="V3556" s="7" t="str">
        <f ca="1"/>
        <v>IsoStep</v>
      </c>
    </row>
    <row r="3557" spans="20:22" x14ac:dyDescent="0.25">
      <c r="T3557" s="7" t="str">
        <f ca="1"/>
        <v>D3</v>
      </c>
      <c r="U3557" s="7" t="str">
        <f ca="1"/>
        <v>0xD056</v>
      </c>
      <c r="V3557" s="7" t="str">
        <f ca="1"/>
        <v>ExposureEVStep</v>
      </c>
    </row>
    <row r="3558" spans="20:22" x14ac:dyDescent="0.25">
      <c r="T3558" s="7" t="str">
        <f ca="1"/>
        <v>D3</v>
      </c>
      <c r="U3558" s="7" t="str">
        <f ca="1"/>
        <v>0xD057</v>
      </c>
      <c r="V3558" s="7" t="str">
        <f ca="1"/>
        <v>ExposureCompEVStep</v>
      </c>
    </row>
    <row r="3559" spans="20:22" x14ac:dyDescent="0.25">
      <c r="T3559" s="7" t="str">
        <f ca="1"/>
        <v>D3</v>
      </c>
      <c r="U3559" s="7" t="str">
        <f ca="1"/>
        <v>0xD058</v>
      </c>
      <c r="V3559" s="7" t="str">
        <f ca="1"/>
        <v>ExposureCompSetting</v>
      </c>
    </row>
    <row r="3560" spans="20:22" x14ac:dyDescent="0.25">
      <c r="T3560" s="7" t="str">
        <f ca="1"/>
        <v>D3</v>
      </c>
      <c r="U3560" s="7" t="str">
        <f ca="1"/>
        <v>0xD059</v>
      </c>
      <c r="V3560" s="7" t="str">
        <f ca="1"/>
        <v>CenterWeightedExRange</v>
      </c>
    </row>
    <row r="3561" spans="20:22" x14ac:dyDescent="0.25">
      <c r="T3561" s="7" t="str">
        <f ca="1"/>
        <v>D3</v>
      </c>
      <c r="U3561" s="7" t="str">
        <f ca="1"/>
        <v>0xD05A</v>
      </c>
      <c r="V3561" s="7" t="str">
        <f ca="1"/>
        <v>ExposureBaseCompMatrix</v>
      </c>
    </row>
    <row r="3562" spans="20:22" x14ac:dyDescent="0.25">
      <c r="T3562" s="7" t="str">
        <f ca="1"/>
        <v>D3</v>
      </c>
      <c r="U3562" s="7" t="str">
        <f ca="1"/>
        <v>0xD05B</v>
      </c>
      <c r="V3562" s="7" t="str">
        <f ca="1"/>
        <v>ExposureBaseCompCenter</v>
      </c>
    </row>
    <row r="3563" spans="20:22" x14ac:dyDescent="0.25">
      <c r="T3563" s="7" t="str">
        <f ca="1"/>
        <v>D3</v>
      </c>
      <c r="U3563" s="7" t="str">
        <f ca="1"/>
        <v>0xD05C</v>
      </c>
      <c r="V3563" s="7" t="str">
        <f ca="1"/>
        <v>ExposureBaseCompSpot</v>
      </c>
    </row>
    <row r="3564" spans="20:22" x14ac:dyDescent="0.25">
      <c r="T3564" s="7" t="str">
        <f ca="1"/>
        <v>D3</v>
      </c>
      <c r="U3564" s="7" t="str">
        <f ca="1"/>
        <v>0xD05E</v>
      </c>
      <c r="V3564" s="7" t="str">
        <f ca="1"/>
        <v>AELockRelease</v>
      </c>
    </row>
    <row r="3565" spans="20:22" x14ac:dyDescent="0.25">
      <c r="T3565" s="7" t="str">
        <f ca="1"/>
        <v>D3</v>
      </c>
      <c r="U3565" s="7" t="str">
        <f ca="1"/>
        <v>0xD05F</v>
      </c>
      <c r="V3565" s="7" t="str">
        <f ca="1"/>
        <v>AEAFLockSetting</v>
      </c>
    </row>
    <row r="3566" spans="20:22" x14ac:dyDescent="0.25">
      <c r="T3566" s="7" t="str">
        <f ca="1"/>
        <v>D3</v>
      </c>
      <c r="U3566" s="7" t="str">
        <f ca="1"/>
        <v>0xD062</v>
      </c>
      <c r="V3566" s="7" t="str">
        <f ca="1"/>
        <v>AutoMeterOffDelay</v>
      </c>
    </row>
    <row r="3567" spans="20:22" x14ac:dyDescent="0.25">
      <c r="T3567" s="7" t="str">
        <f ca="1"/>
        <v>D3</v>
      </c>
      <c r="U3567" s="7" t="str">
        <f ca="1"/>
        <v>0xD063</v>
      </c>
      <c r="V3567" s="7" t="str">
        <f ca="1"/>
        <v>SelfTimerDelay</v>
      </c>
    </row>
    <row r="3568" spans="20:22" x14ac:dyDescent="0.25">
      <c r="T3568" s="7" t="str">
        <f ca="1"/>
        <v>D3</v>
      </c>
      <c r="U3568" s="7" t="str">
        <f ca="1"/>
        <v>0xD064</v>
      </c>
      <c r="V3568" s="7" t="str">
        <f ca="1"/>
        <v>LCDPowerOff</v>
      </c>
    </row>
    <row r="3569" spans="20:22" x14ac:dyDescent="0.25">
      <c r="T3569" s="7" t="str">
        <f ca="1"/>
        <v>D3</v>
      </c>
      <c r="U3569" s="7" t="str">
        <f ca="1"/>
        <v>0xD068</v>
      </c>
      <c r="V3569" s="7" t="str">
        <f ca="1"/>
        <v>CspeedLow</v>
      </c>
    </row>
    <row r="3570" spans="20:22" x14ac:dyDescent="0.25">
      <c r="T3570" s="7" t="str">
        <f ca="1"/>
        <v>D3</v>
      </c>
      <c r="U3570" s="7" t="str">
        <f ca="1"/>
        <v>0xD069</v>
      </c>
      <c r="V3570" s="7" t="str">
        <f ca="1"/>
        <v>BurstMaxNumber</v>
      </c>
    </row>
    <row r="3571" spans="20:22" x14ac:dyDescent="0.25">
      <c r="T3571" s="7" t="str">
        <f ca="1"/>
        <v>D3</v>
      </c>
      <c r="U3571" s="7" t="str">
        <f ca="1"/>
        <v>0xD06A</v>
      </c>
      <c r="V3571" s="7" t="str">
        <f ca="1"/>
        <v>ExposureDelay</v>
      </c>
    </row>
    <row r="3572" spans="20:22" x14ac:dyDescent="0.25">
      <c r="T3572" s="7" t="str">
        <f ca="1"/>
        <v>D3</v>
      </c>
      <c r="U3572" s="7" t="str">
        <f ca="1"/>
        <v>0xD06B</v>
      </c>
      <c r="V3572" s="7" t="str">
        <f ca="1"/>
        <v>NoiseReduction</v>
      </c>
    </row>
    <row r="3573" spans="20:22" x14ac:dyDescent="0.25">
      <c r="T3573" s="7" t="str">
        <f ca="1"/>
        <v>D3</v>
      </c>
      <c r="U3573" s="7" t="str">
        <f ca="1"/>
        <v>0xD06C</v>
      </c>
      <c r="V3573" s="7" t="str">
        <f ca="1"/>
        <v>NumberingMode</v>
      </c>
    </row>
    <row r="3574" spans="20:22" x14ac:dyDescent="0.25">
      <c r="T3574" s="7" t="str">
        <f ca="1"/>
        <v>D3</v>
      </c>
      <c r="U3574" s="7" t="str">
        <f ca="1"/>
        <v>0xD06D</v>
      </c>
      <c r="V3574" s="7" t="str">
        <f ca="1"/>
        <v>TFTDisplaySetting</v>
      </c>
    </row>
    <row r="3575" spans="20:22" x14ac:dyDescent="0.25">
      <c r="T3575" s="7" t="str">
        <f ca="1"/>
        <v>D3</v>
      </c>
      <c r="U3575" s="7" t="str">
        <f ca="1"/>
        <v>0xD06E</v>
      </c>
      <c r="V3575" s="7" t="str">
        <f ca="1"/>
        <v>FinderDisplaySetting</v>
      </c>
    </row>
    <row r="3576" spans="20:22" x14ac:dyDescent="0.25">
      <c r="T3576" s="7" t="str">
        <f ca="1"/>
        <v>D3</v>
      </c>
      <c r="U3576" s="7" t="str">
        <f ca="1"/>
        <v>0xD06F</v>
      </c>
      <c r="V3576" s="7" t="str">
        <f ca="1"/>
        <v>LCDIllumination</v>
      </c>
    </row>
    <row r="3577" spans="20:22" x14ac:dyDescent="0.25">
      <c r="T3577" s="7" t="str">
        <f ca="1"/>
        <v>D3</v>
      </c>
      <c r="U3577" s="7" t="str">
        <f ca="1"/>
        <v>0xD070</v>
      </c>
      <c r="V3577" s="7" t="str">
        <f ca="1"/>
        <v>NoiseReductionHiIso</v>
      </c>
    </row>
    <row r="3578" spans="20:22" x14ac:dyDescent="0.25">
      <c r="T3578" s="7" t="str">
        <f ca="1"/>
        <v>D3</v>
      </c>
      <c r="U3578" s="7" t="str">
        <f ca="1"/>
        <v>0xD074</v>
      </c>
      <c r="V3578" s="7" t="str">
        <f ca="1"/>
        <v>FlashSyncSpeed</v>
      </c>
    </row>
    <row r="3579" spans="20:22" x14ac:dyDescent="0.25">
      <c r="T3579" s="7" t="str">
        <f ca="1"/>
        <v>D3</v>
      </c>
      <c r="U3579" s="7" t="str">
        <f ca="1"/>
        <v>0xD075</v>
      </c>
      <c r="V3579" s="7" t="str">
        <f ca="1"/>
        <v>FlashSlowSpeedLimit</v>
      </c>
    </row>
    <row r="3580" spans="20:22" x14ac:dyDescent="0.25">
      <c r="T3580" s="7" t="str">
        <f ca="1"/>
        <v>D3</v>
      </c>
      <c r="U3580" s="7" t="str">
        <f ca="1"/>
        <v>0xD077</v>
      </c>
      <c r="V3580" s="7" t="str">
        <f ca="1"/>
        <v>ModelingOnPreviewButton</v>
      </c>
    </row>
    <row r="3581" spans="20:22" x14ac:dyDescent="0.25">
      <c r="T3581" s="7" t="str">
        <f ca="1"/>
        <v>D3</v>
      </c>
      <c r="U3581" s="7" t="str">
        <f ca="1"/>
        <v>0xD078</v>
      </c>
      <c r="V3581" s="7" t="str">
        <f ca="1"/>
        <v>BracketingType</v>
      </c>
    </row>
    <row r="3582" spans="20:22" x14ac:dyDescent="0.25">
      <c r="T3582" s="7" t="str">
        <f ca="1"/>
        <v>D3</v>
      </c>
      <c r="U3582" s="7" t="str">
        <f ca="1"/>
        <v>0xD079</v>
      </c>
      <c r="V3582" s="7" t="str">
        <f ca="1"/>
        <v>SelectBracketChangeFactor</v>
      </c>
    </row>
    <row r="3583" spans="20:22" x14ac:dyDescent="0.25">
      <c r="T3583" s="7" t="str">
        <f ca="1"/>
        <v>D3</v>
      </c>
      <c r="U3583" s="7" t="str">
        <f ca="1"/>
        <v>0xD07A</v>
      </c>
      <c r="V3583" s="7" t="str">
        <f ca="1"/>
        <v>BracketingOrder</v>
      </c>
    </row>
    <row r="3584" spans="20:22" x14ac:dyDescent="0.25">
      <c r="T3584" s="7" t="str">
        <f ca="1"/>
        <v>D3</v>
      </c>
      <c r="U3584" s="7" t="str">
        <f ca="1"/>
        <v>0xD080</v>
      </c>
      <c r="V3584" s="7" t="str">
        <f ca="1"/>
        <v>CenterButtonOnShootingMode</v>
      </c>
    </row>
    <row r="3585" spans="20:22" x14ac:dyDescent="0.25">
      <c r="T3585" s="7" t="str">
        <f ca="1"/>
        <v>D3</v>
      </c>
      <c r="U3585" s="7" t="str">
        <f ca="1"/>
        <v>0xD081</v>
      </c>
      <c r="V3585" s="7" t="str">
        <f ca="1"/>
        <v>CenterButtonOnPlaybackMode</v>
      </c>
    </row>
    <row r="3586" spans="20:22" x14ac:dyDescent="0.25">
      <c r="T3586" s="7" t="str">
        <f ca="1"/>
        <v>D3</v>
      </c>
      <c r="U3586" s="7" t="str">
        <f ca="1"/>
        <v>0xD082</v>
      </c>
      <c r="V3586" s="7" t="str">
        <f ca="1"/>
        <v>MultiSelectorSetting</v>
      </c>
    </row>
    <row r="3587" spans="20:22" x14ac:dyDescent="0.25">
      <c r="T3587" s="7" t="str">
        <f ca="1"/>
        <v>D3</v>
      </c>
      <c r="U3587" s="7" t="str">
        <f ca="1"/>
        <v>0xD083</v>
      </c>
      <c r="V3587" s="7" t="str">
        <f ca="1"/>
        <v>MultiSelectorDirection</v>
      </c>
    </row>
    <row r="3588" spans="20:22" x14ac:dyDescent="0.25">
      <c r="T3588" s="7" t="str">
        <f ca="1"/>
        <v>D3</v>
      </c>
      <c r="U3588" s="7" t="str">
        <f ca="1"/>
        <v>0xD084</v>
      </c>
      <c r="V3588" s="7" t="str">
        <f ca="1"/>
        <v>FunctionButton</v>
      </c>
    </row>
    <row r="3589" spans="20:22" x14ac:dyDescent="0.25">
      <c r="T3589" s="7" t="str">
        <f ca="1"/>
        <v>D3</v>
      </c>
      <c r="U3589" s="7" t="str">
        <f ca="1"/>
        <v>0xD085</v>
      </c>
      <c r="V3589" s="7" t="str">
        <f ca="1"/>
        <v>CommandDialRotation</v>
      </c>
    </row>
    <row r="3590" spans="20:22" x14ac:dyDescent="0.25">
      <c r="T3590" s="7" t="str">
        <f ca="1"/>
        <v>D3</v>
      </c>
      <c r="U3590" s="7" t="str">
        <f ca="1"/>
        <v>0xD086</v>
      </c>
      <c r="V3590" s="7" t="str">
        <f ca="1"/>
        <v>CommandDialChange</v>
      </c>
    </row>
    <row r="3591" spans="20:22" x14ac:dyDescent="0.25">
      <c r="T3591" s="7" t="str">
        <f ca="1"/>
        <v>D3</v>
      </c>
      <c r="U3591" s="7" t="str">
        <f ca="1"/>
        <v>0xD087</v>
      </c>
      <c r="V3591" s="7" t="str">
        <f ca="1"/>
        <v>CommandDialFSetting</v>
      </c>
    </row>
    <row r="3592" spans="20:22" x14ac:dyDescent="0.25">
      <c r="T3592" s="7" t="str">
        <f ca="1"/>
        <v>D3</v>
      </c>
      <c r="U3592" s="7" t="str">
        <f ca="1"/>
        <v>0xD088</v>
      </c>
      <c r="V3592" s="7" t="str">
        <f ca="1"/>
        <v>CommandDialActiveOnPlaybackMenu</v>
      </c>
    </row>
    <row r="3593" spans="20:22" x14ac:dyDescent="0.25">
      <c r="T3593" s="7" t="str">
        <f ca="1"/>
        <v>D3</v>
      </c>
      <c r="U3593" s="7" t="str">
        <f ca="1"/>
        <v>0xD089</v>
      </c>
      <c r="V3593" s="7" t="str">
        <f ca="1"/>
        <v>UniversalMode</v>
      </c>
    </row>
    <row r="3594" spans="20:22" x14ac:dyDescent="0.25">
      <c r="T3594" s="7" t="str">
        <f ca="1"/>
        <v>D3</v>
      </c>
      <c r="U3594" s="7" t="str">
        <f ca="1"/>
        <v>0xD08A</v>
      </c>
      <c r="V3594" s="7" t="str">
        <f ca="1"/>
        <v>EnableShutter</v>
      </c>
    </row>
    <row r="3595" spans="20:22" x14ac:dyDescent="0.25">
      <c r="T3595" s="7" t="str">
        <f ca="1"/>
        <v>D3</v>
      </c>
      <c r="U3595" s="7" t="str">
        <f ca="1"/>
        <v>0xD08B</v>
      </c>
      <c r="V3595" s="7" t="str">
        <f ca="1"/>
        <v>AfZoomRatio</v>
      </c>
    </row>
    <row r="3596" spans="20:22" x14ac:dyDescent="0.25">
      <c r="T3596" s="7" t="str">
        <f ca="1"/>
        <v>D3</v>
      </c>
      <c r="U3596" s="7" t="str">
        <f ca="1"/>
        <v>0xD08C</v>
      </c>
      <c r="V3596" s="7" t="str">
        <f ca="1"/>
        <v>FunctionButton2</v>
      </c>
    </row>
    <row r="3597" spans="20:22" x14ac:dyDescent="0.25">
      <c r="T3597" s="7" t="str">
        <f ca="1"/>
        <v>D3</v>
      </c>
      <c r="U3597" s="7" t="str">
        <f ca="1"/>
        <v>0xD08D</v>
      </c>
      <c r="V3597" s="7" t="str">
        <f ca="1"/>
        <v>EnableAFAreaPoint</v>
      </c>
    </row>
    <row r="3598" spans="20:22" x14ac:dyDescent="0.25">
      <c r="T3598" s="7" t="str">
        <f ca="1"/>
        <v>D3</v>
      </c>
      <c r="U3598" s="7" t="str">
        <f ca="1"/>
        <v>0xD08E</v>
      </c>
      <c r="V3598" s="7" t="str">
        <f ca="1"/>
        <v>NomalAF</v>
      </c>
    </row>
    <row r="3599" spans="20:22" x14ac:dyDescent="0.25">
      <c r="T3599" s="7" t="str">
        <f ca="1"/>
        <v>D3</v>
      </c>
      <c r="U3599" s="7" t="str">
        <f ca="1"/>
        <v>0xD090</v>
      </c>
      <c r="V3599" s="7" t="str">
        <f ca="1"/>
        <v>CommentString</v>
      </c>
    </row>
    <row r="3600" spans="20:22" x14ac:dyDescent="0.25">
      <c r="T3600" s="7" t="str">
        <f ca="1"/>
        <v>D3</v>
      </c>
      <c r="U3600" s="7" t="str">
        <f ca="1"/>
        <v>0xD091</v>
      </c>
      <c r="V3600" s="7" t="str">
        <f ca="1"/>
        <v>EnableComment</v>
      </c>
    </row>
    <row r="3601" spans="20:22" x14ac:dyDescent="0.25">
      <c r="T3601" s="7" t="str">
        <f ca="1"/>
        <v>D3</v>
      </c>
      <c r="U3601" s="7" t="str">
        <f ca="1"/>
        <v>0xD092</v>
      </c>
      <c r="V3601" s="7" t="str">
        <f ca="1"/>
        <v>OrientationSensorMode</v>
      </c>
    </row>
    <row r="3602" spans="20:22" x14ac:dyDescent="0.25">
      <c r="T3602" s="7" t="str">
        <f ca="1"/>
        <v>D3</v>
      </c>
      <c r="U3602" s="7" t="str">
        <f ca="1"/>
        <v>0xD093</v>
      </c>
      <c r="V3602" s="7" t="str">
        <f ca="1"/>
        <v>ManualSettingLensNo</v>
      </c>
    </row>
    <row r="3603" spans="20:22" x14ac:dyDescent="0.25">
      <c r="T3603" s="7" t="str">
        <f ca="1"/>
        <v>D3</v>
      </c>
      <c r="U3603" s="7" t="str">
        <f ca="1"/>
        <v>0xD094</v>
      </c>
      <c r="V3603" s="7" t="str">
        <f ca="1"/>
        <v>AfTuneEnable</v>
      </c>
    </row>
    <row r="3604" spans="20:22" x14ac:dyDescent="0.25">
      <c r="T3604" s="7" t="str">
        <f ca="1"/>
        <v>D3</v>
      </c>
      <c r="U3604" s="7" t="str">
        <f ca="1"/>
        <v>0xD095</v>
      </c>
      <c r="V3604" s="7" t="str">
        <f ca="1"/>
        <v>AfTuneUnregistryLens</v>
      </c>
    </row>
    <row r="3605" spans="20:22" x14ac:dyDescent="0.25">
      <c r="T3605" s="7" t="str">
        <f ca="1"/>
        <v>D3</v>
      </c>
      <c r="U3605" s="7" t="str">
        <f ca="1"/>
        <v>0xD096</v>
      </c>
      <c r="V3605" s="7" t="str">
        <f ca="1"/>
        <v>AfTuneRegistryLens</v>
      </c>
    </row>
    <row r="3606" spans="20:22" x14ac:dyDescent="0.25">
      <c r="T3606" s="7" t="str">
        <f ca="1"/>
        <v>D3</v>
      </c>
      <c r="U3606" s="7" t="str">
        <f ca="1"/>
        <v>0xD097</v>
      </c>
      <c r="V3606" s="7" t="str">
        <f ca="1"/>
        <v>AfTuneLensNoIndex</v>
      </c>
    </row>
    <row r="3607" spans="20:22" x14ac:dyDescent="0.25">
      <c r="T3607" s="7" t="str">
        <f ca="1"/>
        <v>D3</v>
      </c>
      <c r="U3607" s="7" t="str">
        <f ca="1"/>
        <v>0xD098</v>
      </c>
      <c r="V3607" s="7" t="str">
        <f ca="1"/>
        <v>AfTuneLensNo</v>
      </c>
    </row>
    <row r="3608" spans="20:22" x14ac:dyDescent="0.25">
      <c r="T3608" s="7" t="str">
        <f ca="1"/>
        <v>D3</v>
      </c>
      <c r="U3608" s="7" t="str">
        <f ca="1"/>
        <v>0xD099</v>
      </c>
      <c r="V3608" s="7" t="str">
        <f ca="1"/>
        <v>AfTuneLensNoIndexNum</v>
      </c>
    </row>
    <row r="3609" spans="20:22" x14ac:dyDescent="0.25">
      <c r="T3609" s="7" t="str">
        <f ca="1"/>
        <v>D3</v>
      </c>
      <c r="U3609" s="7" t="str">
        <f ca="1"/>
        <v>0xD09A</v>
      </c>
      <c r="V3609" s="7" t="str">
        <f ca="1"/>
        <v>AfTuneLensNoIndexNow</v>
      </c>
    </row>
    <row r="3610" spans="20:22" x14ac:dyDescent="0.25">
      <c r="T3610" s="7" t="str">
        <f ca="1"/>
        <v>D3</v>
      </c>
      <c r="U3610" s="7" t="str">
        <f ca="1"/>
        <v>0xD09B</v>
      </c>
      <c r="V3610" s="7" t="str">
        <f ca="1"/>
        <v>AfTuneLensNoDelete</v>
      </c>
    </row>
    <row r="3611" spans="20:22" x14ac:dyDescent="0.25">
      <c r="T3611" s="7" t="str">
        <f ca="1"/>
        <v>D3</v>
      </c>
      <c r="U3611" s="7" t="str">
        <f ca="1"/>
        <v>0xD0C0</v>
      </c>
      <c r="V3611" s="7" t="str">
        <f ca="1"/>
        <v>EnableBracketing</v>
      </c>
    </row>
    <row r="3612" spans="20:22" x14ac:dyDescent="0.25">
      <c r="T3612" s="7" t="str">
        <f ca="1"/>
        <v>D3</v>
      </c>
      <c r="U3612" s="7" t="str">
        <f ca="1"/>
        <v>0xD0C1</v>
      </c>
      <c r="V3612" s="7" t="str">
        <f ca="1"/>
        <v>AEBracketingStep</v>
      </c>
    </row>
    <row r="3613" spans="20:22" x14ac:dyDescent="0.25">
      <c r="T3613" s="7" t="str">
        <f ca="1"/>
        <v>D3</v>
      </c>
      <c r="U3613" s="7" t="str">
        <f ca="1"/>
        <v>0xD0C2</v>
      </c>
      <c r="V3613" s="7" t="str">
        <f ca="1"/>
        <v>AEBracketingPattern</v>
      </c>
    </row>
    <row r="3614" spans="20:22" x14ac:dyDescent="0.25">
      <c r="T3614" s="7" t="str">
        <f ca="1"/>
        <v>D3</v>
      </c>
      <c r="U3614" s="7" t="str">
        <f ca="1"/>
        <v>0xD0C3</v>
      </c>
      <c r="V3614" s="7" t="str">
        <f ca="1"/>
        <v>AEBracketingCount</v>
      </c>
    </row>
    <row r="3615" spans="20:22" x14ac:dyDescent="0.25">
      <c r="T3615" s="7" t="str">
        <f ca="1"/>
        <v>D3</v>
      </c>
      <c r="U3615" s="7" t="str">
        <f ca="1"/>
        <v>0xD0C4</v>
      </c>
      <c r="V3615" s="7" t="str">
        <f ca="1"/>
        <v>WBBracketingStep</v>
      </c>
    </row>
    <row r="3616" spans="20:22" x14ac:dyDescent="0.25">
      <c r="T3616" s="7" t="str">
        <f ca="1"/>
        <v>D3</v>
      </c>
      <c r="U3616" s="7" t="str">
        <f ca="1"/>
        <v>0xD0C5</v>
      </c>
      <c r="V3616" s="7" t="str">
        <f ca="1"/>
        <v>WBBracketingPattern</v>
      </c>
    </row>
    <row r="3617" spans="20:22" x14ac:dyDescent="0.25">
      <c r="T3617" s="7" t="str">
        <f ca="1"/>
        <v>D3</v>
      </c>
      <c r="U3617" s="7" t="str">
        <f ca="1"/>
        <v>0xD0E0</v>
      </c>
      <c r="V3617" s="7" t="str">
        <f ca="1"/>
        <v>LensID</v>
      </c>
    </row>
    <row r="3618" spans="20:22" x14ac:dyDescent="0.25">
      <c r="T3618" s="7" t="str">
        <f ca="1"/>
        <v>D3</v>
      </c>
      <c r="U3618" s="7" t="str">
        <f ca="1"/>
        <v>0xD0E1</v>
      </c>
      <c r="V3618" s="7" t="str">
        <f ca="1"/>
        <v>LensSort</v>
      </c>
    </row>
    <row r="3619" spans="20:22" x14ac:dyDescent="0.25">
      <c r="T3619" s="7" t="str">
        <f ca="1"/>
        <v>D3</v>
      </c>
      <c r="U3619" s="7" t="str">
        <f ca="1"/>
        <v>0xD0E2</v>
      </c>
      <c r="V3619" s="7" t="str">
        <f ca="1"/>
        <v>LensType</v>
      </c>
    </row>
    <row r="3620" spans="20:22" x14ac:dyDescent="0.25">
      <c r="T3620" s="7" t="str">
        <f ca="1"/>
        <v>D3</v>
      </c>
      <c r="U3620" s="7" t="str">
        <f ca="1"/>
        <v>0xD0E3</v>
      </c>
      <c r="V3620" s="7" t="str">
        <f ca="1"/>
        <v>LensFocalMin</v>
      </c>
    </row>
    <row r="3621" spans="20:22" x14ac:dyDescent="0.25">
      <c r="T3621" s="7" t="str">
        <f ca="1"/>
        <v>D3</v>
      </c>
      <c r="U3621" s="7" t="str">
        <f ca="1"/>
        <v>0xD0E4</v>
      </c>
      <c r="V3621" s="7" t="str">
        <f ca="1"/>
        <v>LensFocalMax</v>
      </c>
    </row>
    <row r="3622" spans="20:22" x14ac:dyDescent="0.25">
      <c r="T3622" s="7" t="str">
        <f ca="1"/>
        <v>D3</v>
      </c>
      <c r="U3622" s="7" t="str">
        <f ca="1"/>
        <v>0xD0E5</v>
      </c>
      <c r="V3622" s="7" t="str">
        <f ca="1"/>
        <v>LensApatureMin</v>
      </c>
    </row>
    <row r="3623" spans="20:22" x14ac:dyDescent="0.25">
      <c r="T3623" s="7" t="str">
        <f ca="1"/>
        <v>D3</v>
      </c>
      <c r="U3623" s="7" t="str">
        <f ca="1"/>
        <v>0xD0E6</v>
      </c>
      <c r="V3623" s="7" t="str">
        <f ca="1"/>
        <v>LensApatureMax</v>
      </c>
    </row>
    <row r="3624" spans="20:22" x14ac:dyDescent="0.25">
      <c r="T3624" s="7" t="str">
        <f ca="1"/>
        <v>D3</v>
      </c>
      <c r="U3624" s="7" t="str">
        <f ca="1"/>
        <v>0xD100</v>
      </c>
      <c r="V3624" s="7" t="str">
        <f ca="1"/>
        <v>ShutterSpeed</v>
      </c>
    </row>
    <row r="3625" spans="20:22" x14ac:dyDescent="0.25">
      <c r="T3625" s="7" t="str">
        <f ca="1"/>
        <v>D3</v>
      </c>
      <c r="U3625" s="7" t="str">
        <f ca="1"/>
        <v>0xD101</v>
      </c>
      <c r="V3625" s="7" t="str">
        <f ca="1"/>
        <v>ExternalDC</v>
      </c>
    </row>
    <row r="3626" spans="20:22" x14ac:dyDescent="0.25">
      <c r="T3626" s="7" t="str">
        <f ca="1"/>
        <v>D3</v>
      </c>
      <c r="U3626" s="7" t="str">
        <f ca="1"/>
        <v>0xD102</v>
      </c>
      <c r="V3626" s="7" t="str">
        <f ca="1"/>
        <v>WarningStatus</v>
      </c>
    </row>
    <row r="3627" spans="20:22" x14ac:dyDescent="0.25">
      <c r="T3627" s="7" t="str">
        <f ca="1"/>
        <v>D3</v>
      </c>
      <c r="U3627" s="7" t="str">
        <f ca="1"/>
        <v>0xD103</v>
      </c>
      <c r="V3627" s="7" t="str">
        <f ca="1"/>
        <v>RemainingExposure</v>
      </c>
    </row>
    <row r="3628" spans="20:22" x14ac:dyDescent="0.25">
      <c r="T3628" s="7" t="str">
        <f ca="1"/>
        <v>D3</v>
      </c>
      <c r="U3628" s="7" t="str">
        <f ca="1"/>
        <v>0xD104</v>
      </c>
      <c r="V3628" s="7" t="str">
        <f ca="1"/>
        <v>AFLockStatus</v>
      </c>
    </row>
    <row r="3629" spans="20:22" x14ac:dyDescent="0.25">
      <c r="T3629" s="7" t="str">
        <f ca="1"/>
        <v>D3</v>
      </c>
      <c r="U3629" s="7" t="str">
        <f ca="1"/>
        <v>0xD105</v>
      </c>
      <c r="V3629" s="7" t="str">
        <f ca="1"/>
        <v>AELockStatus</v>
      </c>
    </row>
    <row r="3630" spans="20:22" x14ac:dyDescent="0.25">
      <c r="T3630" s="7" t="str">
        <f ca="1"/>
        <v>D3</v>
      </c>
      <c r="U3630" s="7" t="str">
        <f ca="1"/>
        <v>0xD106</v>
      </c>
      <c r="V3630" s="7" t="str">
        <f ca="1"/>
        <v>FVLockStatus</v>
      </c>
    </row>
    <row r="3631" spans="20:22" x14ac:dyDescent="0.25">
      <c r="T3631" s="7" t="str">
        <f ca="1"/>
        <v>D3</v>
      </c>
      <c r="U3631" s="7" t="str">
        <f ca="1"/>
        <v>0xD108</v>
      </c>
      <c r="V3631" s="7" t="str">
        <f ca="1"/>
        <v>FocusArea</v>
      </c>
    </row>
    <row r="3632" spans="20:22" x14ac:dyDescent="0.25">
      <c r="T3632" s="7" t="str">
        <f ca="1"/>
        <v>D3</v>
      </c>
      <c r="U3632" s="7" t="str">
        <f ca="1"/>
        <v>0xD109</v>
      </c>
      <c r="V3632" s="7" t="str">
        <f ca="1"/>
        <v>FlexibleProgram</v>
      </c>
    </row>
    <row r="3633" spans="20:22" x14ac:dyDescent="0.25">
      <c r="T3633" s="7" t="str">
        <f ca="1"/>
        <v>D3</v>
      </c>
      <c r="U3633" s="7" t="str">
        <f ca="1"/>
        <v>0xD10A</v>
      </c>
      <c r="V3633" s="7" t="str">
        <f ca="1"/>
        <v>ExposureStatus</v>
      </c>
    </row>
    <row r="3634" spans="20:22" x14ac:dyDescent="0.25">
      <c r="T3634" s="7" t="str">
        <f ca="1"/>
        <v>D3</v>
      </c>
      <c r="U3634" s="7" t="str">
        <f ca="1"/>
        <v>0xD10B</v>
      </c>
      <c r="V3634" s="7" t="str">
        <f ca="1"/>
        <v>RecordingMedia</v>
      </c>
    </row>
    <row r="3635" spans="20:22" x14ac:dyDescent="0.25">
      <c r="T3635" s="7" t="str">
        <f ca="1"/>
        <v>D3</v>
      </c>
      <c r="U3635" s="7" t="str">
        <f ca="1"/>
        <v>0xD10C</v>
      </c>
      <c r="V3635" s="7" t="str">
        <f ca="1"/>
        <v>USBSpeed</v>
      </c>
    </row>
    <row r="3636" spans="20:22" x14ac:dyDescent="0.25">
      <c r="T3636" s="7" t="str">
        <f ca="1"/>
        <v>D3</v>
      </c>
      <c r="U3636" s="7" t="str">
        <f ca="1"/>
        <v>0xD10D</v>
      </c>
      <c r="V3636" s="7" t="str">
        <f ca="1"/>
        <v>CCDNumber</v>
      </c>
    </row>
    <row r="3637" spans="20:22" x14ac:dyDescent="0.25">
      <c r="T3637" s="7" t="str">
        <f ca="1"/>
        <v>D3</v>
      </c>
      <c r="U3637" s="7" t="str">
        <f ca="1"/>
        <v>0xD10E</v>
      </c>
      <c r="V3637" s="7" t="str">
        <f ca="1"/>
        <v>Orientation</v>
      </c>
    </row>
    <row r="3638" spans="20:22" x14ac:dyDescent="0.25">
      <c r="T3638" s="7" t="str">
        <f ca="1"/>
        <v>D3</v>
      </c>
      <c r="U3638" s="7" t="str">
        <f ca="1"/>
        <v>0xD110</v>
      </c>
      <c r="V3638" s="7" t="str">
        <f ca="1"/>
        <v>FnumberLock</v>
      </c>
    </row>
    <row r="3639" spans="20:22" x14ac:dyDescent="0.25">
      <c r="T3639" s="7" t="str">
        <f ca="1"/>
        <v>D3</v>
      </c>
      <c r="U3639" s="7" t="str">
        <f ca="1"/>
        <v>0xD111</v>
      </c>
      <c r="V3639" s="7" t="str">
        <f ca="1"/>
        <v>ShutterSpeedLock</v>
      </c>
    </row>
    <row r="3640" spans="20:22" x14ac:dyDescent="0.25">
      <c r="T3640" s="7" t="str">
        <f ca="1"/>
        <v>D3</v>
      </c>
      <c r="U3640" s="7" t="str">
        <f ca="1"/>
        <v>0xD120</v>
      </c>
      <c r="V3640" s="7" t="str">
        <f ca="1"/>
        <v>ExternalSpeedLightExist</v>
      </c>
    </row>
    <row r="3641" spans="20:22" x14ac:dyDescent="0.25">
      <c r="T3641" s="7" t="str">
        <f ca="1"/>
        <v>D3</v>
      </c>
      <c r="U3641" s="7" t="str">
        <f ca="1"/>
        <v>0xD121</v>
      </c>
      <c r="V3641" s="7" t="str">
        <f ca="1"/>
        <v>ExternalSpeedLightStatus</v>
      </c>
    </row>
    <row r="3642" spans="20:22" x14ac:dyDescent="0.25">
      <c r="T3642" s="7" t="str">
        <f ca="1"/>
        <v>D3</v>
      </c>
      <c r="U3642" s="7" t="str">
        <f ca="1"/>
        <v>0xD122</v>
      </c>
      <c r="V3642" s="7" t="str">
        <f ca="1"/>
        <v>ExternalSpeedLightSort</v>
      </c>
    </row>
    <row r="3643" spans="20:22" x14ac:dyDescent="0.25">
      <c r="T3643" s="7" t="str">
        <f ca="1"/>
        <v>D3</v>
      </c>
      <c r="U3643" s="7" t="str">
        <f ca="1"/>
        <v>0xD124</v>
      </c>
      <c r="V3643" s="7" t="str">
        <f ca="1"/>
        <v>FlashCompensation</v>
      </c>
    </row>
    <row r="3644" spans="20:22" x14ac:dyDescent="0.25">
      <c r="T3644" s="7" t="str">
        <f ca="1"/>
        <v>D3</v>
      </c>
      <c r="U3644" s="7" t="str">
        <f ca="1"/>
        <v>0xD125</v>
      </c>
      <c r="V3644" s="7" t="str">
        <f ca="1"/>
        <v>NewExternalSpeedLightMode</v>
      </c>
    </row>
    <row r="3645" spans="20:22" x14ac:dyDescent="0.25">
      <c r="T3645" s="7" t="str">
        <f ca="1"/>
        <v>D3</v>
      </c>
      <c r="U3645" s="7" t="str">
        <f ca="1"/>
        <v>0xD148</v>
      </c>
      <c r="V3645" s="7" t="str">
        <f ca="1"/>
        <v>Slot2ImageSaveMode</v>
      </c>
    </row>
    <row r="3646" spans="20:22" x14ac:dyDescent="0.25">
      <c r="T3646" s="7" t="str">
        <f ca="1"/>
        <v>D3</v>
      </c>
      <c r="U3646" s="7" t="str">
        <f ca="1"/>
        <v>0xD149</v>
      </c>
      <c r="V3646" s="7" t="str">
        <f ca="1"/>
        <v>RawCompressionBitMode</v>
      </c>
    </row>
    <row r="3647" spans="20:22" x14ac:dyDescent="0.25">
      <c r="T3647" s="7" t="str">
        <f ca="1"/>
        <v>D3</v>
      </c>
      <c r="U3647" s="7" t="str">
        <f ca="1"/>
        <v>0xD14E</v>
      </c>
      <c r="V3647" s="7" t="str">
        <f ca="1"/>
        <v>Active</v>
      </c>
    </row>
    <row r="3648" spans="20:22" x14ac:dyDescent="0.25">
      <c r="T3648" s="7" t="str">
        <f ca="1"/>
        <v>D3</v>
      </c>
      <c r="U3648" s="7" t="str">
        <f ca="1"/>
        <v>0xD14F</v>
      </c>
      <c r="V3648" s="7" t="str">
        <f ca="1"/>
        <v>WbTuneFluorescentType</v>
      </c>
    </row>
    <row r="3649" spans="20:22" x14ac:dyDescent="0.25">
      <c r="T3649" s="7" t="str">
        <f ca="1"/>
        <v>D3</v>
      </c>
      <c r="U3649" s="7" t="str">
        <f ca="1"/>
        <v>0xD150</v>
      </c>
      <c r="V3649" s="7" t="str">
        <f ca="1"/>
        <v>WbTuneColorTemp</v>
      </c>
    </row>
    <row r="3650" spans="20:22" x14ac:dyDescent="0.25">
      <c r="T3650" s="7" t="str">
        <f ca="1"/>
        <v>D3</v>
      </c>
      <c r="U3650" s="7" t="str">
        <f ca="1"/>
        <v>0xD151</v>
      </c>
      <c r="V3650" s="7" t="str">
        <f ca="1"/>
        <v>WbTunePreset0</v>
      </c>
    </row>
    <row r="3651" spans="20:22" x14ac:dyDescent="0.25">
      <c r="T3651" s="7" t="str">
        <f ca="1"/>
        <v>D3</v>
      </c>
      <c r="U3651" s="7" t="str">
        <f ca="1"/>
        <v>0xD152</v>
      </c>
      <c r="V3651" s="7" t="str">
        <f ca="1"/>
        <v>WbTunePreset1</v>
      </c>
    </row>
    <row r="3652" spans="20:22" x14ac:dyDescent="0.25">
      <c r="T3652" s="7" t="str">
        <f ca="1"/>
        <v>D3</v>
      </c>
      <c r="U3652" s="7" t="str">
        <f ca="1"/>
        <v>0xD153</v>
      </c>
      <c r="V3652" s="7" t="str">
        <f ca="1"/>
        <v>WbTunePreset2</v>
      </c>
    </row>
    <row r="3653" spans="20:22" x14ac:dyDescent="0.25">
      <c r="T3653" s="7" t="str">
        <f ca="1"/>
        <v>D3</v>
      </c>
      <c r="U3653" s="7" t="str">
        <f ca="1"/>
        <v>0xD154</v>
      </c>
      <c r="V3653" s="7" t="str">
        <f ca="1"/>
        <v>WbTunePreset3</v>
      </c>
    </row>
    <row r="3654" spans="20:22" x14ac:dyDescent="0.25">
      <c r="T3654" s="7" t="str">
        <f ca="1"/>
        <v>D3</v>
      </c>
      <c r="U3654" s="7" t="str">
        <f ca="1"/>
        <v>0xD155</v>
      </c>
      <c r="V3654" s="7" t="str">
        <f ca="1"/>
        <v>WbTunePreset4</v>
      </c>
    </row>
    <row r="3655" spans="20:22" x14ac:dyDescent="0.25">
      <c r="T3655" s="7" t="str">
        <f ca="1"/>
        <v>D3</v>
      </c>
      <c r="U3655" s="7" t="str">
        <f ca="1"/>
        <v>0xD160</v>
      </c>
      <c r="V3655" s="7" t="str">
        <f ca="1"/>
        <v>Beep</v>
      </c>
    </row>
    <row r="3656" spans="20:22" x14ac:dyDescent="0.25">
      <c r="T3656" s="7" t="str">
        <f ca="1"/>
        <v>D3</v>
      </c>
      <c r="U3656" s="7" t="str">
        <f ca="1"/>
        <v>0xD164</v>
      </c>
      <c r="V3656" s="7" t="str">
        <f ca="1"/>
        <v>ISOAutoShutterTime</v>
      </c>
    </row>
    <row r="3657" spans="20:22" x14ac:dyDescent="0.25">
      <c r="T3657" s="7" t="str">
        <f ca="1"/>
        <v>D3</v>
      </c>
      <c r="U3657" s="7" t="str">
        <f ca="1"/>
        <v>0xD183</v>
      </c>
      <c r="V3657" s="7" t="str">
        <f ca="1"/>
        <v>ISOAutoHighLimit</v>
      </c>
    </row>
    <row r="3658" spans="20:22" x14ac:dyDescent="0.25">
      <c r="T3658" s="7" t="str">
        <f ca="1"/>
        <v>D3</v>
      </c>
      <c r="U3658" s="7" t="str">
        <f ca="1"/>
        <v>0xD184</v>
      </c>
      <c r="V3658" s="7" t="str">
        <f ca="1"/>
        <v>DynamicAFArea</v>
      </c>
    </row>
    <row r="3659" spans="20:22" x14ac:dyDescent="0.25">
      <c r="T3659" s="7" t="str">
        <f ca="1"/>
        <v>D3</v>
      </c>
      <c r="U3659" s="7" t="str">
        <f ca="1"/>
        <v>0xD186</v>
      </c>
      <c r="V3659" s="7" t="str">
        <f ca="1"/>
        <v>CSpeedHigh</v>
      </c>
    </row>
    <row r="3660" spans="20:22" x14ac:dyDescent="0.25">
      <c r="T3660" s="7" t="str">
        <f ca="1"/>
        <v>D3</v>
      </c>
      <c r="U3660" s="7" t="str">
        <f ca="1"/>
        <v>0xD187</v>
      </c>
      <c r="V3660" s="7" t="str">
        <f ca="1"/>
        <v>InformationScreenDisplaySetting</v>
      </c>
    </row>
    <row r="3661" spans="20:22" x14ac:dyDescent="0.25">
      <c r="T3661" s="7" t="str">
        <f ca="1"/>
        <v>D3</v>
      </c>
      <c r="U3661" s="7" t="str">
        <f ca="1"/>
        <v>0xD189</v>
      </c>
      <c r="V3661" s="7" t="str">
        <f ca="1"/>
        <v>PreviewButton</v>
      </c>
    </row>
    <row r="3662" spans="20:22" x14ac:dyDescent="0.25">
      <c r="T3662" s="7" t="str">
        <f ca="1"/>
        <v>D3</v>
      </c>
      <c r="U3662" s="7" t="str">
        <f ca="1"/>
        <v>0xD18A</v>
      </c>
      <c r="V3662" s="7" t="str">
        <f ca="1"/>
        <v>PreviewButton2</v>
      </c>
    </row>
    <row r="3663" spans="20:22" x14ac:dyDescent="0.25">
      <c r="T3663" s="7" t="str">
        <f ca="1"/>
        <v>D3</v>
      </c>
      <c r="U3663" s="7" t="str">
        <f ca="1"/>
        <v>0xD18B</v>
      </c>
      <c r="V3663" s="7" t="str">
        <f ca="1"/>
        <v>AEAFLockSetting</v>
      </c>
    </row>
    <row r="3664" spans="20:22" x14ac:dyDescent="0.25">
      <c r="T3664" s="7" t="str">
        <f ca="1"/>
        <v>D3</v>
      </c>
      <c r="U3664" s="7" t="str">
        <f ca="1"/>
        <v>0xD18D</v>
      </c>
      <c r="V3664" s="7" t="str">
        <f ca="1"/>
        <v>IndicatorDisplay</v>
      </c>
    </row>
    <row r="3665" spans="20:22" x14ac:dyDescent="0.25">
      <c r="T3665" s="7" t="str">
        <f ca="1"/>
        <v>D3</v>
      </c>
      <c r="U3665" s="7" t="str">
        <f ca="1"/>
        <v>0xD1A0</v>
      </c>
      <c r="V3665" s="7" t="str">
        <f ca="1"/>
        <v>LiveViewMode</v>
      </c>
    </row>
    <row r="3666" spans="20:22" x14ac:dyDescent="0.25">
      <c r="T3666" s="7" t="str">
        <f ca="1"/>
        <v>D3</v>
      </c>
      <c r="U3666" s="7" t="str">
        <f ca="1"/>
        <v>0xD1A1</v>
      </c>
      <c r="V3666" s="7" t="str">
        <f ca="1"/>
        <v>LiveViewStillCaptureMode</v>
      </c>
    </row>
    <row r="3667" spans="20:22" x14ac:dyDescent="0.25">
      <c r="T3667" s="7" t="str">
        <f ca="1"/>
        <v>D3</v>
      </c>
      <c r="U3667" s="7" t="str">
        <f ca="1"/>
        <v>0xD1A2</v>
      </c>
      <c r="V3667" s="7" t="str">
        <f ca="1"/>
        <v>LiveViewStatus</v>
      </c>
    </row>
    <row r="3668" spans="20:22" x14ac:dyDescent="0.25">
      <c r="T3668" s="7" t="str">
        <f ca="1"/>
        <v>D3</v>
      </c>
      <c r="U3668" s="7" t="str">
        <f ca="1"/>
        <v>0xD1A3</v>
      </c>
      <c r="V3668" s="7" t="str">
        <f ca="1"/>
        <v>LiveViewImageZoomRatio</v>
      </c>
    </row>
    <row r="3669" spans="20:22" x14ac:dyDescent="0.25">
      <c r="T3669" s="7" t="str">
        <f ca="1"/>
        <v>D3</v>
      </c>
      <c r="U3669" s="7" t="str">
        <f ca="1"/>
        <v>0xD1A4</v>
      </c>
      <c r="V3669" s="7" t="str">
        <f ca="1"/>
        <v>LiveViewProhibitionCondition</v>
      </c>
    </row>
    <row r="3670" spans="20:22" x14ac:dyDescent="0.25">
      <c r="T3670" s="7" t="str">
        <f ca="1"/>
        <v>D3</v>
      </c>
      <c r="U3670" s="7" t="str">
        <f ca="1"/>
        <v>0xD1B0</v>
      </c>
      <c r="V3670" s="7" t="str">
        <f ca="1"/>
        <v>ExposureDisplayStatus</v>
      </c>
    </row>
    <row r="3671" spans="20:22" x14ac:dyDescent="0.25">
      <c r="T3671" s="7" t="str">
        <f ca="1"/>
        <v>D3</v>
      </c>
      <c r="U3671" s="7" t="str">
        <f ca="1"/>
        <v>0xD1B1</v>
      </c>
      <c r="V3671" s="7" t="str">
        <f ca="1"/>
        <v>ExposureIndicateStatus</v>
      </c>
    </row>
    <row r="3672" spans="20:22" x14ac:dyDescent="0.25">
      <c r="T3672" s="7" t="str">
        <f ca="1"/>
        <v>D3</v>
      </c>
      <c r="U3672" s="7" t="str">
        <f ca="1"/>
        <v>0xD1B2</v>
      </c>
      <c r="V3672" s="7" t="str">
        <f ca="1"/>
        <v>InfoDisplayErrorStatus</v>
      </c>
    </row>
    <row r="3673" spans="20:22" x14ac:dyDescent="0.25">
      <c r="T3673" s="7" t="str">
        <f ca="1"/>
        <v>D3</v>
      </c>
      <c r="U3673" s="7" t="str">
        <f ca="1"/>
        <v>0xD1B3</v>
      </c>
      <c r="V3673" s="7" t="str">
        <f ca="1"/>
        <v>ExposureIndicateLightup</v>
      </c>
    </row>
    <row r="3674" spans="20:22" x14ac:dyDescent="0.25">
      <c r="T3674" s="7" t="str">
        <f ca="1"/>
        <v>D3</v>
      </c>
      <c r="U3674" s="7" t="str">
        <f ca="1"/>
        <v>0xD200</v>
      </c>
      <c r="V3674" s="7" t="str">
        <f ca="1"/>
        <v>ActivePicCtrlItem</v>
      </c>
    </row>
    <row r="3675" spans="20:22" x14ac:dyDescent="0.25">
      <c r="T3675" s="7" t="str">
        <f ca="1"/>
        <v>D3</v>
      </c>
      <c r="U3675" s="7" t="str">
        <f ca="1"/>
        <v>0xD201</v>
      </c>
      <c r="V3675" s="7" t="str">
        <f ca="1"/>
        <v>ChangePicCtrlItem</v>
      </c>
    </row>
    <row r="3676" spans="20:22" x14ac:dyDescent="0.25">
      <c r="T3676" s="7" t="str">
        <f ca="1"/>
        <v>D3</v>
      </c>
      <c r="U3676" s="7" t="str">
        <f ca="1"/>
        <v>0xD406</v>
      </c>
      <c r="V3676" s="7" t="str">
        <f ca="1"/>
        <v>SessionInitiatorVersionInfo</v>
      </c>
    </row>
    <row r="3677" spans="20:22" x14ac:dyDescent="0.25">
      <c r="T3677" s="7" t="str">
        <f ca="1"/>
        <v>D3</v>
      </c>
      <c r="U3677" s="7" t="str">
        <f ca="1"/>
        <v>0xD407</v>
      </c>
      <c r="V3677" s="7" t="str">
        <f ca="1"/>
        <v>PerceivedDeviceType</v>
      </c>
    </row>
  </sheetData>
  <conditionalFormatting sqref="D3:Q1048576">
    <cfRule type="cellIs" dxfId="5" priority="1" operator="notEqual">
      <formula>_xlfn.SINGLE($B:$B)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24C36-C11A-4199-B058-FD5CA679C2CA}">
  <sheetPr>
    <tabColor theme="7" tint="0.59999389629810485"/>
  </sheetPr>
  <dimension ref="A1:AK369"/>
  <sheetViews>
    <sheetView workbookViewId="0">
      <pane xSplit="2" ySplit="2" topLeftCell="C3" activePane="bottomRight" state="frozen"/>
      <selection activeCell="C4" sqref="C4"/>
      <selection pane="topRight" activeCell="C4" sqref="C4"/>
      <selection pane="bottomLeft" activeCell="C4" sqref="C4"/>
      <selection pane="bottomRight" activeCell="C29" sqref="C29"/>
    </sheetView>
  </sheetViews>
  <sheetFormatPr defaultRowHeight="15" x14ac:dyDescent="0.25"/>
  <cols>
    <col min="1" max="1" width="16.140625" style="13" bestFit="1" customWidth="1"/>
    <col min="2" max="2" width="21.5703125" style="14" bestFit="1" customWidth="1"/>
    <col min="3" max="3" width="9.140625" style="7"/>
    <col min="4" max="7" width="9.140625" style="8" customWidth="1"/>
    <col min="8" max="19" width="9.140625" style="7"/>
    <col min="20" max="20" width="6.5703125" style="7" bestFit="1" customWidth="1"/>
    <col min="21" max="21" width="6.28515625" style="7" bestFit="1" customWidth="1"/>
    <col min="22" max="23" width="9.140625" style="7"/>
    <col min="24" max="27" width="9.140625" style="8"/>
    <col min="28" max="16384" width="9.140625" style="7"/>
  </cols>
  <sheetData>
    <row r="1" spans="1:37" s="9" customFormat="1" x14ac:dyDescent="0.25">
      <c r="A1" s="2"/>
      <c r="B1" s="10"/>
      <c r="D1" s="2" t="str" cm="1">
        <f t="array" ref="D1:Q1">TRANSPOSE(Cameras[Camera])</f>
        <v>Z8</v>
      </c>
      <c r="E1" s="2" t="str">
        <v>Z9</v>
      </c>
      <c r="F1" s="2" t="str">
        <v>Z6 II</v>
      </c>
      <c r="G1" s="2" t="str">
        <v>Z7 II</v>
      </c>
      <c r="H1" s="9" t="str">
        <v>Z50</v>
      </c>
      <c r="I1" s="9" t="str">
        <v>Z6</v>
      </c>
      <c r="J1" s="9" t="str">
        <v>Z7</v>
      </c>
      <c r="K1" s="9" t="str">
        <v>Z5</v>
      </c>
      <c r="L1" s="9" t="str">
        <v>D6</v>
      </c>
      <c r="M1" s="9" t="str">
        <v>D5</v>
      </c>
      <c r="N1" s="9" t="str">
        <v>D4S</v>
      </c>
      <c r="O1" s="9" t="str">
        <v>D4</v>
      </c>
      <c r="P1" s="9" t="str">
        <v>D3X</v>
      </c>
      <c r="Q1" s="9" t="str">
        <v>D3</v>
      </c>
      <c r="X1" s="9" t="str" cm="1">
        <f t="array" ref="X1:AK1">TRANSPOSE(Cameras[Camera])</f>
        <v>Z8</v>
      </c>
      <c r="Y1" s="9" t="str">
        <v>Z9</v>
      </c>
      <c r="Z1" s="9" t="str">
        <v>Z6 II</v>
      </c>
      <c r="AA1" s="9" t="str">
        <v>Z7 II</v>
      </c>
      <c r="AB1" s="9" t="str">
        <v>Z50</v>
      </c>
      <c r="AC1" s="9" t="str">
        <v>Z6</v>
      </c>
      <c r="AD1" s="9" t="str">
        <v>Z7</v>
      </c>
      <c r="AE1" s="9" t="str">
        <v>Z5</v>
      </c>
      <c r="AF1" s="9" t="str">
        <v>D6</v>
      </c>
      <c r="AG1" s="9" t="str">
        <v>D5</v>
      </c>
      <c r="AH1" s="9" t="str">
        <v>D4S</v>
      </c>
      <c r="AI1" s="9" t="str">
        <v>D4</v>
      </c>
      <c r="AJ1" s="9" t="str">
        <v>D3X</v>
      </c>
      <c r="AK1" s="9" t="str">
        <v>D3</v>
      </c>
    </row>
    <row r="2" spans="1:37" s="11" customFormat="1" x14ac:dyDescent="0.25">
      <c r="A2" s="3" t="s">
        <v>1054</v>
      </c>
      <c r="B2" s="6" t="s">
        <v>4</v>
      </c>
      <c r="C2" s="4"/>
      <c r="D2" s="5" t="str" cm="1">
        <f t="array" ref="D2:Q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</v>
      </c>
      <c r="I2" s="4" t="str">
        <v>Rev. 1.40</v>
      </c>
      <c r="J2" s="4" t="str">
        <v>Rev. 1.40</v>
      </c>
      <c r="K2" s="4" t="str">
        <v>Rev. 1.10</v>
      </c>
      <c r="L2" s="4" t="str">
        <v>Rev. 1.0</v>
      </c>
      <c r="M2" s="4" t="str">
        <v>Rev. 2.0</v>
      </c>
      <c r="N2" s="4" t="str">
        <v>Rev. 1.0</v>
      </c>
      <c r="O2" s="4" t="str">
        <v>Rev. 1.0</v>
      </c>
      <c r="P2" s="4" t="str">
        <v>Rev. 1.0</v>
      </c>
      <c r="Q2" s="4" t="str">
        <v>Rev. 1.0</v>
      </c>
      <c r="R2" s="4"/>
      <c r="S2" s="4"/>
      <c r="T2" s="12" t="s">
        <v>1232</v>
      </c>
      <c r="U2" s="12" t="s">
        <v>1233</v>
      </c>
      <c r="V2" s="12" t="s">
        <v>1234</v>
      </c>
      <c r="W2" s="4"/>
      <c r="X2" s="11" t="str" cm="1">
        <f t="array" ref="X2:AK2">"Rev. "&amp;TRANSPOSE(Cameras[MTP Doc])</f>
        <v>Rev. 2.00</v>
      </c>
      <c r="Y2" s="11" t="str">
        <v>Rev. 6.00</v>
      </c>
      <c r="Z2" s="11" t="str">
        <v>Rev. 1.10</v>
      </c>
      <c r="AA2" s="11" t="str">
        <v>Rev. 1.10</v>
      </c>
      <c r="AB2" s="11" t="str">
        <v>Rev. 2.0</v>
      </c>
      <c r="AC2" s="11" t="str">
        <v>Rev. 1.40</v>
      </c>
      <c r="AD2" s="11" t="str">
        <v>Rev. 1.40</v>
      </c>
      <c r="AE2" s="11" t="str">
        <v>Rev. 1.10</v>
      </c>
      <c r="AF2" s="11" t="str">
        <v>Rev. 1.0</v>
      </c>
      <c r="AG2" s="11" t="str">
        <v>Rev. 2.0</v>
      </c>
      <c r="AH2" s="11" t="str">
        <v>Rev. 1.0</v>
      </c>
      <c r="AI2" s="11" t="str">
        <v>Rev. 1.0</v>
      </c>
      <c r="AJ2" s="11" t="str">
        <v>Rev. 1.0</v>
      </c>
      <c r="AK2" s="11" t="str">
        <v>Rev. 1.0</v>
      </c>
    </row>
    <row r="3" spans="1:37" x14ac:dyDescent="0.25">
      <c r="A3" s="13" t="str" cm="1">
        <f t="array" aca="1" ref="A3:B30" ca="1">_xlfn.LET(_xlpm.arr,_xlfn.ANCHORARRAY(T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0xDC01</v>
      </c>
      <c r="B3" s="14" t="str">
        <f ca="1"/>
        <v>StorageID</v>
      </c>
      <c r="D3" s="8" t="str" cm="1">
        <f t="array" aca="1" ref="D3:Q30" ca="1">_xlfn.LET(_xlpm.models,_xlfn.ANCHORARRAY(D1),_xlpm.arr,_xlfn.ANCHORARRAY(T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StorageID</v>
      </c>
      <c r="E3" s="8" t="str">
        <f ca="1"/>
        <v>StorageID</v>
      </c>
      <c r="F3" s="8" t="str">
        <f ca="1"/>
        <v>StorageID</v>
      </c>
      <c r="G3" s="8" t="str">
        <f ca="1"/>
        <v>StorageID</v>
      </c>
      <c r="H3" s="7" t="str">
        <f ca="1"/>
        <v>StorageID</v>
      </c>
      <c r="I3" s="7" t="str">
        <f ca="1"/>
        <v>StorageID</v>
      </c>
      <c r="J3" s="7" t="str">
        <f ca="1"/>
        <v>StorageID</v>
      </c>
      <c r="K3" s="7" t="str">
        <f ca="1"/>
        <v>StorageID</v>
      </c>
      <c r="L3" s="7" t="str">
        <f ca="1"/>
        <v>StorageID</v>
      </c>
      <c r="M3" s="7" t="str">
        <f ca="1"/>
        <v>StorageID</v>
      </c>
      <c r="N3" s="7" t="str">
        <f ca="1"/>
        <v>StorageID</v>
      </c>
      <c r="O3" s="7" t="str">
        <f ca="1"/>
        <v>StorageID</v>
      </c>
      <c r="P3" s="7" t="str">
        <f ca="1"/>
        <v>StorageID</v>
      </c>
      <c r="Q3" s="7" t="str">
        <f ca="1"/>
        <v>StorageID</v>
      </c>
      <c r="T3" s="7" t="str" cm="1">
        <f t="array" aca="1" ref="T3:V369" ca="1">_xlfn.LET(_xlpm.models,_xlfn.ANCHORARRAY(X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U3" s="7" t="str">
        <f ca="1"/>
        <v>0xDC01</v>
      </c>
      <c r="V3" s="7" t="str">
        <f ca="1"/>
        <v>StorageID</v>
      </c>
      <c r="X3" s="8" t="s">
        <v>1055</v>
      </c>
      <c r="Y3" s="8" t="s">
        <v>1055</v>
      </c>
      <c r="Z3" s="8" t="s">
        <v>1055</v>
      </c>
      <c r="AA3" s="8" t="s">
        <v>1055</v>
      </c>
      <c r="AB3" s="7" t="s">
        <v>1055</v>
      </c>
      <c r="AC3" s="7" t="s">
        <v>1055</v>
      </c>
      <c r="AD3" s="7" t="s">
        <v>1055</v>
      </c>
      <c r="AE3" s="7" t="s">
        <v>1055</v>
      </c>
      <c r="AF3" s="7" t="s">
        <v>1055</v>
      </c>
      <c r="AG3" s="7" t="s">
        <v>1055</v>
      </c>
      <c r="AH3" s="7" t="s">
        <v>1055</v>
      </c>
      <c r="AI3" s="7" t="s">
        <v>1055</v>
      </c>
      <c r="AJ3" s="7" t="s">
        <v>1055</v>
      </c>
      <c r="AK3" s="7" t="s">
        <v>1055</v>
      </c>
    </row>
    <row r="4" spans="1:37" x14ac:dyDescent="0.25">
      <c r="A4" s="13" t="str">
        <f ca="1"/>
        <v>0xDC02</v>
      </c>
      <c r="B4" s="14" t="str">
        <f ca="1"/>
        <v>ObjectFormat</v>
      </c>
      <c r="D4" s="8" t="str">
        <f ca="1"/>
        <v>ObjectFormat</v>
      </c>
      <c r="E4" s="8" t="str">
        <f ca="1"/>
        <v>ObjectFormat</v>
      </c>
      <c r="F4" s="8" t="str">
        <f ca="1"/>
        <v>ObjectFormat</v>
      </c>
      <c r="G4" s="8" t="str">
        <f ca="1"/>
        <v>ObjectFormat</v>
      </c>
      <c r="H4" s="7" t="str">
        <f ca="1"/>
        <v>ObjectFormat</v>
      </c>
      <c r="I4" s="7" t="str">
        <f ca="1"/>
        <v>ObjectFormat</v>
      </c>
      <c r="J4" s="7" t="str">
        <f ca="1"/>
        <v>ObjectFormat</v>
      </c>
      <c r="K4" s="7" t="str">
        <f ca="1"/>
        <v>ObjectFormat</v>
      </c>
      <c r="L4" s="7" t="str">
        <f ca="1"/>
        <v>ObjectFormat</v>
      </c>
      <c r="M4" s="7" t="str">
        <f ca="1"/>
        <v>ObjectFormat</v>
      </c>
      <c r="N4" s="7" t="str">
        <f ca="1"/>
        <v>ObjectFormat</v>
      </c>
      <c r="O4" s="7" t="str">
        <f ca="1"/>
        <v>ObjectFormat</v>
      </c>
      <c r="P4" s="7" t="str">
        <f ca="1"/>
        <v>ObjectFormat</v>
      </c>
      <c r="Q4" s="7" t="str">
        <f ca="1"/>
        <v>ObjectFormat</v>
      </c>
      <c r="T4" s="7" t="str">
        <f ca="1"/>
        <v>Z8</v>
      </c>
      <c r="U4" s="7" t="str">
        <f ca="1"/>
        <v>0xDC02</v>
      </c>
      <c r="V4" s="7" t="str">
        <f ca="1"/>
        <v>ObjectFormat</v>
      </c>
      <c r="X4" s="8" t="s">
        <v>1056</v>
      </c>
      <c r="Y4" s="8" t="s">
        <v>1056</v>
      </c>
      <c r="Z4" s="8" t="s">
        <v>1056</v>
      </c>
      <c r="AA4" s="8" t="s">
        <v>1056</v>
      </c>
      <c r="AB4" s="7" t="s">
        <v>1056</v>
      </c>
      <c r="AC4" s="7" t="s">
        <v>1056</v>
      </c>
      <c r="AD4" s="7" t="s">
        <v>1056</v>
      </c>
      <c r="AE4" s="7" t="s">
        <v>1056</v>
      </c>
      <c r="AF4" s="7" t="s">
        <v>1056</v>
      </c>
      <c r="AG4" s="7" t="s">
        <v>1056</v>
      </c>
      <c r="AH4" s="7" t="s">
        <v>1056</v>
      </c>
      <c r="AI4" s="7" t="s">
        <v>1056</v>
      </c>
      <c r="AJ4" s="7" t="s">
        <v>1056</v>
      </c>
      <c r="AK4" s="7" t="s">
        <v>1056</v>
      </c>
    </row>
    <row r="5" spans="1:37" x14ac:dyDescent="0.25">
      <c r="A5" s="13" t="str">
        <f ca="1"/>
        <v>0xDC03</v>
      </c>
      <c r="B5" s="14" t="str">
        <f ca="1"/>
        <v>ProtectionStatus</v>
      </c>
      <c r="D5" s="8" t="str">
        <f ca="1"/>
        <v>ProtectionStatus</v>
      </c>
      <c r="E5" s="8" t="str">
        <f ca="1"/>
        <v>ProtectionStatus</v>
      </c>
      <c r="F5" s="8" t="str">
        <f ca="1"/>
        <v>ProtectionStatus</v>
      </c>
      <c r="G5" s="8" t="str">
        <f ca="1"/>
        <v>ProtectionStatus</v>
      </c>
      <c r="H5" s="7" t="str">
        <f ca="1"/>
        <v>ProtectionStatus</v>
      </c>
      <c r="I5" s="7" t="str">
        <f ca="1"/>
        <v>ProtectionStatus</v>
      </c>
      <c r="J5" s="7" t="str">
        <f ca="1"/>
        <v>ProtectionStatus</v>
      </c>
      <c r="K5" s="7" t="str">
        <f ca="1"/>
        <v>ProtectionStatus</v>
      </c>
      <c r="L5" s="7" t="str">
        <f ca="1"/>
        <v>ProtectionStatus</v>
      </c>
      <c r="M5" s="7" t="str">
        <f ca="1"/>
        <v>ProtectionStatus</v>
      </c>
      <c r="N5" s="7" t="str">
        <f ca="1"/>
        <v>ProtectionStatus</v>
      </c>
      <c r="O5" s="7" t="str">
        <f ca="1"/>
        <v>ProtectionStatus</v>
      </c>
      <c r="P5" s="7" t="str">
        <f ca="1"/>
        <v>ProtectionStatus</v>
      </c>
      <c r="Q5" s="7" t="str">
        <f ca="1"/>
        <v>ProtectionStatus</v>
      </c>
      <c r="T5" s="7" t="str">
        <f ca="1"/>
        <v>Z8</v>
      </c>
      <c r="U5" s="7" t="str">
        <f ca="1"/>
        <v>0xDC03</v>
      </c>
      <c r="V5" s="7" t="str">
        <f ca="1"/>
        <v>ProtectionStatus</v>
      </c>
      <c r="X5" s="8" t="s">
        <v>1057</v>
      </c>
      <c r="Y5" s="8" t="s">
        <v>1057</v>
      </c>
      <c r="Z5" s="8" t="s">
        <v>1057</v>
      </c>
      <c r="AA5" s="8" t="s">
        <v>1057</v>
      </c>
      <c r="AB5" s="7" t="s">
        <v>1057</v>
      </c>
      <c r="AC5" s="7" t="s">
        <v>1057</v>
      </c>
      <c r="AD5" s="7" t="s">
        <v>1057</v>
      </c>
      <c r="AE5" s="7" t="s">
        <v>1057</v>
      </c>
      <c r="AF5" s="7" t="s">
        <v>1057</v>
      </c>
      <c r="AG5" s="7" t="s">
        <v>1057</v>
      </c>
      <c r="AH5" s="7" t="s">
        <v>1057</v>
      </c>
      <c r="AI5" s="7" t="s">
        <v>1057</v>
      </c>
      <c r="AJ5" s="7" t="s">
        <v>1057</v>
      </c>
      <c r="AK5" s="7" t="s">
        <v>1057</v>
      </c>
    </row>
    <row r="6" spans="1:37" x14ac:dyDescent="0.25">
      <c r="A6" s="13" t="str">
        <f ca="1"/>
        <v>0xDC04</v>
      </c>
      <c r="B6" s="14" t="str">
        <f ca="1"/>
        <v>ObjectSize</v>
      </c>
      <c r="D6" s="8" t="str">
        <f ca="1"/>
        <v>ObjectSize</v>
      </c>
      <c r="E6" s="8" t="str">
        <f ca="1"/>
        <v>ObjectSize</v>
      </c>
      <c r="F6" s="8" t="str">
        <f ca="1"/>
        <v>ObjectSize</v>
      </c>
      <c r="G6" s="8" t="str">
        <f ca="1"/>
        <v>ObjectSize</v>
      </c>
      <c r="H6" s="7" t="str">
        <f ca="1"/>
        <v>ObjectSize</v>
      </c>
      <c r="I6" s="7" t="str">
        <f ca="1"/>
        <v>ObjectSize</v>
      </c>
      <c r="J6" s="7" t="str">
        <f ca="1"/>
        <v>ObjectSize</v>
      </c>
      <c r="K6" s="7" t="str">
        <f ca="1"/>
        <v>ObjectSize</v>
      </c>
      <c r="L6" s="7" t="str">
        <f ca="1"/>
        <v>ObjectSize</v>
      </c>
      <c r="M6" s="7" t="str">
        <f ca="1"/>
        <v>ObjectSize</v>
      </c>
      <c r="N6" s="7" t="str">
        <f ca="1"/>
        <v>ObjectSize</v>
      </c>
      <c r="O6" s="7" t="str">
        <f ca="1"/>
        <v>ObjectSize</v>
      </c>
      <c r="P6" s="7" t="str">
        <f ca="1"/>
        <v>ObjectSize</v>
      </c>
      <c r="Q6" s="7" t="str">
        <f ca="1"/>
        <v>ObjectSize</v>
      </c>
      <c r="T6" s="7" t="str">
        <f ca="1"/>
        <v>Z8</v>
      </c>
      <c r="U6" s="7" t="str">
        <f ca="1"/>
        <v>0xDC04</v>
      </c>
      <c r="V6" s="7" t="str">
        <f ca="1"/>
        <v>ObjectSize</v>
      </c>
      <c r="X6" s="8" t="s">
        <v>1058</v>
      </c>
      <c r="Y6" s="8" t="s">
        <v>1058</v>
      </c>
      <c r="Z6" s="8" t="s">
        <v>1058</v>
      </c>
      <c r="AA6" s="8" t="s">
        <v>1058</v>
      </c>
      <c r="AB6" s="7" t="s">
        <v>1058</v>
      </c>
      <c r="AC6" s="7" t="s">
        <v>1058</v>
      </c>
      <c r="AD6" s="7" t="s">
        <v>1058</v>
      </c>
      <c r="AE6" s="7" t="s">
        <v>1058</v>
      </c>
      <c r="AF6" s="7" t="s">
        <v>1058</v>
      </c>
      <c r="AG6" s="7" t="s">
        <v>1058</v>
      </c>
      <c r="AH6" s="7" t="s">
        <v>1058</v>
      </c>
      <c r="AI6" s="7" t="s">
        <v>1058</v>
      </c>
      <c r="AJ6" s="7" t="s">
        <v>1058</v>
      </c>
      <c r="AK6" s="7" t="s">
        <v>1058</v>
      </c>
    </row>
    <row r="7" spans="1:37" x14ac:dyDescent="0.25">
      <c r="A7" s="13" t="str">
        <f ca="1"/>
        <v>0xDC07</v>
      </c>
      <c r="B7" s="14" t="str">
        <f ca="1"/>
        <v>ObjectFilename</v>
      </c>
      <c r="D7" s="8" t="str">
        <f ca="1"/>
        <v>ObjectFilename</v>
      </c>
      <c r="E7" s="8" t="str">
        <f ca="1"/>
        <v>ObjectFilename</v>
      </c>
      <c r="F7" s="8" t="str">
        <f ca="1"/>
        <v>ObjectFilename</v>
      </c>
      <c r="G7" s="8" t="str">
        <f ca="1"/>
        <v>ObjectFilename</v>
      </c>
      <c r="H7" s="7" t="str">
        <f ca="1"/>
        <v>ObjectFilename</v>
      </c>
      <c r="I7" s="7" t="str">
        <f ca="1"/>
        <v>ObjectFilename</v>
      </c>
      <c r="J7" s="7" t="str">
        <f ca="1"/>
        <v>ObjectFilename</v>
      </c>
      <c r="K7" s="7" t="str">
        <f ca="1"/>
        <v>ObjectFilename</v>
      </c>
      <c r="L7" s="7" t="str">
        <f ca="1"/>
        <v>ObjectFilename</v>
      </c>
      <c r="M7" s="7" t="str">
        <f ca="1"/>
        <v>ObjectFilename</v>
      </c>
      <c r="N7" s="7" t="str">
        <f ca="1"/>
        <v>ObjectFilename</v>
      </c>
      <c r="O7" s="7" t="str">
        <f ca="1"/>
        <v>ObjectFilename</v>
      </c>
      <c r="P7" s="7" t="str">
        <f ca="1"/>
        <v>ObjectFilename</v>
      </c>
      <c r="Q7" s="7" t="str">
        <f ca="1"/>
        <v>ObjectFilename</v>
      </c>
      <c r="T7" s="7" t="str">
        <f ca="1"/>
        <v>Z8</v>
      </c>
      <c r="U7" s="7" t="str">
        <f ca="1"/>
        <v>0xDC07</v>
      </c>
      <c r="V7" s="7" t="str">
        <f ca="1"/>
        <v>ObjectFilename</v>
      </c>
      <c r="X7" s="8" t="s">
        <v>1059</v>
      </c>
      <c r="Y7" s="8" t="s">
        <v>1059</v>
      </c>
      <c r="Z7" s="8" t="s">
        <v>1059</v>
      </c>
      <c r="AA7" s="8" t="s">
        <v>1059</v>
      </c>
      <c r="AB7" s="7" t="s">
        <v>1059</v>
      </c>
      <c r="AC7" s="7" t="s">
        <v>1059</v>
      </c>
      <c r="AD7" s="7" t="s">
        <v>1059</v>
      </c>
      <c r="AE7" s="7" t="s">
        <v>1059</v>
      </c>
      <c r="AF7" s="7" t="s">
        <v>1059</v>
      </c>
      <c r="AG7" s="7" t="s">
        <v>1059</v>
      </c>
      <c r="AH7" s="7" t="s">
        <v>1059</v>
      </c>
      <c r="AI7" s="7" t="s">
        <v>1059</v>
      </c>
      <c r="AJ7" s="7" t="s">
        <v>1059</v>
      </c>
      <c r="AK7" s="7" t="s">
        <v>1059</v>
      </c>
    </row>
    <row r="8" spans="1:37" x14ac:dyDescent="0.25">
      <c r="A8" s="13" t="str">
        <f ca="1"/>
        <v>0xDC08</v>
      </c>
      <c r="B8" s="14" t="str">
        <f ca="1"/>
        <v>DateCreated</v>
      </c>
      <c r="D8" s="8" t="str">
        <f ca="1"/>
        <v>DateCreated</v>
      </c>
      <c r="E8" s="8" t="str">
        <f ca="1"/>
        <v>DateCreated</v>
      </c>
      <c r="F8" s="8" t="str">
        <f ca="1"/>
        <v>DateCreated</v>
      </c>
      <c r="G8" s="8" t="str">
        <f ca="1"/>
        <v>DateCreated</v>
      </c>
      <c r="H8" s="7" t="str">
        <f ca="1"/>
        <v>DateCreated</v>
      </c>
      <c r="I8" s="7" t="str">
        <f ca="1"/>
        <v>DateCreated</v>
      </c>
      <c r="J8" s="7" t="str">
        <f ca="1"/>
        <v>DateCreated</v>
      </c>
      <c r="K8" s="7" t="str">
        <f ca="1"/>
        <v>DateCreated</v>
      </c>
      <c r="L8" s="7" t="str">
        <f ca="1"/>
        <v>DateCreated</v>
      </c>
      <c r="M8" s="7" t="str">
        <f ca="1"/>
        <v>DateCreated</v>
      </c>
      <c r="N8" s="7" t="str">
        <f ca="1"/>
        <v>DateCreated</v>
      </c>
      <c r="O8" s="7" t="str">
        <f ca="1"/>
        <v>DateCreated</v>
      </c>
      <c r="P8" s="7" t="str">
        <f ca="1"/>
        <v>DateCreated</v>
      </c>
      <c r="Q8" s="7" t="str">
        <f ca="1"/>
        <v>DateCreated</v>
      </c>
      <c r="T8" s="7" t="str">
        <f ca="1"/>
        <v>Z8</v>
      </c>
      <c r="U8" s="7" t="str">
        <f ca="1"/>
        <v>0xDC08</v>
      </c>
      <c r="V8" s="7" t="str">
        <f ca="1"/>
        <v>DateCreated</v>
      </c>
      <c r="X8" s="8" t="s">
        <v>1060</v>
      </c>
      <c r="Y8" s="8" t="s">
        <v>1060</v>
      </c>
      <c r="Z8" s="8" t="s">
        <v>1060</v>
      </c>
      <c r="AA8" s="8" t="s">
        <v>1060</v>
      </c>
      <c r="AB8" s="7" t="s">
        <v>1060</v>
      </c>
      <c r="AC8" s="7" t="s">
        <v>1060</v>
      </c>
      <c r="AD8" s="7" t="s">
        <v>1060</v>
      </c>
      <c r="AE8" s="7" t="s">
        <v>1060</v>
      </c>
      <c r="AF8" s="7" t="s">
        <v>1060</v>
      </c>
      <c r="AG8" s="7" t="s">
        <v>1060</v>
      </c>
      <c r="AH8" s="7" t="s">
        <v>1060</v>
      </c>
      <c r="AI8" s="7" t="s">
        <v>1060</v>
      </c>
      <c r="AJ8" s="7" t="s">
        <v>1060</v>
      </c>
      <c r="AK8" s="7" t="s">
        <v>1060</v>
      </c>
    </row>
    <row r="9" spans="1:37" x14ac:dyDescent="0.25">
      <c r="A9" s="13" t="str">
        <f ca="1"/>
        <v>0xDC09</v>
      </c>
      <c r="B9" s="14" t="str">
        <f ca="1"/>
        <v>DateModified</v>
      </c>
      <c r="D9" s="8" t="str">
        <f ca="1"/>
        <v>DateModified</v>
      </c>
      <c r="E9" s="8" t="str">
        <f ca="1"/>
        <v>DateModified</v>
      </c>
      <c r="F9" s="8" t="str">
        <f ca="1"/>
        <v>DateModified</v>
      </c>
      <c r="G9" s="8" t="str">
        <f ca="1"/>
        <v>DateModified</v>
      </c>
      <c r="H9" s="7" t="str">
        <f ca="1"/>
        <v>DateModified</v>
      </c>
      <c r="I9" s="7" t="str">
        <f ca="1"/>
        <v>DateModified</v>
      </c>
      <c r="J9" s="7" t="str">
        <f ca="1"/>
        <v>DateModified</v>
      </c>
      <c r="K9" s="7" t="str">
        <f ca="1"/>
        <v>DateModified</v>
      </c>
      <c r="L9" s="7" t="str">
        <f ca="1"/>
        <v>DateModified</v>
      </c>
      <c r="M9" s="7" t="str">
        <f ca="1"/>
        <v>DateModified</v>
      </c>
      <c r="N9" s="7" t="str">
        <f ca="1"/>
        <v>DateModified</v>
      </c>
      <c r="O9" s="7" t="str">
        <f ca="1"/>
        <v>DateModified</v>
      </c>
      <c r="P9" s="7" t="str">
        <f ca="1"/>
        <v>DateModified</v>
      </c>
      <c r="Q9" s="7" t="str">
        <f ca="1"/>
        <v>DateModified</v>
      </c>
      <c r="T9" s="7" t="str">
        <f ca="1"/>
        <v>Z8</v>
      </c>
      <c r="U9" s="7" t="str">
        <f ca="1"/>
        <v>0xDC09</v>
      </c>
      <c r="V9" s="7" t="str">
        <f ca="1"/>
        <v>DateModified</v>
      </c>
      <c r="X9" s="8" t="s">
        <v>1061</v>
      </c>
      <c r="Y9" s="8" t="s">
        <v>1061</v>
      </c>
      <c r="Z9" s="8" t="s">
        <v>1061</v>
      </c>
      <c r="AA9" s="8" t="s">
        <v>1061</v>
      </c>
      <c r="AB9" s="7" t="s">
        <v>1061</v>
      </c>
      <c r="AC9" s="7" t="s">
        <v>1061</v>
      </c>
      <c r="AD9" s="7" t="s">
        <v>1061</v>
      </c>
      <c r="AE9" s="7" t="s">
        <v>1061</v>
      </c>
      <c r="AF9" s="7" t="s">
        <v>1061</v>
      </c>
      <c r="AG9" s="7" t="s">
        <v>1061</v>
      </c>
      <c r="AH9" s="7" t="s">
        <v>1061</v>
      </c>
      <c r="AI9" s="7" t="s">
        <v>1061</v>
      </c>
      <c r="AJ9" s="7" t="s">
        <v>1061</v>
      </c>
      <c r="AK9" s="7" t="s">
        <v>1061</v>
      </c>
    </row>
    <row r="10" spans="1:37" x14ac:dyDescent="0.25">
      <c r="A10" s="13" t="str">
        <f ca="1"/>
        <v>0xDC0B</v>
      </c>
      <c r="B10" s="14" t="str">
        <f ca="1"/>
        <v>ParentObject</v>
      </c>
      <c r="D10" s="8" t="str">
        <f ca="1"/>
        <v>ParentObject</v>
      </c>
      <c r="E10" s="8" t="str">
        <f ca="1"/>
        <v>ParentObject</v>
      </c>
      <c r="F10" s="8" t="str">
        <f ca="1"/>
        <v>ParentObject</v>
      </c>
      <c r="G10" s="8" t="str">
        <f ca="1"/>
        <v>ParentObject</v>
      </c>
      <c r="H10" s="7" t="str">
        <f ca="1"/>
        <v>ParentObject</v>
      </c>
      <c r="I10" s="7" t="str">
        <f ca="1"/>
        <v>ParentObject</v>
      </c>
      <c r="J10" s="7" t="str">
        <f ca="1"/>
        <v>ParentObject</v>
      </c>
      <c r="K10" s="7" t="str">
        <f ca="1"/>
        <v>ParentObject</v>
      </c>
      <c r="L10" s="7" t="str">
        <f ca="1"/>
        <v>ParentObject</v>
      </c>
      <c r="M10" s="7" t="str">
        <f ca="1"/>
        <v>ParentObject</v>
      </c>
      <c r="N10" s="7" t="str">
        <f ca="1"/>
        <v>ParentObject</v>
      </c>
      <c r="O10" s="7" t="str">
        <f ca="1"/>
        <v>ParentObject</v>
      </c>
      <c r="P10" s="7" t="str">
        <f ca="1"/>
        <v>ParentObject</v>
      </c>
      <c r="Q10" s="7" t="str">
        <f ca="1"/>
        <v>ParentObject</v>
      </c>
      <c r="T10" s="7" t="str">
        <f ca="1"/>
        <v>Z8</v>
      </c>
      <c r="U10" s="7" t="str">
        <f ca="1"/>
        <v>0xDC0B</v>
      </c>
      <c r="V10" s="7" t="str">
        <f ca="1"/>
        <v>ParentObject</v>
      </c>
      <c r="X10" s="8" t="s">
        <v>1062</v>
      </c>
      <c r="Y10" s="8" t="s">
        <v>1062</v>
      </c>
      <c r="Z10" s="8" t="s">
        <v>1062</v>
      </c>
      <c r="AA10" s="8" t="s">
        <v>1062</v>
      </c>
      <c r="AB10" s="7" t="s">
        <v>1062</v>
      </c>
      <c r="AC10" s="7" t="s">
        <v>1062</v>
      </c>
      <c r="AD10" s="7" t="s">
        <v>1062</v>
      </c>
      <c r="AE10" s="7" t="s">
        <v>1062</v>
      </c>
      <c r="AF10" s="7" t="s">
        <v>1062</v>
      </c>
      <c r="AG10" s="7" t="s">
        <v>1062</v>
      </c>
      <c r="AH10" s="7" t="s">
        <v>1062</v>
      </c>
      <c r="AI10" s="7" t="s">
        <v>1062</v>
      </c>
      <c r="AJ10" s="7" t="s">
        <v>1062</v>
      </c>
      <c r="AK10" s="7" t="s">
        <v>1062</v>
      </c>
    </row>
    <row r="11" spans="1:37" x14ac:dyDescent="0.25">
      <c r="A11" s="13" t="str">
        <f ca="1"/>
        <v>0xDC0D</v>
      </c>
      <c r="B11" s="14" t="str">
        <f ca="1"/>
        <v>Hidden</v>
      </c>
      <c r="D11" s="8" t="str">
        <f ca="1"/>
        <v>Hidden</v>
      </c>
      <c r="E11" s="8" t="str">
        <f ca="1"/>
        <v>Hidden</v>
      </c>
      <c r="F11" s="8" t="str">
        <f ca="1"/>
        <v>Hidden</v>
      </c>
      <c r="G11" s="8" t="str">
        <f ca="1"/>
        <v>Hidden</v>
      </c>
      <c r="H11" s="7" t="str">
        <f ca="1"/>
        <v>Hidden</v>
      </c>
      <c r="I11" s="7" t="str">
        <f ca="1"/>
        <v>Hidden</v>
      </c>
      <c r="J11" s="7" t="str">
        <f ca="1"/>
        <v>Hidden</v>
      </c>
      <c r="K11" s="7" t="str">
        <f ca="1"/>
        <v>Hidden</v>
      </c>
      <c r="L11" s="7" t="str">
        <f ca="1"/>
        <v>Hidden</v>
      </c>
      <c r="M11" s="7" t="str">
        <f ca="1"/>
        <v>Hidden</v>
      </c>
      <c r="N11" s="7" t="str">
        <f ca="1"/>
        <v>Hidden</v>
      </c>
      <c r="O11" s="7" t="str">
        <f ca="1"/>
        <v/>
      </c>
      <c r="P11" s="7" t="str">
        <f ca="1"/>
        <v/>
      </c>
      <c r="Q11" s="7" t="str">
        <f ca="1"/>
        <v/>
      </c>
      <c r="T11" s="7" t="str">
        <f ca="1"/>
        <v>Z8</v>
      </c>
      <c r="U11" s="7" t="str">
        <f ca="1"/>
        <v>0xDC0D</v>
      </c>
      <c r="V11" s="7" t="str">
        <f ca="1"/>
        <v>Hidden</v>
      </c>
      <c r="X11" s="8" t="s">
        <v>1063</v>
      </c>
      <c r="Y11" s="8" t="s">
        <v>1063</v>
      </c>
      <c r="Z11" s="8" t="s">
        <v>1063</v>
      </c>
      <c r="AA11" s="8" t="s">
        <v>1063</v>
      </c>
      <c r="AB11" s="7" t="s">
        <v>1063</v>
      </c>
      <c r="AC11" s="7" t="s">
        <v>1063</v>
      </c>
      <c r="AD11" s="7" t="s">
        <v>1063</v>
      </c>
      <c r="AE11" s="7" t="s">
        <v>1063</v>
      </c>
      <c r="AF11" s="7" t="s">
        <v>1063</v>
      </c>
      <c r="AG11" s="7" t="s">
        <v>1063</v>
      </c>
      <c r="AH11" s="7" t="s">
        <v>1063</v>
      </c>
      <c r="AI11" s="7" t="s">
        <v>1063</v>
      </c>
      <c r="AJ11" s="7" t="s">
        <v>1063</v>
      </c>
      <c r="AK11" s="7" t="s">
        <v>1063</v>
      </c>
    </row>
    <row r="12" spans="1:37" x14ac:dyDescent="0.25">
      <c r="A12" s="13" t="str">
        <f ca="1"/>
        <v>0xDC41</v>
      </c>
      <c r="B12" s="14" t="str">
        <f ca="1"/>
        <v>PersistentUniqueObjectIdentifier</v>
      </c>
      <c r="D12" s="8" t="str">
        <f ca="1"/>
        <v>PersistentUniqueObjectIdentifier</v>
      </c>
      <c r="E12" s="8" t="str">
        <f ca="1"/>
        <v>PersistentUniqueObjectIdentifier</v>
      </c>
      <c r="F12" s="8" t="str">
        <f ca="1"/>
        <v>PersistentUniqueObjectIdentifier</v>
      </c>
      <c r="G12" s="8" t="str">
        <f ca="1"/>
        <v>PersistentUniqueObjectIdentifier</v>
      </c>
      <c r="H12" s="7" t="str">
        <f ca="1"/>
        <v>PersistentUniqueObjectIdentifier</v>
      </c>
      <c r="I12" s="7" t="str">
        <f ca="1"/>
        <v>PersistentUniqueObjectIdentifier</v>
      </c>
      <c r="J12" s="7" t="str">
        <f ca="1"/>
        <v>PersistentUniqueObjectIdentifier</v>
      </c>
      <c r="K12" s="7" t="str">
        <f ca="1"/>
        <v>PersistentUniqueObjectIdentifier</v>
      </c>
      <c r="L12" s="7" t="str">
        <f ca="1"/>
        <v>PersistentUniqueObjectIdentifier</v>
      </c>
      <c r="M12" s="7" t="str">
        <f ca="1"/>
        <v>PersistentUniqueObjectIdentifier</v>
      </c>
      <c r="N12" s="7" t="str">
        <f ca="1"/>
        <v>PersistentUniqueObjectIdentifier</v>
      </c>
      <c r="O12" s="7" t="str">
        <f ca="1"/>
        <v>PersistentUniqueObjectIdentifier</v>
      </c>
      <c r="P12" s="7" t="str">
        <f ca="1"/>
        <v>PersistentUniqueObjectIdentifier</v>
      </c>
      <c r="Q12" s="7" t="str">
        <f ca="1"/>
        <v>PersistentUniqueObjectIdentifier</v>
      </c>
      <c r="T12" s="7" t="str">
        <f ca="1"/>
        <v>Z8</v>
      </c>
      <c r="U12" s="7" t="str">
        <f ca="1"/>
        <v>0xDC41</v>
      </c>
      <c r="V12" s="7" t="str">
        <f ca="1"/>
        <v>PersistentUniqueObjectIdentifier</v>
      </c>
      <c r="X12" s="8" t="s">
        <v>1064</v>
      </c>
      <c r="Y12" s="8" t="s">
        <v>1064</v>
      </c>
      <c r="Z12" s="8" t="s">
        <v>1064</v>
      </c>
      <c r="AA12" s="8" t="s">
        <v>1064</v>
      </c>
      <c r="AB12" s="7" t="s">
        <v>1064</v>
      </c>
      <c r="AC12" s="7" t="s">
        <v>1064</v>
      </c>
      <c r="AD12" s="7" t="s">
        <v>1064</v>
      </c>
      <c r="AE12" s="7" t="s">
        <v>1064</v>
      </c>
      <c r="AF12" s="7" t="s">
        <v>1064</v>
      </c>
      <c r="AG12" s="7" t="s">
        <v>1064</v>
      </c>
      <c r="AH12" s="7" t="s">
        <v>1064</v>
      </c>
      <c r="AI12" s="7" t="s">
        <v>1064</v>
      </c>
      <c r="AJ12" s="7" t="s">
        <v>1064</v>
      </c>
      <c r="AK12" s="7" t="s">
        <v>1064</v>
      </c>
    </row>
    <row r="13" spans="1:37" x14ac:dyDescent="0.25">
      <c r="A13" s="13" t="str">
        <f ca="1"/>
        <v>0xDC44</v>
      </c>
      <c r="B13" s="14" t="str">
        <f ca="1"/>
        <v>Name</v>
      </c>
      <c r="D13" s="8" t="str">
        <f ca="1"/>
        <v>Name</v>
      </c>
      <c r="E13" s="8" t="str">
        <f ca="1"/>
        <v>Name</v>
      </c>
      <c r="F13" s="8" t="str">
        <f ca="1"/>
        <v>Name</v>
      </c>
      <c r="G13" s="8" t="str">
        <f ca="1"/>
        <v>Name</v>
      </c>
      <c r="H13" s="7" t="str">
        <f ca="1"/>
        <v>Name</v>
      </c>
      <c r="I13" s="7" t="str">
        <f ca="1"/>
        <v>Name</v>
      </c>
      <c r="J13" s="7" t="str">
        <f ca="1"/>
        <v>Name</v>
      </c>
      <c r="K13" s="7" t="str">
        <f ca="1"/>
        <v>Name</v>
      </c>
      <c r="L13" s="7" t="str">
        <f ca="1"/>
        <v>Name</v>
      </c>
      <c r="M13" s="7" t="str">
        <f ca="1"/>
        <v>Name</v>
      </c>
      <c r="N13" s="7" t="str">
        <f ca="1"/>
        <v>Name</v>
      </c>
      <c r="O13" s="7" t="str">
        <f ca="1"/>
        <v>Name</v>
      </c>
      <c r="P13" s="7" t="str">
        <f ca="1"/>
        <v>Name</v>
      </c>
      <c r="Q13" s="7" t="str">
        <f ca="1"/>
        <v>Name</v>
      </c>
      <c r="T13" s="7" t="str">
        <f ca="1"/>
        <v>Z8</v>
      </c>
      <c r="U13" s="7" t="str">
        <f ca="1"/>
        <v>0xDC44</v>
      </c>
      <c r="V13" s="7" t="str">
        <f ca="1"/>
        <v>Name</v>
      </c>
      <c r="X13" s="8" t="s">
        <v>1065</v>
      </c>
      <c r="Y13" s="8" t="s">
        <v>1065</v>
      </c>
      <c r="Z13" s="8" t="s">
        <v>1065</v>
      </c>
      <c r="AA13" s="8" t="s">
        <v>1065</v>
      </c>
      <c r="AB13" s="7" t="s">
        <v>1065</v>
      </c>
      <c r="AC13" s="7" t="s">
        <v>1065</v>
      </c>
      <c r="AD13" s="7" t="s">
        <v>1065</v>
      </c>
      <c r="AE13" s="7" t="s">
        <v>1065</v>
      </c>
      <c r="AF13" s="7" t="s">
        <v>1065</v>
      </c>
      <c r="AG13" s="7" t="s">
        <v>1065</v>
      </c>
      <c r="AH13" s="7" t="s">
        <v>1065</v>
      </c>
      <c r="AI13" s="7" t="s">
        <v>1065</v>
      </c>
      <c r="AJ13" s="7" t="s">
        <v>1065</v>
      </c>
      <c r="AK13" s="7" t="s">
        <v>1065</v>
      </c>
    </row>
    <row r="14" spans="1:37" x14ac:dyDescent="0.25">
      <c r="A14" s="13" t="str">
        <f ca="1"/>
        <v>0xDC81</v>
      </c>
      <c r="B14" s="14" t="str">
        <f ca="1"/>
        <v>RepresentativeSampleFormat</v>
      </c>
      <c r="D14" s="8" t="str">
        <f ca="1"/>
        <v>RepresentativeSampleFormat</v>
      </c>
      <c r="E14" s="8" t="str">
        <f ca="1"/>
        <v>RepresentativeSampleFormat</v>
      </c>
      <c r="F14" s="8" t="str">
        <f ca="1"/>
        <v>RepresentativeSampleFormat</v>
      </c>
      <c r="G14" s="8" t="str">
        <f ca="1"/>
        <v>RepresentativeSampleFormat</v>
      </c>
      <c r="H14" s="7" t="str">
        <f ca="1"/>
        <v>RepresentativeSampleFormat</v>
      </c>
      <c r="I14" s="7" t="str">
        <f ca="1"/>
        <v>RepresentativeSampleFormat</v>
      </c>
      <c r="J14" s="7" t="str">
        <f ca="1"/>
        <v>RepresentativeSampleFormat</v>
      </c>
      <c r="K14" s="7" t="str">
        <f ca="1"/>
        <v>RepresentativeSampleFormat</v>
      </c>
      <c r="L14" s="7" t="str">
        <f ca="1"/>
        <v>RepresentativeSampleFormat</v>
      </c>
      <c r="M14" s="7" t="str">
        <f ca="1"/>
        <v>RepresentativeSampleFormat</v>
      </c>
      <c r="N14" s="7" t="str">
        <f ca="1"/>
        <v>RepresentativeSampleFormat</v>
      </c>
      <c r="O14" s="7" t="str">
        <f ca="1"/>
        <v>RepresentativeSampleFormat</v>
      </c>
      <c r="P14" s="7" t="str">
        <f ca="1"/>
        <v>RepresentativeSampleFormat</v>
      </c>
      <c r="Q14" s="7" t="str">
        <f ca="1"/>
        <v>RepresentativeSampleFormat</v>
      </c>
      <c r="T14" s="7" t="str">
        <f ca="1"/>
        <v>Z8</v>
      </c>
      <c r="U14" s="7" t="str">
        <f ca="1"/>
        <v>0xDC81</v>
      </c>
      <c r="V14" s="7" t="str">
        <f ca="1"/>
        <v>RepresentativeSampleFormat</v>
      </c>
      <c r="X14" s="8" t="s">
        <v>1066</v>
      </c>
      <c r="Y14" s="8" t="s">
        <v>1066</v>
      </c>
      <c r="Z14" s="8" t="s">
        <v>1066</v>
      </c>
      <c r="AA14" s="8" t="s">
        <v>1066</v>
      </c>
      <c r="AB14" s="7" t="s">
        <v>1066</v>
      </c>
      <c r="AC14" s="7" t="s">
        <v>1066</v>
      </c>
      <c r="AD14" s="7" t="s">
        <v>1066</v>
      </c>
      <c r="AE14" s="7" t="s">
        <v>1066</v>
      </c>
      <c r="AF14" s="7" t="s">
        <v>1066</v>
      </c>
      <c r="AG14" s="7" t="s">
        <v>1066</v>
      </c>
      <c r="AH14" s="7" t="s">
        <v>1066</v>
      </c>
      <c r="AI14" s="7" t="s">
        <v>1066</v>
      </c>
      <c r="AJ14" s="7" t="s">
        <v>1066</v>
      </c>
      <c r="AK14" s="7" t="s">
        <v>1066</v>
      </c>
    </row>
    <row r="15" spans="1:37" x14ac:dyDescent="0.25">
      <c r="A15" s="13" t="str">
        <f ca="1"/>
        <v>0xDC82</v>
      </c>
      <c r="B15" s="14" t="str">
        <f ca="1"/>
        <v>RepresentativeSampleSize</v>
      </c>
      <c r="D15" s="8" t="str">
        <f ca="1"/>
        <v>RepresentativeSampleSize</v>
      </c>
      <c r="E15" s="8" t="str">
        <f ca="1"/>
        <v>RepresentativeSampleSize</v>
      </c>
      <c r="F15" s="8" t="str">
        <f ca="1"/>
        <v>RepresentativeSampleSize</v>
      </c>
      <c r="G15" s="8" t="str">
        <f ca="1"/>
        <v>RepresentativeSampleSize</v>
      </c>
      <c r="H15" s="7" t="str">
        <f ca="1"/>
        <v>RepresentativeSampleSize</v>
      </c>
      <c r="I15" s="7" t="str">
        <f ca="1"/>
        <v>RepresentativeSampleSize</v>
      </c>
      <c r="J15" s="7" t="str">
        <f ca="1"/>
        <v>RepresentativeSampleSize</v>
      </c>
      <c r="K15" s="7" t="str">
        <f ca="1"/>
        <v>RepresentativeSampleSize</v>
      </c>
      <c r="L15" s="7" t="str">
        <f ca="1"/>
        <v>RepresentativeSampleSize</v>
      </c>
      <c r="M15" s="7" t="str">
        <f ca="1"/>
        <v>RepresentativeSampleSize</v>
      </c>
      <c r="N15" s="7" t="str">
        <f ca="1"/>
        <v>RepresentativeSampleSize</v>
      </c>
      <c r="O15" s="7" t="str">
        <f ca="1"/>
        <v>RepresentativeSampleSize</v>
      </c>
      <c r="P15" s="7" t="str">
        <f ca="1"/>
        <v>RepresentativeSampleSize</v>
      </c>
      <c r="Q15" s="7" t="str">
        <f ca="1"/>
        <v>RepresentativeSampleSize</v>
      </c>
      <c r="T15" s="7" t="str">
        <f ca="1"/>
        <v>Z8</v>
      </c>
      <c r="U15" s="7" t="str">
        <f ca="1"/>
        <v>0xDC82</v>
      </c>
      <c r="V15" s="7" t="str">
        <f ca="1"/>
        <v>RepresentativeSampleSize</v>
      </c>
      <c r="X15" s="8" t="s">
        <v>1067</v>
      </c>
      <c r="Y15" s="8" t="s">
        <v>1067</v>
      </c>
      <c r="Z15" s="8" t="s">
        <v>1067</v>
      </c>
      <c r="AA15" s="8" t="s">
        <v>1067</v>
      </c>
      <c r="AB15" s="7" t="s">
        <v>1067</v>
      </c>
      <c r="AC15" s="7" t="s">
        <v>1067</v>
      </c>
      <c r="AD15" s="7" t="s">
        <v>1067</v>
      </c>
      <c r="AE15" s="7" t="s">
        <v>1067</v>
      </c>
      <c r="AF15" s="7" t="s">
        <v>1067</v>
      </c>
      <c r="AG15" s="7" t="s">
        <v>1067</v>
      </c>
      <c r="AH15" s="7" t="s">
        <v>1067</v>
      </c>
      <c r="AI15" s="7" t="s">
        <v>1067</v>
      </c>
      <c r="AJ15" s="7" t="s">
        <v>1067</v>
      </c>
      <c r="AK15" s="7" t="s">
        <v>1067</v>
      </c>
    </row>
    <row r="16" spans="1:37" x14ac:dyDescent="0.25">
      <c r="A16" s="13" t="str">
        <f ca="1"/>
        <v>0xDC83</v>
      </c>
      <c r="B16" s="14" t="str">
        <f ca="1"/>
        <v>RepresentativeSampleHeight</v>
      </c>
      <c r="D16" s="8" t="str">
        <f ca="1"/>
        <v>RepresentativeSampleHeight</v>
      </c>
      <c r="E16" s="8" t="str">
        <f ca="1"/>
        <v>RepresentativeSampleHeight</v>
      </c>
      <c r="F16" s="8" t="str">
        <f ca="1"/>
        <v>RepresentativeSampleHeight</v>
      </c>
      <c r="G16" s="8" t="str">
        <f ca="1"/>
        <v>RepresentativeSampleHeight</v>
      </c>
      <c r="H16" s="7" t="str">
        <f ca="1"/>
        <v>RepresentativeSampleHeight</v>
      </c>
      <c r="I16" s="7" t="str">
        <f ca="1"/>
        <v>RepresentativeSampleHeight</v>
      </c>
      <c r="J16" s="7" t="str">
        <f ca="1"/>
        <v>RepresentativeSampleHeight</v>
      </c>
      <c r="K16" s="7" t="str">
        <f ca="1"/>
        <v>RepresentativeSampleHeight</v>
      </c>
      <c r="L16" s="7" t="str">
        <f ca="1"/>
        <v>RepresentativeSampleHeight</v>
      </c>
      <c r="M16" s="7" t="str">
        <f ca="1"/>
        <v>RepresentativeSampleHeight</v>
      </c>
      <c r="N16" s="7" t="str">
        <f ca="1"/>
        <v>RepresentativeSampleHeight</v>
      </c>
      <c r="O16" s="7" t="str">
        <f ca="1"/>
        <v>RepresentativeSampleHeight</v>
      </c>
      <c r="P16" s="7" t="str">
        <f ca="1"/>
        <v>RepresentativeSampleHeight</v>
      </c>
      <c r="Q16" s="7" t="str">
        <f ca="1"/>
        <v>RepresentativeSampleHeight</v>
      </c>
      <c r="T16" s="7" t="str">
        <f ca="1"/>
        <v>Z8</v>
      </c>
      <c r="U16" s="7" t="str">
        <f ca="1"/>
        <v>0xDC83</v>
      </c>
      <c r="V16" s="7" t="str">
        <f ca="1"/>
        <v>RepresentativeSampleHeight</v>
      </c>
      <c r="X16" s="8" t="s">
        <v>1068</v>
      </c>
      <c r="Y16" s="8" t="s">
        <v>1068</v>
      </c>
      <c r="Z16" s="8" t="s">
        <v>1068</v>
      </c>
      <c r="AA16" s="8" t="s">
        <v>1068</v>
      </c>
      <c r="AB16" s="7" t="s">
        <v>1068</v>
      </c>
      <c r="AC16" s="7" t="s">
        <v>1068</v>
      </c>
      <c r="AD16" s="7" t="s">
        <v>1068</v>
      </c>
      <c r="AE16" s="7" t="s">
        <v>1068</v>
      </c>
      <c r="AF16" s="7" t="s">
        <v>1068</v>
      </c>
      <c r="AG16" s="7" t="s">
        <v>1068</v>
      </c>
      <c r="AH16" s="7" t="s">
        <v>1068</v>
      </c>
      <c r="AI16" s="7" t="s">
        <v>1068</v>
      </c>
      <c r="AJ16" s="7" t="s">
        <v>1068</v>
      </c>
      <c r="AK16" s="7" t="s">
        <v>1068</v>
      </c>
    </row>
    <row r="17" spans="1:37" x14ac:dyDescent="0.25">
      <c r="A17" s="13" t="str">
        <f ca="1"/>
        <v>0xDC84</v>
      </c>
      <c r="B17" s="14" t="str">
        <f ca="1"/>
        <v>RepresentativeSampleWidth</v>
      </c>
      <c r="D17" s="8" t="str">
        <f ca="1"/>
        <v>RepresentativeSampleWidth</v>
      </c>
      <c r="E17" s="8" t="str">
        <f ca="1"/>
        <v>RepresentativeSampleWidth</v>
      </c>
      <c r="F17" s="8" t="str">
        <f ca="1"/>
        <v>RepresentativeSampleWidth</v>
      </c>
      <c r="G17" s="8" t="str">
        <f ca="1"/>
        <v>RepresentativeSampleWidth</v>
      </c>
      <c r="H17" s="7" t="str">
        <f ca="1"/>
        <v>RepresentativeSampleWidth</v>
      </c>
      <c r="I17" s="7" t="str">
        <f ca="1"/>
        <v>RepresentativeSampleWidth</v>
      </c>
      <c r="J17" s="7" t="str">
        <f ca="1"/>
        <v>RepresentativeSampleWidth</v>
      </c>
      <c r="K17" s="7" t="str">
        <f ca="1"/>
        <v>RepresentativeSampleWidth</v>
      </c>
      <c r="L17" s="7" t="str">
        <f ca="1"/>
        <v>RepresentativeSampleWidth</v>
      </c>
      <c r="M17" s="7" t="str">
        <f ca="1"/>
        <v>RepresentativeSampleWidth</v>
      </c>
      <c r="N17" s="7" t="str">
        <f ca="1"/>
        <v>RepresentativeSampleWidth</v>
      </c>
      <c r="O17" s="7" t="str">
        <f ca="1"/>
        <v>RepresentativeSampleWidth</v>
      </c>
      <c r="P17" s="7" t="str">
        <f ca="1"/>
        <v>RepresentativeSampleWidth</v>
      </c>
      <c r="Q17" s="7" t="str">
        <f ca="1"/>
        <v>RepresentativeSampleWidth</v>
      </c>
      <c r="T17" s="7" t="str">
        <f ca="1"/>
        <v>Z8</v>
      </c>
      <c r="U17" s="7" t="str">
        <f ca="1"/>
        <v>0xDC84</v>
      </c>
      <c r="V17" s="7" t="str">
        <f ca="1"/>
        <v>RepresentativeSampleWidth</v>
      </c>
      <c r="X17" s="8" t="s">
        <v>1069</v>
      </c>
      <c r="Y17" s="8" t="s">
        <v>1069</v>
      </c>
      <c r="Z17" s="8" t="s">
        <v>1069</v>
      </c>
      <c r="AA17" s="8" t="s">
        <v>1069</v>
      </c>
      <c r="AB17" s="7" t="s">
        <v>1069</v>
      </c>
      <c r="AC17" s="7" t="s">
        <v>1069</v>
      </c>
      <c r="AD17" s="7" t="s">
        <v>1069</v>
      </c>
      <c r="AE17" s="7" t="s">
        <v>1069</v>
      </c>
      <c r="AF17" s="7" t="s">
        <v>1069</v>
      </c>
      <c r="AG17" s="7" t="s">
        <v>1069</v>
      </c>
      <c r="AH17" s="7" t="s">
        <v>1069</v>
      </c>
      <c r="AI17" s="7" t="s">
        <v>1069</v>
      </c>
      <c r="AJ17" s="7" t="s">
        <v>1069</v>
      </c>
      <c r="AK17" s="7" t="s">
        <v>1069</v>
      </c>
    </row>
    <row r="18" spans="1:37" x14ac:dyDescent="0.25">
      <c r="A18" s="13" t="str">
        <f ca="1"/>
        <v>0xDC86</v>
      </c>
      <c r="B18" s="14" t="str">
        <f ca="1"/>
        <v>RepresentativeSampleData</v>
      </c>
      <c r="D18" s="8" t="str">
        <f ca="1"/>
        <v>RepresentativeSampleData</v>
      </c>
      <c r="E18" s="8" t="str">
        <f ca="1"/>
        <v>RepresentativeSampleData</v>
      </c>
      <c r="F18" s="8" t="str">
        <f ca="1"/>
        <v>RepresentativeSampleData</v>
      </c>
      <c r="G18" s="8" t="str">
        <f ca="1"/>
        <v>RepresentativeSampleData</v>
      </c>
      <c r="H18" s="7" t="str">
        <f ca="1"/>
        <v>RepresentativeSampleData</v>
      </c>
      <c r="I18" s="7" t="str">
        <f ca="1"/>
        <v>RepresentativeSampleData</v>
      </c>
      <c r="J18" s="7" t="str">
        <f ca="1"/>
        <v>RepresentativeSampleData</v>
      </c>
      <c r="K18" s="7" t="str">
        <f ca="1"/>
        <v>RepresentativeSampleData</v>
      </c>
      <c r="L18" s="7" t="str">
        <f ca="1"/>
        <v>RepresentativeSampleData</v>
      </c>
      <c r="M18" s="7" t="str">
        <f ca="1"/>
        <v>RepresentativeSampleData</v>
      </c>
      <c r="N18" s="7" t="str">
        <f ca="1"/>
        <v>RepresentativeSampleData</v>
      </c>
      <c r="O18" s="7" t="str">
        <f ca="1"/>
        <v>RepresentativeSampleData</v>
      </c>
      <c r="P18" s="7" t="str">
        <f ca="1"/>
        <v>RepresentativeSampleData</v>
      </c>
      <c r="Q18" s="7" t="str">
        <f ca="1"/>
        <v>RepresentativeSampleData</v>
      </c>
      <c r="T18" s="7" t="str">
        <f ca="1"/>
        <v>Z8</v>
      </c>
      <c r="U18" s="7" t="str">
        <f ca="1"/>
        <v>0xDC86</v>
      </c>
      <c r="V18" s="7" t="str">
        <f ca="1"/>
        <v>RepresentativeSampleData</v>
      </c>
      <c r="X18" s="8" t="s">
        <v>1070</v>
      </c>
      <c r="Y18" s="8" t="s">
        <v>1070</v>
      </c>
      <c r="Z18" s="8" t="s">
        <v>1070</v>
      </c>
      <c r="AA18" s="8" t="s">
        <v>1070</v>
      </c>
      <c r="AB18" s="7" t="s">
        <v>1070</v>
      </c>
      <c r="AC18" s="7" t="s">
        <v>1070</v>
      </c>
      <c r="AD18" s="7" t="s">
        <v>1070</v>
      </c>
      <c r="AE18" s="7" t="s">
        <v>1070</v>
      </c>
      <c r="AF18" s="7" t="s">
        <v>1070</v>
      </c>
      <c r="AG18" s="7" t="s">
        <v>1070</v>
      </c>
      <c r="AH18" s="7" t="s">
        <v>1070</v>
      </c>
      <c r="AI18" s="7" t="s">
        <v>1070</v>
      </c>
      <c r="AJ18" s="7" t="s">
        <v>1070</v>
      </c>
      <c r="AK18" s="7" t="s">
        <v>1070</v>
      </c>
    </row>
    <row r="19" spans="1:37" x14ac:dyDescent="0.25">
      <c r="A19" s="13" t="str">
        <f ca="1"/>
        <v>0xDC87</v>
      </c>
      <c r="B19" s="14" t="str">
        <f ca="1"/>
        <v>Width</v>
      </c>
      <c r="D19" s="8" t="str">
        <f ca="1"/>
        <v>Width</v>
      </c>
      <c r="E19" s="8" t="str">
        <f ca="1"/>
        <v>Width</v>
      </c>
      <c r="F19" s="8" t="str">
        <f ca="1"/>
        <v>Width</v>
      </c>
      <c r="G19" s="8" t="str">
        <f ca="1"/>
        <v>Width</v>
      </c>
      <c r="H19" s="7" t="str">
        <f ca="1"/>
        <v>Width</v>
      </c>
      <c r="I19" s="7" t="str">
        <f ca="1"/>
        <v>Width</v>
      </c>
      <c r="J19" s="7" t="str">
        <f ca="1"/>
        <v>Width</v>
      </c>
      <c r="K19" s="7" t="str">
        <f ca="1"/>
        <v>Width</v>
      </c>
      <c r="L19" s="7" t="str">
        <f ca="1"/>
        <v>Width</v>
      </c>
      <c r="M19" s="7" t="str">
        <f ca="1"/>
        <v>Width</v>
      </c>
      <c r="N19" s="7" t="str">
        <f ca="1"/>
        <v>Width</v>
      </c>
      <c r="O19" s="7" t="str">
        <f ca="1"/>
        <v>Width</v>
      </c>
      <c r="P19" s="7" t="str">
        <f ca="1"/>
        <v>Width</v>
      </c>
      <c r="Q19" s="7" t="str">
        <f ca="1"/>
        <v>Width</v>
      </c>
      <c r="T19" s="7" t="str">
        <f ca="1"/>
        <v>Z8</v>
      </c>
      <c r="U19" s="7" t="str">
        <f ca="1"/>
        <v>0xDC87</v>
      </c>
      <c r="V19" s="7" t="str">
        <f ca="1"/>
        <v>Width</v>
      </c>
      <c r="X19" s="8" t="s">
        <v>1071</v>
      </c>
      <c r="Y19" s="8" t="s">
        <v>1071</v>
      </c>
      <c r="Z19" s="8" t="s">
        <v>1071</v>
      </c>
      <c r="AA19" s="8" t="s">
        <v>1071</v>
      </c>
      <c r="AB19" s="7" t="s">
        <v>1071</v>
      </c>
      <c r="AC19" s="7" t="s">
        <v>1071</v>
      </c>
      <c r="AD19" s="7" t="s">
        <v>1071</v>
      </c>
      <c r="AE19" s="7" t="s">
        <v>1071</v>
      </c>
      <c r="AF19" s="7" t="s">
        <v>1071</v>
      </c>
      <c r="AG19" s="7" t="s">
        <v>1071</v>
      </c>
      <c r="AH19" s="7" t="s">
        <v>1071</v>
      </c>
      <c r="AI19" s="7" t="s">
        <v>1073</v>
      </c>
      <c r="AJ19" s="7" t="s">
        <v>1073</v>
      </c>
      <c r="AK19" s="7" t="s">
        <v>1073</v>
      </c>
    </row>
    <row r="20" spans="1:37" x14ac:dyDescent="0.25">
      <c r="A20" s="13" t="str">
        <f ca="1"/>
        <v>0xDC88</v>
      </c>
      <c r="B20" s="14" t="str">
        <f ca="1"/>
        <v>Height</v>
      </c>
      <c r="D20" s="8" t="str">
        <f ca="1"/>
        <v>Height</v>
      </c>
      <c r="E20" s="8" t="str">
        <f ca="1"/>
        <v>Height</v>
      </c>
      <c r="F20" s="8" t="str">
        <f ca="1"/>
        <v>Height</v>
      </c>
      <c r="G20" s="8" t="str">
        <f ca="1"/>
        <v>Height</v>
      </c>
      <c r="H20" s="7" t="str">
        <f ca="1"/>
        <v>Height</v>
      </c>
      <c r="I20" s="7" t="str">
        <f ca="1"/>
        <v>Height</v>
      </c>
      <c r="J20" s="7" t="str">
        <f ca="1"/>
        <v>Height</v>
      </c>
      <c r="K20" s="7" t="str">
        <f ca="1"/>
        <v>Height</v>
      </c>
      <c r="L20" s="7" t="str">
        <f ca="1"/>
        <v>Height</v>
      </c>
      <c r="M20" s="7" t="str">
        <f ca="1"/>
        <v>Height</v>
      </c>
      <c r="N20" s="7" t="str">
        <f ca="1"/>
        <v>Height</v>
      </c>
      <c r="O20" s="7" t="str">
        <f ca="1"/>
        <v>Height</v>
      </c>
      <c r="P20" s="7" t="str">
        <f ca="1"/>
        <v>Height</v>
      </c>
      <c r="Q20" s="7" t="str">
        <f ca="1"/>
        <v>Height</v>
      </c>
      <c r="T20" s="7" t="str">
        <f ca="1"/>
        <v>Z8</v>
      </c>
      <c r="U20" s="7" t="str">
        <f ca="1"/>
        <v>0xDC88</v>
      </c>
      <c r="V20" s="7" t="str">
        <f ca="1"/>
        <v>Height</v>
      </c>
      <c r="X20" s="8" t="s">
        <v>1072</v>
      </c>
      <c r="Y20" s="8" t="s">
        <v>1072</v>
      </c>
      <c r="Z20" s="8" t="s">
        <v>1072</v>
      </c>
      <c r="AA20" s="8" t="s">
        <v>1072</v>
      </c>
      <c r="AB20" s="7" t="s">
        <v>1072</v>
      </c>
      <c r="AC20" s="7" t="s">
        <v>1072</v>
      </c>
      <c r="AD20" s="7" t="s">
        <v>1072</v>
      </c>
      <c r="AE20" s="7" t="s">
        <v>1072</v>
      </c>
      <c r="AF20" s="7" t="s">
        <v>1072</v>
      </c>
      <c r="AG20" s="7" t="s">
        <v>1072</v>
      </c>
      <c r="AH20" s="7" t="s">
        <v>1072</v>
      </c>
      <c r="AI20" s="7" t="s">
        <v>1074</v>
      </c>
      <c r="AJ20" s="7" t="s">
        <v>1074</v>
      </c>
      <c r="AK20" s="7" t="s">
        <v>1074</v>
      </c>
    </row>
    <row r="21" spans="1:37" x14ac:dyDescent="0.25">
      <c r="A21" s="13" t="str">
        <f ca="1"/>
        <v>0xDC89</v>
      </c>
      <c r="B21" s="14" t="str">
        <f ca="1"/>
        <v>Duration</v>
      </c>
      <c r="D21" s="8" t="str">
        <f ca="1"/>
        <v>Duration</v>
      </c>
      <c r="E21" s="8" t="str">
        <f ca="1"/>
        <v>Duration</v>
      </c>
      <c r="F21" s="8" t="str">
        <f ca="1"/>
        <v>Duration</v>
      </c>
      <c r="G21" s="8" t="str">
        <f ca="1"/>
        <v>Duration</v>
      </c>
      <c r="H21" s="7" t="str">
        <f ca="1"/>
        <v>Duration</v>
      </c>
      <c r="I21" s="7" t="str">
        <f ca="1"/>
        <v>Duration</v>
      </c>
      <c r="J21" s="7" t="str">
        <f ca="1"/>
        <v>Duration</v>
      </c>
      <c r="K21" s="7" t="str">
        <f ca="1"/>
        <v>Duration</v>
      </c>
      <c r="L21" s="7" t="str">
        <f ca="1"/>
        <v>Duration</v>
      </c>
      <c r="M21" s="7" t="str">
        <f ca="1"/>
        <v>Duration</v>
      </c>
      <c r="N21" s="7" t="str">
        <f ca="1"/>
        <v>Duration</v>
      </c>
      <c r="O21" s="7" t="str">
        <f ca="1"/>
        <v>Duration</v>
      </c>
      <c r="P21" s="7" t="str">
        <f ca="1"/>
        <v>Duration</v>
      </c>
      <c r="Q21" s="7" t="str">
        <f ca="1"/>
        <v>Duration</v>
      </c>
      <c r="T21" s="7" t="str">
        <f ca="1"/>
        <v>Z8</v>
      </c>
      <c r="U21" s="7" t="str">
        <f ca="1"/>
        <v>0xDC8A</v>
      </c>
      <c r="V21" s="7" t="str">
        <f ca="1"/>
        <v>Rating</v>
      </c>
      <c r="X21" s="8" t="s">
        <v>1073</v>
      </c>
      <c r="Y21" s="8" t="s">
        <v>1073</v>
      </c>
      <c r="Z21" s="8" t="s">
        <v>1073</v>
      </c>
      <c r="AA21" s="8" t="s">
        <v>1073</v>
      </c>
      <c r="AB21" s="7" t="s">
        <v>1073</v>
      </c>
      <c r="AC21" s="7" t="s">
        <v>1073</v>
      </c>
      <c r="AD21" s="7" t="s">
        <v>1073</v>
      </c>
      <c r="AE21" s="7" t="s">
        <v>1073</v>
      </c>
      <c r="AF21" s="7" t="s">
        <v>1073</v>
      </c>
      <c r="AG21" s="7" t="s">
        <v>1073</v>
      </c>
      <c r="AH21" s="7" t="s">
        <v>1073</v>
      </c>
      <c r="AI21" s="7" t="s">
        <v>1075</v>
      </c>
      <c r="AJ21" s="7" t="s">
        <v>1075</v>
      </c>
      <c r="AK21" s="7" t="s">
        <v>1075</v>
      </c>
    </row>
    <row r="22" spans="1:37" x14ac:dyDescent="0.25">
      <c r="A22" s="13" t="str">
        <f ca="1"/>
        <v>0xDC8A</v>
      </c>
      <c r="B22" s="14" t="str">
        <f ca="1"/>
        <v>Rating</v>
      </c>
      <c r="D22" s="8" t="str">
        <f ca="1"/>
        <v>Rating</v>
      </c>
      <c r="E22" s="8" t="str">
        <f ca="1"/>
        <v>Rating</v>
      </c>
      <c r="F22" s="8" t="str">
        <f ca="1"/>
        <v>Rating</v>
      </c>
      <c r="G22" s="8" t="str">
        <f ca="1"/>
        <v>Rating</v>
      </c>
      <c r="H22" s="7" t="str">
        <f ca="1"/>
        <v>Rating</v>
      </c>
      <c r="I22" s="7" t="str">
        <f ca="1"/>
        <v>Rating</v>
      </c>
      <c r="J22" s="7" t="str">
        <f ca="1"/>
        <v>Rating</v>
      </c>
      <c r="K22" s="7" t="str">
        <f ca="1"/>
        <v>Rating</v>
      </c>
      <c r="L22" s="7" t="str">
        <f ca="1"/>
        <v>Rating</v>
      </c>
      <c r="M22" s="7" t="str">
        <f ca="1"/>
        <v>Rating</v>
      </c>
      <c r="N22" s="7" t="str">
        <f ca="1"/>
        <v/>
      </c>
      <c r="O22" s="7" t="str">
        <f ca="1"/>
        <v/>
      </c>
      <c r="P22" s="7" t="str">
        <f ca="1"/>
        <v/>
      </c>
      <c r="Q22" s="7" t="str">
        <f ca="1"/>
        <v/>
      </c>
      <c r="T22" s="7" t="str">
        <f ca="1"/>
        <v>Z8</v>
      </c>
      <c r="U22" s="7" t="str">
        <f ca="1"/>
        <v>0xDCD3</v>
      </c>
      <c r="V22" s="7" t="str">
        <f ca="1"/>
        <v>ImageBitDepth</v>
      </c>
      <c r="X22" s="8" t="s">
        <v>1074</v>
      </c>
      <c r="Y22" s="8" t="s">
        <v>1074</v>
      </c>
      <c r="Z22" s="8" t="s">
        <v>1074</v>
      </c>
      <c r="AA22" s="8" t="s">
        <v>1074</v>
      </c>
      <c r="AB22" s="7" t="s">
        <v>1074</v>
      </c>
      <c r="AC22" s="7" t="s">
        <v>1074</v>
      </c>
      <c r="AD22" s="7" t="s">
        <v>1074</v>
      </c>
      <c r="AE22" s="7" t="s">
        <v>1074</v>
      </c>
      <c r="AF22" s="7" t="s">
        <v>1074</v>
      </c>
      <c r="AG22" s="7" t="s">
        <v>1074</v>
      </c>
      <c r="AH22" s="7" t="s">
        <v>1074</v>
      </c>
      <c r="AI22" s="7" t="s">
        <v>1076</v>
      </c>
      <c r="AJ22" s="7" t="s">
        <v>1076</v>
      </c>
      <c r="AK22" s="7" t="s">
        <v>1076</v>
      </c>
    </row>
    <row r="23" spans="1:37" x14ac:dyDescent="0.25">
      <c r="A23" s="13" t="str">
        <f ca="1"/>
        <v>0xDCD3</v>
      </c>
      <c r="B23" s="14" t="str">
        <f ca="1"/>
        <v>ImageBitDepth</v>
      </c>
      <c r="D23" s="8" t="str">
        <f ca="1"/>
        <v>ImageBitDepth</v>
      </c>
      <c r="E23" s="8" t="str">
        <f ca="1"/>
        <v>ImageBitDepth</v>
      </c>
      <c r="F23" s="8" t="str">
        <f ca="1"/>
        <v>ImageBitDepth</v>
      </c>
      <c r="G23" s="8" t="str">
        <f ca="1"/>
        <v>ImageBitDepth</v>
      </c>
      <c r="H23" s="7" t="str">
        <f ca="1"/>
        <v>ImageBitDepth</v>
      </c>
      <c r="I23" s="7" t="str">
        <f ca="1"/>
        <v>ImageBitDepth</v>
      </c>
      <c r="J23" s="7" t="str">
        <f ca="1"/>
        <v>ImageBitDepth</v>
      </c>
      <c r="K23" s="7" t="str">
        <f ca="1"/>
        <v>ImageBitDepth</v>
      </c>
      <c r="L23" s="7" t="str">
        <f ca="1"/>
        <v>ImageBitDepth</v>
      </c>
      <c r="M23" s="7" t="str">
        <f ca="1"/>
        <v>ImageBitDepth</v>
      </c>
      <c r="N23" s="7" t="str">
        <f ca="1"/>
        <v>ImageBitDepth</v>
      </c>
      <c r="O23" s="7" t="str">
        <f ca="1"/>
        <v>ImageBitDepth</v>
      </c>
      <c r="P23" s="7" t="str">
        <f ca="1"/>
        <v>ImageBitDepth</v>
      </c>
      <c r="Q23" s="7" t="str">
        <f ca="1"/>
        <v>ImageBitDepth</v>
      </c>
      <c r="T23" s="7" t="str">
        <f ca="1"/>
        <v>Z8</v>
      </c>
      <c r="U23" s="7" t="str">
        <f ca="1"/>
        <v>0xDC89</v>
      </c>
      <c r="V23" s="7" t="str">
        <f ca="1"/>
        <v>Duration</v>
      </c>
      <c r="X23" s="8" t="s">
        <v>1075</v>
      </c>
      <c r="Y23" s="8" t="s">
        <v>1075</v>
      </c>
      <c r="Z23" s="8" t="s">
        <v>1075</v>
      </c>
      <c r="AA23" s="8" t="s">
        <v>1075</v>
      </c>
      <c r="AB23" s="7" t="s">
        <v>1075</v>
      </c>
      <c r="AC23" s="7" t="s">
        <v>1075</v>
      </c>
      <c r="AD23" s="7" t="s">
        <v>1075</v>
      </c>
      <c r="AE23" s="7" t="s">
        <v>1075</v>
      </c>
      <c r="AF23" s="7" t="s">
        <v>1075</v>
      </c>
      <c r="AG23" s="7" t="s">
        <v>1075</v>
      </c>
      <c r="AH23" s="7" t="s">
        <v>1075</v>
      </c>
      <c r="AI23" s="7" t="s">
        <v>1077</v>
      </c>
      <c r="AJ23" s="7" t="s">
        <v>1077</v>
      </c>
      <c r="AK23" s="7" t="s">
        <v>1077</v>
      </c>
    </row>
    <row r="24" spans="1:37" x14ac:dyDescent="0.25">
      <c r="A24" s="13" t="str">
        <f ca="1"/>
        <v>0xDE93</v>
      </c>
      <c r="B24" s="14" t="str">
        <f ca="1"/>
        <v>SampleRate</v>
      </c>
      <c r="D24" s="8" t="str">
        <f ca="1"/>
        <v>SampleRate</v>
      </c>
      <c r="E24" s="8" t="str">
        <f ca="1"/>
        <v>SampleRate</v>
      </c>
      <c r="F24" s="8" t="str">
        <f ca="1"/>
        <v>SampleRate</v>
      </c>
      <c r="G24" s="8" t="str">
        <f ca="1"/>
        <v>SampleRate</v>
      </c>
      <c r="H24" s="7" t="str">
        <f ca="1"/>
        <v>SampleRate</v>
      </c>
      <c r="I24" s="7" t="str">
        <f ca="1"/>
        <v>SampleRate</v>
      </c>
      <c r="J24" s="7" t="str">
        <f ca="1"/>
        <v>SampleRate</v>
      </c>
      <c r="K24" s="7" t="str">
        <f ca="1"/>
        <v>SampleRate</v>
      </c>
      <c r="L24" s="7" t="str">
        <f ca="1"/>
        <v>SampleRate</v>
      </c>
      <c r="M24" s="7" t="str">
        <f ca="1"/>
        <v>SampleRate</v>
      </c>
      <c r="N24" s="7" t="str">
        <f ca="1"/>
        <v>SampleRate</v>
      </c>
      <c r="O24" s="7" t="str">
        <f ca="1"/>
        <v>SampleRate</v>
      </c>
      <c r="P24" s="7" t="str">
        <f ca="1"/>
        <v>SampleRate</v>
      </c>
      <c r="Q24" s="7" t="str">
        <f ca="1"/>
        <v>SampleRate</v>
      </c>
      <c r="T24" s="7" t="str">
        <f ca="1"/>
        <v>Z8</v>
      </c>
      <c r="U24" s="7" t="str">
        <f ca="1"/>
        <v>0xDE93</v>
      </c>
      <c r="V24" s="7" t="str">
        <f ca="1"/>
        <v>SampleRate</v>
      </c>
      <c r="X24" s="8" t="s">
        <v>1076</v>
      </c>
      <c r="Y24" s="8" t="s">
        <v>1076</v>
      </c>
      <c r="Z24" s="8" t="s">
        <v>1076</v>
      </c>
      <c r="AA24" s="8" t="s">
        <v>1076</v>
      </c>
      <c r="AB24" s="7" t="s">
        <v>1076</v>
      </c>
      <c r="AC24" s="7" t="s">
        <v>1076</v>
      </c>
      <c r="AD24" s="7" t="s">
        <v>1076</v>
      </c>
      <c r="AE24" s="7" t="s">
        <v>1076</v>
      </c>
      <c r="AF24" s="7" t="s">
        <v>1076</v>
      </c>
      <c r="AG24" s="7" t="s">
        <v>1076</v>
      </c>
      <c r="AH24" s="7" t="s">
        <v>1076</v>
      </c>
      <c r="AI24" s="7" t="s">
        <v>1078</v>
      </c>
      <c r="AJ24" s="7" t="s">
        <v>1078</v>
      </c>
      <c r="AK24" s="7" t="s">
        <v>1078</v>
      </c>
    </row>
    <row r="25" spans="1:37" x14ac:dyDescent="0.25">
      <c r="A25" s="13" t="str">
        <f ca="1"/>
        <v>0xDE94</v>
      </c>
      <c r="B25" s="14" t="str">
        <f ca="1"/>
        <v>NumberOfChannels</v>
      </c>
      <c r="D25" s="8" t="str">
        <f ca="1"/>
        <v>NumberOfChannels</v>
      </c>
      <c r="E25" s="8" t="str">
        <f ca="1"/>
        <v>NumberOfChannels</v>
      </c>
      <c r="F25" s="8" t="str">
        <f ca="1"/>
        <v>NumberOfChannels</v>
      </c>
      <c r="G25" s="8" t="str">
        <f ca="1"/>
        <v>NumberOfChannels</v>
      </c>
      <c r="H25" s="7" t="str">
        <f ca="1"/>
        <v>NumberOfChannels</v>
      </c>
      <c r="I25" s="7" t="str">
        <f ca="1"/>
        <v>NumberOfChannels</v>
      </c>
      <c r="J25" s="7" t="str">
        <f ca="1"/>
        <v>NumberOfChannels</v>
      </c>
      <c r="K25" s="7" t="str">
        <f ca="1"/>
        <v>NumberOfChannels</v>
      </c>
      <c r="L25" s="7" t="str">
        <f ca="1"/>
        <v>NumberOfChannels</v>
      </c>
      <c r="M25" s="7" t="str">
        <f ca="1"/>
        <v>NumberOfChannels</v>
      </c>
      <c r="N25" s="7" t="str">
        <f ca="1"/>
        <v>NumberOfChannels</v>
      </c>
      <c r="O25" s="7" t="str">
        <f ca="1"/>
        <v>NumberOfChannels</v>
      </c>
      <c r="P25" s="7" t="str">
        <f ca="1"/>
        <v>NumberOfChannels</v>
      </c>
      <c r="Q25" s="7" t="str">
        <f ca="1"/>
        <v>NumberOfChannels</v>
      </c>
      <c r="T25" s="7" t="str">
        <f ca="1"/>
        <v>Z8</v>
      </c>
      <c r="U25" s="7" t="str">
        <f ca="1"/>
        <v>0xDE94</v>
      </c>
      <c r="V25" s="7" t="str">
        <f ca="1"/>
        <v>NumberOfChannels</v>
      </c>
      <c r="X25" s="8" t="s">
        <v>1077</v>
      </c>
      <c r="Y25" s="8" t="s">
        <v>1077</v>
      </c>
      <c r="Z25" s="8" t="s">
        <v>1077</v>
      </c>
      <c r="AA25" s="8" t="s">
        <v>1077</v>
      </c>
      <c r="AB25" s="7" t="s">
        <v>1077</v>
      </c>
      <c r="AC25" s="7" t="s">
        <v>1077</v>
      </c>
      <c r="AD25" s="7" t="s">
        <v>1077</v>
      </c>
      <c r="AE25" s="7" t="s">
        <v>1077</v>
      </c>
      <c r="AF25" s="7" t="s">
        <v>1077</v>
      </c>
      <c r="AG25" s="7" t="s">
        <v>1077</v>
      </c>
      <c r="AH25" s="7" t="s">
        <v>1077</v>
      </c>
      <c r="AI25" s="7" t="s">
        <v>1079</v>
      </c>
      <c r="AJ25" s="7" t="s">
        <v>1079</v>
      </c>
      <c r="AK25" s="7" t="s">
        <v>1079</v>
      </c>
    </row>
    <row r="26" spans="1:37" x14ac:dyDescent="0.25">
      <c r="A26" s="13" t="str">
        <f ca="1"/>
        <v>0xDE97</v>
      </c>
      <c r="B26" s="14" t="str">
        <f ca="1"/>
        <v>ScanType</v>
      </c>
      <c r="D26" s="8" t="str">
        <f ca="1"/>
        <v>ScanType</v>
      </c>
      <c r="E26" s="8" t="str">
        <f ca="1"/>
        <v>ScanType</v>
      </c>
      <c r="F26" s="8" t="str">
        <f ca="1"/>
        <v>ScanType</v>
      </c>
      <c r="G26" s="8" t="str">
        <f ca="1"/>
        <v>ScanType</v>
      </c>
      <c r="H26" s="7" t="str">
        <f ca="1"/>
        <v>ScanType</v>
      </c>
      <c r="I26" s="7" t="str">
        <f ca="1"/>
        <v>ScanType</v>
      </c>
      <c r="J26" s="7" t="str">
        <f ca="1"/>
        <v>ScanType</v>
      </c>
      <c r="K26" s="7" t="str">
        <f ca="1"/>
        <v>ScanType</v>
      </c>
      <c r="L26" s="7" t="str">
        <f ca="1"/>
        <v>ScanType</v>
      </c>
      <c r="M26" s="7" t="str">
        <f ca="1"/>
        <v>ScanType</v>
      </c>
      <c r="N26" s="7" t="str">
        <f ca="1"/>
        <v>ScanType</v>
      </c>
      <c r="O26" s="7" t="str">
        <f ca="1"/>
        <v>ScanType</v>
      </c>
      <c r="P26" s="7" t="str">
        <f ca="1"/>
        <v/>
      </c>
      <c r="Q26" s="7" t="str">
        <f ca="1"/>
        <v/>
      </c>
      <c r="T26" s="7" t="str">
        <f ca="1"/>
        <v>Z8</v>
      </c>
      <c r="U26" s="7" t="str">
        <f ca="1"/>
        <v>0xDE97</v>
      </c>
      <c r="V26" s="7" t="str">
        <f ca="1"/>
        <v>ScanType</v>
      </c>
      <c r="X26" s="8" t="s">
        <v>1078</v>
      </c>
      <c r="Y26" s="8" t="s">
        <v>1078</v>
      </c>
      <c r="Z26" s="8" t="s">
        <v>1078</v>
      </c>
      <c r="AA26" s="8" t="s">
        <v>1078</v>
      </c>
      <c r="AB26" s="7" t="s">
        <v>1078</v>
      </c>
      <c r="AC26" s="7" t="s">
        <v>1078</v>
      </c>
      <c r="AD26" s="7" t="s">
        <v>1078</v>
      </c>
      <c r="AE26" s="7" t="s">
        <v>1078</v>
      </c>
      <c r="AF26" s="7" t="s">
        <v>1078</v>
      </c>
      <c r="AG26" s="7" t="s">
        <v>1078</v>
      </c>
      <c r="AH26" s="7" t="s">
        <v>1078</v>
      </c>
      <c r="AI26" s="7" t="s">
        <v>1080</v>
      </c>
      <c r="AJ26" s="7" t="s">
        <v>1080</v>
      </c>
      <c r="AK26" s="7" t="s">
        <v>1080</v>
      </c>
    </row>
    <row r="27" spans="1:37" x14ac:dyDescent="0.25">
      <c r="A27" s="13" t="str">
        <f ca="1"/>
        <v>0xDE9A</v>
      </c>
      <c r="B27" s="14" t="str">
        <f ca="1"/>
        <v>AudioBitRate</v>
      </c>
      <c r="D27" s="8" t="str">
        <f ca="1"/>
        <v>AudioBitRate</v>
      </c>
      <c r="E27" s="8" t="str">
        <f ca="1"/>
        <v>AudioBitRate</v>
      </c>
      <c r="F27" s="8" t="str">
        <f ca="1"/>
        <v>AudioBitRate</v>
      </c>
      <c r="G27" s="8" t="str">
        <f ca="1"/>
        <v>AudioBitRate</v>
      </c>
      <c r="H27" s="7" t="str">
        <f ca="1"/>
        <v>AudioBitRate</v>
      </c>
      <c r="I27" s="7" t="str">
        <f ca="1"/>
        <v>AudioBitRate</v>
      </c>
      <c r="J27" s="7" t="str">
        <f ca="1"/>
        <v>AudioBitRate</v>
      </c>
      <c r="K27" s="7" t="str">
        <f ca="1"/>
        <v>AudioBitRate</v>
      </c>
      <c r="L27" s="7" t="str">
        <f ca="1"/>
        <v>AudioBitRate</v>
      </c>
      <c r="M27" s="7" t="str">
        <f ca="1"/>
        <v>AudioBitRate</v>
      </c>
      <c r="N27" s="7" t="str">
        <f ca="1"/>
        <v>AudioBitRate</v>
      </c>
      <c r="O27" s="7" t="str">
        <f ca="1"/>
        <v>AudioBitRate</v>
      </c>
      <c r="P27" s="7" t="str">
        <f ca="1"/>
        <v>AudioBitRate</v>
      </c>
      <c r="Q27" s="7" t="str">
        <f ca="1"/>
        <v>AudioBitRate</v>
      </c>
      <c r="T27" s="7" t="str">
        <f ca="1"/>
        <v>Z8</v>
      </c>
      <c r="U27" s="7" t="str">
        <f ca="1"/>
        <v>0xDE9A</v>
      </c>
      <c r="V27" s="7" t="str">
        <f ca="1"/>
        <v>AudioBitRate</v>
      </c>
      <c r="X27" s="8" t="s">
        <v>1079</v>
      </c>
      <c r="Y27" s="8" t="s">
        <v>1079</v>
      </c>
      <c r="Z27" s="8" t="s">
        <v>1079</v>
      </c>
      <c r="AA27" s="8" t="s">
        <v>1079</v>
      </c>
      <c r="AB27" s="7" t="s">
        <v>1079</v>
      </c>
      <c r="AC27" s="7" t="s">
        <v>1079</v>
      </c>
      <c r="AD27" s="7" t="s">
        <v>1079</v>
      </c>
      <c r="AE27" s="7" t="s">
        <v>1079</v>
      </c>
      <c r="AF27" s="7" t="s">
        <v>1079</v>
      </c>
      <c r="AG27" s="7" t="s">
        <v>1079</v>
      </c>
      <c r="AH27" s="7" t="s">
        <v>1079</v>
      </c>
      <c r="AI27" s="7" t="s">
        <v>1081</v>
      </c>
      <c r="AJ27" s="7" t="s">
        <v>1081</v>
      </c>
      <c r="AK27" s="7" t="s">
        <v>1081</v>
      </c>
    </row>
    <row r="28" spans="1:37" x14ac:dyDescent="0.25">
      <c r="A28" s="13" t="str">
        <f ca="1"/>
        <v>0xDE9B</v>
      </c>
      <c r="B28" s="14" t="str">
        <f ca="1"/>
        <v>VideoFourCCCode</v>
      </c>
      <c r="D28" s="8" t="str">
        <f ca="1"/>
        <v>VideoFourCCCode</v>
      </c>
      <c r="E28" s="8" t="str">
        <f ca="1"/>
        <v>VideoFourCCCode</v>
      </c>
      <c r="F28" s="8" t="str">
        <f ca="1"/>
        <v>VideoFourCCCode</v>
      </c>
      <c r="G28" s="8" t="str">
        <f ca="1"/>
        <v>VideoFourCCCode</v>
      </c>
      <c r="H28" s="7" t="str">
        <f ca="1"/>
        <v>VideoFourCCCode</v>
      </c>
      <c r="I28" s="7" t="str">
        <f ca="1"/>
        <v>VideoFourCCCode</v>
      </c>
      <c r="J28" s="7" t="str">
        <f ca="1"/>
        <v>VideoFourCCCode</v>
      </c>
      <c r="K28" s="7" t="str">
        <f ca="1"/>
        <v>VideoFourCCCode</v>
      </c>
      <c r="L28" s="7" t="str">
        <f ca="1"/>
        <v>VideoFourCCCode</v>
      </c>
      <c r="M28" s="7" t="str">
        <f ca="1"/>
        <v>VideoFourCCCode</v>
      </c>
      <c r="N28" s="7" t="str">
        <f ca="1"/>
        <v>VideoFourCCCode</v>
      </c>
      <c r="O28" s="7" t="str">
        <f ca="1"/>
        <v>VideoFourCCCode</v>
      </c>
      <c r="P28" s="7" t="str">
        <f ca="1"/>
        <v/>
      </c>
      <c r="Q28" s="7" t="str">
        <f ca="1"/>
        <v/>
      </c>
      <c r="T28" s="7" t="str">
        <f ca="1"/>
        <v>Z8</v>
      </c>
      <c r="U28" s="7" t="str">
        <f ca="1"/>
        <v>0xDE9B</v>
      </c>
      <c r="V28" s="7" t="str">
        <f ca="1"/>
        <v>VideoFourCCCode</v>
      </c>
      <c r="X28" s="8" t="s">
        <v>1080</v>
      </c>
      <c r="Y28" s="8" t="s">
        <v>1080</v>
      </c>
      <c r="Z28" s="8" t="s">
        <v>1080</v>
      </c>
      <c r="AA28" s="8" t="s">
        <v>1080</v>
      </c>
      <c r="AB28" s="7" t="s">
        <v>1080</v>
      </c>
      <c r="AC28" s="7" t="s">
        <v>1080</v>
      </c>
      <c r="AD28" s="7" t="s">
        <v>1080</v>
      </c>
      <c r="AE28" s="7" t="s">
        <v>1080</v>
      </c>
      <c r="AF28" s="7" t="s">
        <v>1080</v>
      </c>
      <c r="AG28" s="7" t="s">
        <v>1080</v>
      </c>
      <c r="AH28" s="7" t="s">
        <v>1080</v>
      </c>
      <c r="AI28" s="7" t="s">
        <v>1082</v>
      </c>
      <c r="AJ28" s="7" t="s">
        <v>1082</v>
      </c>
      <c r="AK28" s="7" t="s">
        <v>1082</v>
      </c>
    </row>
    <row r="29" spans="1:37" x14ac:dyDescent="0.25">
      <c r="A29" s="13" t="str">
        <f ca="1"/>
        <v>0xDE9C</v>
      </c>
      <c r="B29" s="14" t="str">
        <f ca="1"/>
        <v>VideoBitRate</v>
      </c>
      <c r="D29" s="8" t="str">
        <f ca="1"/>
        <v>VideoBitRate</v>
      </c>
      <c r="E29" s="8" t="str">
        <f ca="1"/>
        <v>VideoBitRate</v>
      </c>
      <c r="F29" s="8" t="str">
        <f ca="1"/>
        <v>VideoBitRate</v>
      </c>
      <c r="G29" s="8" t="str">
        <f ca="1"/>
        <v>VideoBitRate</v>
      </c>
      <c r="H29" s="7" t="str">
        <f ca="1"/>
        <v>VideoBitRate</v>
      </c>
      <c r="I29" s="7" t="str">
        <f ca="1"/>
        <v>VideoBitRate</v>
      </c>
      <c r="J29" s="7" t="str">
        <f ca="1"/>
        <v>VideoBitRate</v>
      </c>
      <c r="K29" s="7" t="str">
        <f ca="1"/>
        <v>VideoBitRate</v>
      </c>
      <c r="L29" s="7" t="str">
        <f ca="1"/>
        <v>VideoBitRate</v>
      </c>
      <c r="M29" s="7" t="str">
        <f ca="1"/>
        <v>VideoBitRate</v>
      </c>
      <c r="N29" s="7" t="str">
        <f ca="1"/>
        <v>VideoBitRate</v>
      </c>
      <c r="O29" s="7" t="str">
        <f ca="1"/>
        <v>VideoBitRate</v>
      </c>
      <c r="P29" s="7" t="str">
        <f ca="1"/>
        <v/>
      </c>
      <c r="Q29" s="7" t="str">
        <f ca="1"/>
        <v/>
      </c>
      <c r="T29" s="7" t="str">
        <f ca="1"/>
        <v>Z8</v>
      </c>
      <c r="U29" s="7" t="str">
        <f ca="1"/>
        <v>0xDE9C</v>
      </c>
      <c r="V29" s="7" t="str">
        <f ca="1"/>
        <v>VideoBitRate</v>
      </c>
      <c r="X29" s="8" t="s">
        <v>1081</v>
      </c>
      <c r="Y29" s="8" t="s">
        <v>1081</v>
      </c>
      <c r="Z29" s="8" t="s">
        <v>1081</v>
      </c>
      <c r="AA29" s="8" t="s">
        <v>1081</v>
      </c>
      <c r="AB29" s="7" t="s">
        <v>1081</v>
      </c>
      <c r="AC29" s="7" t="s">
        <v>1081</v>
      </c>
      <c r="AD29" s="7" t="s">
        <v>1081</v>
      </c>
      <c r="AE29" s="7" t="s">
        <v>1081</v>
      </c>
      <c r="AF29" s="7" t="s">
        <v>1081</v>
      </c>
      <c r="AG29" s="7" t="s">
        <v>1081</v>
      </c>
      <c r="AH29" s="7" t="s">
        <v>1081</v>
      </c>
      <c r="AI29" s="7" t="s">
        <v>1083</v>
      </c>
      <c r="AJ29" s="7" t="s">
        <v>1083</v>
      </c>
      <c r="AK29" s="7" t="s">
        <v>1083</v>
      </c>
    </row>
    <row r="30" spans="1:37" x14ac:dyDescent="0.25">
      <c r="A30" s="13" t="str">
        <f ca="1"/>
        <v>0xDE9D</v>
      </c>
      <c r="B30" s="14" t="str">
        <f ca="1"/>
        <v>FramesPerThousandSeconds</v>
      </c>
      <c r="D30" s="8" t="str">
        <f ca="1"/>
        <v>FramesPerThousandSeconds</v>
      </c>
      <c r="E30" s="8" t="str">
        <f ca="1"/>
        <v>FramesPerThousandSeconds</v>
      </c>
      <c r="F30" s="8" t="str">
        <f ca="1"/>
        <v/>
      </c>
      <c r="G30" s="8" t="str">
        <f ca="1"/>
        <v/>
      </c>
      <c r="H30" s="7" t="str">
        <f ca="1"/>
        <v/>
      </c>
      <c r="I30" s="7" t="str">
        <f ca="1"/>
        <v/>
      </c>
      <c r="J30" s="7" t="str">
        <f ca="1"/>
        <v/>
      </c>
      <c r="K30" s="7" t="str">
        <f ca="1"/>
        <v/>
      </c>
      <c r="L30" s="7" t="str">
        <f ca="1"/>
        <v/>
      </c>
      <c r="M30" s="7" t="str">
        <f ca="1"/>
        <v/>
      </c>
      <c r="N30" s="7" t="str">
        <f ca="1"/>
        <v/>
      </c>
      <c r="O30" s="7" t="str">
        <f ca="1"/>
        <v/>
      </c>
      <c r="P30" s="7" t="str">
        <f ca="1"/>
        <v/>
      </c>
      <c r="Q30" s="7" t="str">
        <f ca="1"/>
        <v/>
      </c>
      <c r="T30" s="7" t="str">
        <f ca="1"/>
        <v>Z8</v>
      </c>
      <c r="U30" s="7" t="str">
        <f ca="1"/>
        <v>0xDE9D</v>
      </c>
      <c r="V30" s="7" t="str">
        <f ca="1"/>
        <v>FramesPerThousandSeconds</v>
      </c>
      <c r="X30" s="8" t="s">
        <v>1082</v>
      </c>
      <c r="Y30" s="8" t="s">
        <v>1082</v>
      </c>
      <c r="Z30" s="8" t="s">
        <v>1082</v>
      </c>
      <c r="AA30" s="8" t="s">
        <v>1082</v>
      </c>
      <c r="AB30" s="7" t="s">
        <v>1082</v>
      </c>
      <c r="AC30" s="7" t="s">
        <v>1082</v>
      </c>
      <c r="AD30" s="7" t="s">
        <v>1082</v>
      </c>
      <c r="AE30" s="7" t="s">
        <v>1082</v>
      </c>
      <c r="AF30" s="7" t="s">
        <v>1082</v>
      </c>
      <c r="AG30" s="7" t="s">
        <v>1082</v>
      </c>
      <c r="AH30" s="7" t="s">
        <v>1082</v>
      </c>
      <c r="AI30" s="7" t="s">
        <v>1084</v>
      </c>
      <c r="AJ30" s="7" t="s">
        <v>1084</v>
      </c>
      <c r="AK30" s="7" t="s">
        <v>1084</v>
      </c>
    </row>
    <row r="31" spans="1:37" x14ac:dyDescent="0.25">
      <c r="T31" s="7" t="str">
        <f ca="1"/>
        <v>Z9</v>
      </c>
      <c r="U31" s="7" t="str">
        <f ca="1"/>
        <v>0xDC01</v>
      </c>
      <c r="V31" s="7" t="str">
        <f ca="1"/>
        <v>StorageID</v>
      </c>
      <c r="X31" s="8" t="s">
        <v>1083</v>
      </c>
      <c r="Y31" s="8" t="s">
        <v>1083</v>
      </c>
      <c r="Z31" s="8" t="s">
        <v>1083</v>
      </c>
      <c r="AA31" s="8" t="s">
        <v>1083</v>
      </c>
      <c r="AB31" s="7" t="s">
        <v>1083</v>
      </c>
      <c r="AC31" s="7" t="s">
        <v>1083</v>
      </c>
      <c r="AD31" s="7" t="s">
        <v>1083</v>
      </c>
      <c r="AE31" s="7" t="s">
        <v>1083</v>
      </c>
      <c r="AF31" s="7" t="s">
        <v>1083</v>
      </c>
      <c r="AG31" s="7" t="s">
        <v>1083</v>
      </c>
      <c r="AH31" s="7" t="s">
        <v>1083</v>
      </c>
      <c r="AI31" s="7" t="s">
        <v>1085</v>
      </c>
      <c r="AJ31" s="7" t="s">
        <v>1085</v>
      </c>
      <c r="AK31" s="7" t="s">
        <v>1085</v>
      </c>
    </row>
    <row r="32" spans="1:37" x14ac:dyDescent="0.25">
      <c r="T32" s="7" t="str">
        <f ca="1"/>
        <v>Z9</v>
      </c>
      <c r="U32" s="7" t="str">
        <f ca="1"/>
        <v>0xDC02</v>
      </c>
      <c r="V32" s="7" t="str">
        <f ca="1"/>
        <v>ObjectFormat</v>
      </c>
      <c r="X32" s="8" t="s">
        <v>1084</v>
      </c>
      <c r="Y32" s="8" t="s">
        <v>1084</v>
      </c>
      <c r="Z32" s="8" t="s">
        <v>1084</v>
      </c>
      <c r="AA32" s="8" t="s">
        <v>1084</v>
      </c>
      <c r="AB32" s="7" t="s">
        <v>1084</v>
      </c>
      <c r="AC32" s="7" t="s">
        <v>1084</v>
      </c>
      <c r="AD32" s="7" t="s">
        <v>1084</v>
      </c>
      <c r="AE32" s="7" t="s">
        <v>1084</v>
      </c>
      <c r="AF32" s="7" t="s">
        <v>1084</v>
      </c>
      <c r="AG32" s="7" t="s">
        <v>1084</v>
      </c>
      <c r="AH32" s="7" t="s">
        <v>1084</v>
      </c>
      <c r="AI32" s="7" t="s">
        <v>1086</v>
      </c>
      <c r="AJ32" s="7" t="s">
        <v>1086</v>
      </c>
      <c r="AK32" s="7" t="s">
        <v>1086</v>
      </c>
    </row>
    <row r="33" spans="20:37" x14ac:dyDescent="0.25">
      <c r="T33" s="7" t="str">
        <f ca="1"/>
        <v>Z9</v>
      </c>
      <c r="U33" s="7" t="str">
        <f ca="1"/>
        <v>0xDC03</v>
      </c>
      <c r="V33" s="7" t="str">
        <f ca="1"/>
        <v>ProtectionStatus</v>
      </c>
      <c r="X33" s="8" t="s">
        <v>1085</v>
      </c>
      <c r="Y33" s="8" t="s">
        <v>1085</v>
      </c>
      <c r="Z33" s="8" t="s">
        <v>1085</v>
      </c>
      <c r="AA33" s="8" t="s">
        <v>1085</v>
      </c>
      <c r="AB33" s="7" t="s">
        <v>1085</v>
      </c>
      <c r="AC33" s="7" t="s">
        <v>1085</v>
      </c>
      <c r="AD33" s="7" t="s">
        <v>1085</v>
      </c>
      <c r="AE33" s="7" t="s">
        <v>1085</v>
      </c>
      <c r="AF33" s="7" t="s">
        <v>1085</v>
      </c>
      <c r="AG33" s="7" t="s">
        <v>1085</v>
      </c>
      <c r="AH33" s="7" t="s">
        <v>1085</v>
      </c>
      <c r="AI33" s="7" t="s">
        <v>1087</v>
      </c>
      <c r="AJ33" s="7" t="s">
        <v>1087</v>
      </c>
      <c r="AK33" s="7" t="s">
        <v>1087</v>
      </c>
    </row>
    <row r="34" spans="20:37" x14ac:dyDescent="0.25">
      <c r="T34" s="7" t="str">
        <f ca="1"/>
        <v>Z9</v>
      </c>
      <c r="U34" s="7" t="str">
        <f ca="1"/>
        <v>0xDC04</v>
      </c>
      <c r="V34" s="7" t="str">
        <f ca="1"/>
        <v>ObjectSize</v>
      </c>
      <c r="X34" s="8" t="s">
        <v>1086</v>
      </c>
      <c r="Y34" s="8" t="s">
        <v>1086</v>
      </c>
      <c r="Z34" s="8" t="s">
        <v>1086</v>
      </c>
      <c r="AA34" s="8" t="s">
        <v>1086</v>
      </c>
      <c r="AB34" s="7" t="s">
        <v>1086</v>
      </c>
      <c r="AC34" s="7" t="s">
        <v>1086</v>
      </c>
      <c r="AD34" s="7" t="s">
        <v>1086</v>
      </c>
      <c r="AE34" s="7" t="s">
        <v>1086</v>
      </c>
      <c r="AF34" s="7" t="s">
        <v>1086</v>
      </c>
      <c r="AG34" s="7" t="s">
        <v>1086</v>
      </c>
      <c r="AH34" s="7" t="s">
        <v>1086</v>
      </c>
      <c r="AI34" s="7" t="s">
        <v>1088</v>
      </c>
      <c r="AJ34" s="7" t="s">
        <v>1088</v>
      </c>
      <c r="AK34" s="7" t="s">
        <v>1088</v>
      </c>
    </row>
    <row r="35" spans="20:37" x14ac:dyDescent="0.25">
      <c r="T35" s="7" t="str">
        <f ca="1"/>
        <v>Z9</v>
      </c>
      <c r="U35" s="7" t="str">
        <f ca="1"/>
        <v>0xDC07</v>
      </c>
      <c r="V35" s="7" t="str">
        <f ca="1"/>
        <v>ObjectFilename</v>
      </c>
      <c r="X35" s="8" t="s">
        <v>1087</v>
      </c>
      <c r="Y35" s="8" t="s">
        <v>1087</v>
      </c>
      <c r="Z35" s="8" t="s">
        <v>1087</v>
      </c>
      <c r="AA35" s="8" t="s">
        <v>1087</v>
      </c>
      <c r="AB35" s="7" t="s">
        <v>1087</v>
      </c>
      <c r="AC35" s="7" t="s">
        <v>1087</v>
      </c>
      <c r="AD35" s="7" t="s">
        <v>1087</v>
      </c>
      <c r="AE35" s="7" t="s">
        <v>1087</v>
      </c>
      <c r="AF35" s="7" t="s">
        <v>1087</v>
      </c>
      <c r="AG35" s="7" t="s">
        <v>1087</v>
      </c>
      <c r="AH35" s="7" t="s">
        <v>1087</v>
      </c>
      <c r="AI35" s="7" t="s">
        <v>1089</v>
      </c>
      <c r="AJ35" s="7" t="s">
        <v>1089</v>
      </c>
      <c r="AK35" s="7" t="s">
        <v>1089</v>
      </c>
    </row>
    <row r="36" spans="20:37" x14ac:dyDescent="0.25">
      <c r="T36" s="7" t="str">
        <f ca="1"/>
        <v>Z9</v>
      </c>
      <c r="U36" s="7" t="str">
        <f ca="1"/>
        <v>0xDC08</v>
      </c>
      <c r="V36" s="7" t="str">
        <f ca="1"/>
        <v>DateCreated</v>
      </c>
      <c r="X36" s="8" t="s">
        <v>1088</v>
      </c>
      <c r="Y36" s="8" t="s">
        <v>1088</v>
      </c>
      <c r="Z36" s="8" t="s">
        <v>1088</v>
      </c>
      <c r="AA36" s="8" t="s">
        <v>1088</v>
      </c>
      <c r="AB36" s="7" t="s">
        <v>1088</v>
      </c>
      <c r="AC36" s="7" t="s">
        <v>1088</v>
      </c>
      <c r="AD36" s="7" t="s">
        <v>1088</v>
      </c>
      <c r="AE36" s="7" t="s">
        <v>1088</v>
      </c>
      <c r="AF36" s="7" t="s">
        <v>1088</v>
      </c>
      <c r="AG36" s="7" t="s">
        <v>1088</v>
      </c>
      <c r="AH36" s="7" t="s">
        <v>1088</v>
      </c>
      <c r="AI36" s="7" t="s">
        <v>1090</v>
      </c>
      <c r="AJ36" s="7" t="s">
        <v>1090</v>
      </c>
      <c r="AK36" s="7" t="s">
        <v>1090</v>
      </c>
    </row>
    <row r="37" spans="20:37" x14ac:dyDescent="0.25">
      <c r="T37" s="7" t="str">
        <f ca="1"/>
        <v>Z9</v>
      </c>
      <c r="U37" s="7" t="str">
        <f ca="1"/>
        <v>0xDC09</v>
      </c>
      <c r="V37" s="7" t="str">
        <f ca="1"/>
        <v>DateModified</v>
      </c>
      <c r="X37" s="8" t="s">
        <v>1089</v>
      </c>
      <c r="Y37" s="8" t="s">
        <v>1089</v>
      </c>
      <c r="Z37" s="8" t="s">
        <v>1089</v>
      </c>
      <c r="AA37" s="8" t="s">
        <v>1089</v>
      </c>
      <c r="AB37" s="7" t="s">
        <v>1089</v>
      </c>
      <c r="AC37" s="7" t="s">
        <v>1089</v>
      </c>
      <c r="AD37" s="7" t="s">
        <v>1089</v>
      </c>
      <c r="AE37" s="7" t="s">
        <v>1089</v>
      </c>
      <c r="AF37" s="7" t="s">
        <v>1089</v>
      </c>
      <c r="AG37" s="7" t="s">
        <v>1089</v>
      </c>
      <c r="AH37" s="7" t="s">
        <v>1089</v>
      </c>
      <c r="AI37" s="7" t="s">
        <v>1093</v>
      </c>
      <c r="AJ37" s="7" t="s">
        <v>1095</v>
      </c>
      <c r="AK37" s="7" t="s">
        <v>1095</v>
      </c>
    </row>
    <row r="38" spans="20:37" x14ac:dyDescent="0.25">
      <c r="T38" s="7" t="str">
        <f ca="1"/>
        <v>Z9</v>
      </c>
      <c r="U38" s="7" t="str">
        <f ca="1"/>
        <v>0xDC0B</v>
      </c>
      <c r="V38" s="7" t="str">
        <f ca="1"/>
        <v>ParentObject</v>
      </c>
      <c r="X38" s="8" t="s">
        <v>1090</v>
      </c>
      <c r="Y38" s="8" t="s">
        <v>1090</v>
      </c>
      <c r="Z38" s="8" t="s">
        <v>1090</v>
      </c>
      <c r="AA38" s="8" t="s">
        <v>1090</v>
      </c>
      <c r="AB38" s="7" t="s">
        <v>1090</v>
      </c>
      <c r="AC38" s="7" t="s">
        <v>1090</v>
      </c>
      <c r="AD38" s="7" t="s">
        <v>1090</v>
      </c>
      <c r="AE38" s="7" t="s">
        <v>1090</v>
      </c>
      <c r="AF38" s="7" t="s">
        <v>1090</v>
      </c>
      <c r="AG38" s="7" t="s">
        <v>1090</v>
      </c>
      <c r="AH38" s="7" t="s">
        <v>1090</v>
      </c>
      <c r="AI38" s="7" t="s">
        <v>1094</v>
      </c>
      <c r="AJ38" s="7" t="s">
        <v>1096</v>
      </c>
      <c r="AK38" s="7" t="s">
        <v>1096</v>
      </c>
    </row>
    <row r="39" spans="20:37" x14ac:dyDescent="0.25">
      <c r="T39" s="7" t="str">
        <f ca="1"/>
        <v>Z9</v>
      </c>
      <c r="U39" s="7" t="str">
        <f ca="1"/>
        <v>0xDC0D</v>
      </c>
      <c r="V39" s="7" t="str">
        <f ca="1"/>
        <v>Hidden</v>
      </c>
      <c r="X39" s="8" t="s">
        <v>1091</v>
      </c>
      <c r="Y39" s="8" t="s">
        <v>1091</v>
      </c>
      <c r="Z39" s="8" t="s">
        <v>1091</v>
      </c>
      <c r="AA39" s="8" t="s">
        <v>1091</v>
      </c>
      <c r="AB39" s="7" t="s">
        <v>1091</v>
      </c>
      <c r="AC39" s="7" t="s">
        <v>1091</v>
      </c>
      <c r="AD39" s="7" t="s">
        <v>1091</v>
      </c>
      <c r="AE39" s="7" t="s">
        <v>1091</v>
      </c>
      <c r="AF39" s="7" t="s">
        <v>1091</v>
      </c>
      <c r="AG39" s="7" t="s">
        <v>1091</v>
      </c>
      <c r="AH39" s="7" t="s">
        <v>1093</v>
      </c>
      <c r="AI39" s="7" t="s">
        <v>1095</v>
      </c>
      <c r="AJ39" s="7" t="s">
        <v>1093</v>
      </c>
      <c r="AK39" s="7" t="s">
        <v>1093</v>
      </c>
    </row>
    <row r="40" spans="20:37" x14ac:dyDescent="0.25">
      <c r="T40" s="7" t="str">
        <f ca="1"/>
        <v>Z9</v>
      </c>
      <c r="U40" s="7" t="str">
        <f ca="1"/>
        <v>0xDC41</v>
      </c>
      <c r="V40" s="7" t="str">
        <f ca="1"/>
        <v>PersistentUniqueObjectIdentifier</v>
      </c>
      <c r="X40" s="8" t="s">
        <v>1092</v>
      </c>
      <c r="Y40" s="8" t="s">
        <v>1092</v>
      </c>
      <c r="Z40" s="8" t="s">
        <v>1092</v>
      </c>
      <c r="AA40" s="8" t="s">
        <v>1092</v>
      </c>
      <c r="AB40" s="7" t="s">
        <v>1092</v>
      </c>
      <c r="AC40" s="7" t="s">
        <v>1092</v>
      </c>
      <c r="AD40" s="7" t="s">
        <v>1092</v>
      </c>
      <c r="AE40" s="7" t="s">
        <v>1092</v>
      </c>
      <c r="AF40" s="7" t="s">
        <v>1092</v>
      </c>
      <c r="AG40" s="7" t="s">
        <v>1092</v>
      </c>
      <c r="AH40" s="7" t="s">
        <v>1094</v>
      </c>
      <c r="AI40" s="7" t="s">
        <v>1096</v>
      </c>
      <c r="AJ40" s="7" t="s">
        <v>1094</v>
      </c>
      <c r="AK40" s="7" t="s">
        <v>1094</v>
      </c>
    </row>
    <row r="41" spans="20:37" x14ac:dyDescent="0.25">
      <c r="T41" s="7" t="str">
        <f ca="1"/>
        <v>Z9</v>
      </c>
      <c r="U41" s="7" t="str">
        <f ca="1"/>
        <v>0xDC44</v>
      </c>
      <c r="V41" s="7" t="str">
        <f ca="1"/>
        <v>Name</v>
      </c>
      <c r="X41" s="8" t="s">
        <v>1093</v>
      </c>
      <c r="Y41" s="8" t="s">
        <v>1093</v>
      </c>
      <c r="Z41" s="8" t="s">
        <v>1093</v>
      </c>
      <c r="AA41" s="8" t="s">
        <v>1093</v>
      </c>
      <c r="AB41" s="7" t="s">
        <v>1093</v>
      </c>
      <c r="AC41" s="7" t="s">
        <v>1093</v>
      </c>
      <c r="AD41" s="7" t="s">
        <v>1093</v>
      </c>
      <c r="AE41" s="7" t="s">
        <v>1093</v>
      </c>
      <c r="AF41" s="7" t="s">
        <v>1093</v>
      </c>
      <c r="AG41" s="7" t="s">
        <v>1093</v>
      </c>
      <c r="AH41" s="7" t="s">
        <v>1095</v>
      </c>
      <c r="AI41" s="7" t="s">
        <v>1097</v>
      </c>
      <c r="AJ41" s="7" t="s">
        <v>1097</v>
      </c>
      <c r="AK41" s="7" t="s">
        <v>1097</v>
      </c>
    </row>
    <row r="42" spans="20:37" x14ac:dyDescent="0.25">
      <c r="T42" s="7" t="str">
        <f ca="1"/>
        <v>Z9</v>
      </c>
      <c r="U42" s="7" t="str">
        <f ca="1"/>
        <v>0xDC81</v>
      </c>
      <c r="V42" s="7" t="str">
        <f ca="1"/>
        <v>RepresentativeSampleFormat</v>
      </c>
      <c r="X42" s="8" t="s">
        <v>1094</v>
      </c>
      <c r="Y42" s="8" t="s">
        <v>1094</v>
      </c>
      <c r="Z42" s="8" t="s">
        <v>1094</v>
      </c>
      <c r="AA42" s="8" t="s">
        <v>1094</v>
      </c>
      <c r="AB42" s="7" t="s">
        <v>1094</v>
      </c>
      <c r="AC42" s="7" t="s">
        <v>1094</v>
      </c>
      <c r="AD42" s="7" t="s">
        <v>1094</v>
      </c>
      <c r="AE42" s="7" t="s">
        <v>1094</v>
      </c>
      <c r="AF42" s="7" t="s">
        <v>1094</v>
      </c>
      <c r="AG42" s="7" t="s">
        <v>1094</v>
      </c>
      <c r="AH42" s="7" t="s">
        <v>1096</v>
      </c>
      <c r="AI42" s="7" t="s">
        <v>1098</v>
      </c>
      <c r="AJ42" s="7" t="s">
        <v>1098</v>
      </c>
      <c r="AK42" s="7" t="s">
        <v>1098</v>
      </c>
    </row>
    <row r="43" spans="20:37" x14ac:dyDescent="0.25">
      <c r="T43" s="7" t="str">
        <f ca="1"/>
        <v>Z9</v>
      </c>
      <c r="U43" s="7" t="str">
        <f ca="1"/>
        <v>0xDC82</v>
      </c>
      <c r="V43" s="7" t="str">
        <f ca="1"/>
        <v>RepresentativeSampleSize</v>
      </c>
      <c r="X43" s="8" t="s">
        <v>1095</v>
      </c>
      <c r="Y43" s="8" t="s">
        <v>1095</v>
      </c>
      <c r="Z43" s="8" t="s">
        <v>1095</v>
      </c>
      <c r="AA43" s="8" t="s">
        <v>1095</v>
      </c>
      <c r="AB43" s="7" t="s">
        <v>1095</v>
      </c>
      <c r="AC43" s="7" t="s">
        <v>1095</v>
      </c>
      <c r="AD43" s="7" t="s">
        <v>1095</v>
      </c>
      <c r="AE43" s="7" t="s">
        <v>1095</v>
      </c>
      <c r="AF43" s="7" t="s">
        <v>1095</v>
      </c>
      <c r="AG43" s="7" t="s">
        <v>1095</v>
      </c>
      <c r="AH43" s="7" t="s">
        <v>1097</v>
      </c>
      <c r="AI43" s="7" t="s">
        <v>1099</v>
      </c>
      <c r="AJ43" s="7" t="s">
        <v>1099</v>
      </c>
      <c r="AK43" s="7" t="s">
        <v>1099</v>
      </c>
    </row>
    <row r="44" spans="20:37" x14ac:dyDescent="0.25">
      <c r="T44" s="7" t="str">
        <f ca="1"/>
        <v>Z9</v>
      </c>
      <c r="U44" s="7" t="str">
        <f ca="1"/>
        <v>0xDC83</v>
      </c>
      <c r="V44" s="7" t="str">
        <f ca="1"/>
        <v>RepresentativeSampleHeight</v>
      </c>
      <c r="X44" s="8" t="s">
        <v>1096</v>
      </c>
      <c r="Y44" s="8" t="s">
        <v>1096</v>
      </c>
      <c r="Z44" s="8" t="s">
        <v>1096</v>
      </c>
      <c r="AA44" s="8" t="s">
        <v>1096</v>
      </c>
      <c r="AB44" s="7" t="s">
        <v>1096</v>
      </c>
      <c r="AC44" s="7" t="s">
        <v>1096</v>
      </c>
      <c r="AD44" s="7" t="s">
        <v>1096</v>
      </c>
      <c r="AE44" s="7" t="s">
        <v>1096</v>
      </c>
      <c r="AF44" s="7" t="s">
        <v>1096</v>
      </c>
      <c r="AG44" s="7" t="s">
        <v>1096</v>
      </c>
      <c r="AH44" s="7" t="s">
        <v>1098</v>
      </c>
      <c r="AI44" s="7" t="s">
        <v>1100</v>
      </c>
      <c r="AJ44" s="7" t="s">
        <v>1100</v>
      </c>
      <c r="AK44" s="7" t="s">
        <v>1100</v>
      </c>
    </row>
    <row r="45" spans="20:37" x14ac:dyDescent="0.25">
      <c r="T45" s="7" t="str">
        <f ca="1"/>
        <v>Z9</v>
      </c>
      <c r="U45" s="7" t="str">
        <f ca="1"/>
        <v>0xDC84</v>
      </c>
      <c r="V45" s="7" t="str">
        <f ca="1"/>
        <v>RepresentativeSampleWidth</v>
      </c>
      <c r="X45" s="8" t="s">
        <v>1097</v>
      </c>
      <c r="Y45" s="8" t="s">
        <v>1097</v>
      </c>
      <c r="Z45" s="8" t="s">
        <v>1097</v>
      </c>
      <c r="AA45" s="8" t="s">
        <v>1097</v>
      </c>
      <c r="AB45" s="7" t="s">
        <v>1097</v>
      </c>
      <c r="AC45" s="7" t="s">
        <v>1097</v>
      </c>
      <c r="AD45" s="7" t="s">
        <v>1097</v>
      </c>
      <c r="AE45" s="7" t="s">
        <v>1097</v>
      </c>
      <c r="AF45" s="7" t="s">
        <v>1097</v>
      </c>
      <c r="AG45" s="7" t="s">
        <v>1097</v>
      </c>
      <c r="AH45" s="7" t="s">
        <v>1099</v>
      </c>
      <c r="AI45" s="7" t="s">
        <v>1101</v>
      </c>
      <c r="AJ45" s="7" t="s">
        <v>1103</v>
      </c>
      <c r="AK45" s="7" t="s">
        <v>1103</v>
      </c>
    </row>
    <row r="46" spans="20:37" x14ac:dyDescent="0.25">
      <c r="T46" s="7" t="str">
        <f ca="1"/>
        <v>Z9</v>
      </c>
      <c r="U46" s="7" t="str">
        <f ca="1"/>
        <v>0xDC86</v>
      </c>
      <c r="V46" s="7" t="str">
        <f ca="1"/>
        <v>RepresentativeSampleData</v>
      </c>
      <c r="X46" s="8" t="s">
        <v>1098</v>
      </c>
      <c r="Y46" s="8" t="s">
        <v>1098</v>
      </c>
      <c r="Z46" s="8" t="s">
        <v>1098</v>
      </c>
      <c r="AA46" s="8" t="s">
        <v>1098</v>
      </c>
      <c r="AB46" s="7" t="s">
        <v>1098</v>
      </c>
      <c r="AC46" s="7" t="s">
        <v>1098</v>
      </c>
      <c r="AD46" s="7" t="s">
        <v>1098</v>
      </c>
      <c r="AE46" s="7" t="s">
        <v>1098</v>
      </c>
      <c r="AF46" s="7" t="s">
        <v>1098</v>
      </c>
      <c r="AG46" s="7" t="s">
        <v>1098</v>
      </c>
      <c r="AH46" s="7" t="s">
        <v>1100</v>
      </c>
      <c r="AI46" s="7" t="s">
        <v>1102</v>
      </c>
      <c r="AJ46" s="7" t="s">
        <v>1104</v>
      </c>
      <c r="AK46" s="7" t="s">
        <v>1104</v>
      </c>
    </row>
    <row r="47" spans="20:37" x14ac:dyDescent="0.25">
      <c r="T47" s="7" t="str">
        <f ca="1"/>
        <v>Z9</v>
      </c>
      <c r="U47" s="7" t="str">
        <f ca="1"/>
        <v>0xDC87</v>
      </c>
      <c r="V47" s="7" t="str">
        <f ca="1"/>
        <v>Width</v>
      </c>
      <c r="X47" s="8" t="s">
        <v>1099</v>
      </c>
      <c r="Y47" s="8" t="s">
        <v>1099</v>
      </c>
      <c r="Z47" s="8" t="s">
        <v>1099</v>
      </c>
      <c r="AA47" s="8" t="s">
        <v>1099</v>
      </c>
      <c r="AB47" s="7" t="s">
        <v>1099</v>
      </c>
      <c r="AC47" s="7" t="s">
        <v>1099</v>
      </c>
      <c r="AD47" s="7" t="s">
        <v>1099</v>
      </c>
      <c r="AE47" s="7" t="s">
        <v>1099</v>
      </c>
      <c r="AF47" s="7" t="s">
        <v>1099</v>
      </c>
      <c r="AG47" s="7" t="s">
        <v>1099</v>
      </c>
      <c r="AH47" s="7" t="s">
        <v>1101</v>
      </c>
      <c r="AI47" s="7" t="s">
        <v>1103</v>
      </c>
    </row>
    <row r="48" spans="20:37" x14ac:dyDescent="0.25">
      <c r="T48" s="7" t="str">
        <f ca="1"/>
        <v>Z9</v>
      </c>
      <c r="U48" s="7" t="str">
        <f ca="1"/>
        <v>0xDC88</v>
      </c>
      <c r="V48" s="7" t="str">
        <f ca="1"/>
        <v>Height</v>
      </c>
      <c r="X48" s="8" t="s">
        <v>1100</v>
      </c>
      <c r="Y48" s="8" t="s">
        <v>1100</v>
      </c>
      <c r="Z48" s="8" t="s">
        <v>1100</v>
      </c>
      <c r="AA48" s="8" t="s">
        <v>1100</v>
      </c>
      <c r="AB48" s="7" t="s">
        <v>1100</v>
      </c>
      <c r="AC48" s="7" t="s">
        <v>1100</v>
      </c>
      <c r="AD48" s="7" t="s">
        <v>1100</v>
      </c>
      <c r="AE48" s="7" t="s">
        <v>1100</v>
      </c>
      <c r="AF48" s="7" t="s">
        <v>1100</v>
      </c>
      <c r="AG48" s="7" t="s">
        <v>1100</v>
      </c>
      <c r="AH48" s="7" t="s">
        <v>1102</v>
      </c>
      <c r="AI48" s="7" t="s">
        <v>1104</v>
      </c>
    </row>
    <row r="49" spans="20:35" x14ac:dyDescent="0.25">
      <c r="T49" s="7" t="str">
        <f ca="1"/>
        <v>Z9</v>
      </c>
      <c r="U49" s="7" t="str">
        <f ca="1"/>
        <v>0xDC8A</v>
      </c>
      <c r="V49" s="7" t="str">
        <f ca="1"/>
        <v>Rating</v>
      </c>
      <c r="X49" s="8" t="s">
        <v>1101</v>
      </c>
      <c r="Y49" s="8" t="s">
        <v>1101</v>
      </c>
      <c r="Z49" s="8" t="s">
        <v>1101</v>
      </c>
      <c r="AA49" s="8" t="s">
        <v>1101</v>
      </c>
      <c r="AB49" s="7" t="s">
        <v>1101</v>
      </c>
      <c r="AC49" s="7" t="s">
        <v>1101</v>
      </c>
      <c r="AD49" s="7" t="s">
        <v>1101</v>
      </c>
      <c r="AE49" s="7" t="s">
        <v>1101</v>
      </c>
      <c r="AF49" s="7" t="s">
        <v>1101</v>
      </c>
      <c r="AG49" s="7" t="s">
        <v>1101</v>
      </c>
      <c r="AH49" s="7" t="s">
        <v>1103</v>
      </c>
      <c r="AI49" s="7" t="s">
        <v>1105</v>
      </c>
    </row>
    <row r="50" spans="20:35" x14ac:dyDescent="0.25">
      <c r="T50" s="7" t="str">
        <f ca="1"/>
        <v>Z9</v>
      </c>
      <c r="U50" s="7" t="str">
        <f ca="1"/>
        <v>0xDCD3</v>
      </c>
      <c r="V50" s="7" t="str">
        <f ca="1"/>
        <v>ImageBitDepth</v>
      </c>
      <c r="X50" s="8" t="s">
        <v>1102</v>
      </c>
      <c r="Y50" s="8" t="s">
        <v>1102</v>
      </c>
      <c r="Z50" s="8" t="s">
        <v>1102</v>
      </c>
      <c r="AA50" s="8" t="s">
        <v>1102</v>
      </c>
      <c r="AB50" s="7" t="s">
        <v>1102</v>
      </c>
      <c r="AC50" s="7" t="s">
        <v>1102</v>
      </c>
      <c r="AD50" s="7" t="s">
        <v>1102</v>
      </c>
      <c r="AE50" s="7" t="s">
        <v>1102</v>
      </c>
      <c r="AF50" s="7" t="s">
        <v>1102</v>
      </c>
      <c r="AG50" s="7" t="s">
        <v>1102</v>
      </c>
      <c r="AH50" s="7" t="s">
        <v>1104</v>
      </c>
      <c r="AI50" s="7" t="s">
        <v>1106</v>
      </c>
    </row>
    <row r="51" spans="20:35" x14ac:dyDescent="0.25">
      <c r="T51" s="7" t="str">
        <f ca="1"/>
        <v>Z9</v>
      </c>
      <c r="U51" s="7" t="str">
        <f ca="1"/>
        <v>0xDC89</v>
      </c>
      <c r="V51" s="7" t="str">
        <f ca="1"/>
        <v>Duration</v>
      </c>
      <c r="X51" s="8" t="s">
        <v>1103</v>
      </c>
      <c r="Y51" s="8" t="s">
        <v>1103</v>
      </c>
      <c r="Z51" s="8" t="s">
        <v>1103</v>
      </c>
      <c r="AA51" s="8" t="s">
        <v>1103</v>
      </c>
      <c r="AB51" s="7" t="s">
        <v>1103</v>
      </c>
      <c r="AC51" s="7" t="s">
        <v>1103</v>
      </c>
      <c r="AD51" s="7" t="s">
        <v>1103</v>
      </c>
      <c r="AE51" s="7" t="s">
        <v>1103</v>
      </c>
      <c r="AF51" s="7" t="s">
        <v>1103</v>
      </c>
      <c r="AG51" s="7" t="s">
        <v>1103</v>
      </c>
      <c r="AH51" s="7" t="s">
        <v>1105</v>
      </c>
      <c r="AI51" s="7" t="s">
        <v>1107</v>
      </c>
    </row>
    <row r="52" spans="20:35" x14ac:dyDescent="0.25">
      <c r="T52" s="7" t="str">
        <f ca="1"/>
        <v>Z9</v>
      </c>
      <c r="U52" s="7" t="str">
        <f ca="1"/>
        <v>0xDE93</v>
      </c>
      <c r="V52" s="7" t="str">
        <f ca="1"/>
        <v>SampleRate</v>
      </c>
      <c r="X52" s="8" t="s">
        <v>1104</v>
      </c>
      <c r="Y52" s="8" t="s">
        <v>1104</v>
      </c>
      <c r="Z52" s="8" t="s">
        <v>1104</v>
      </c>
      <c r="AA52" s="8" t="s">
        <v>1104</v>
      </c>
      <c r="AB52" s="7" t="s">
        <v>1104</v>
      </c>
      <c r="AC52" s="7" t="s">
        <v>1104</v>
      </c>
      <c r="AD52" s="7" t="s">
        <v>1104</v>
      </c>
      <c r="AE52" s="7" t="s">
        <v>1104</v>
      </c>
      <c r="AF52" s="7" t="s">
        <v>1104</v>
      </c>
      <c r="AG52" s="7" t="s">
        <v>1104</v>
      </c>
      <c r="AH52" s="7" t="s">
        <v>1106</v>
      </c>
      <c r="AI52" s="7" t="s">
        <v>1108</v>
      </c>
    </row>
    <row r="53" spans="20:35" x14ac:dyDescent="0.25">
      <c r="T53" s="7" t="str">
        <f ca="1"/>
        <v>Z9</v>
      </c>
      <c r="U53" s="7" t="str">
        <f ca="1"/>
        <v>0xDE94</v>
      </c>
      <c r="V53" s="7" t="str">
        <f ca="1"/>
        <v>NumberOfChannels</v>
      </c>
      <c r="X53" s="8" t="s">
        <v>1105</v>
      </c>
      <c r="Y53" s="8" t="s">
        <v>1105</v>
      </c>
      <c r="Z53" s="8" t="s">
        <v>1105</v>
      </c>
      <c r="AA53" s="8" t="s">
        <v>1105</v>
      </c>
      <c r="AB53" s="7" t="s">
        <v>1105</v>
      </c>
      <c r="AC53" s="7" t="s">
        <v>1105</v>
      </c>
      <c r="AD53" s="7" t="s">
        <v>1105</v>
      </c>
      <c r="AE53" s="7" t="s">
        <v>1105</v>
      </c>
      <c r="AF53" s="7" t="s">
        <v>1105</v>
      </c>
      <c r="AG53" s="7" t="s">
        <v>1105</v>
      </c>
      <c r="AH53" s="7" t="s">
        <v>1107</v>
      </c>
    </row>
    <row r="54" spans="20:35" x14ac:dyDescent="0.25">
      <c r="T54" s="7" t="str">
        <f ca="1"/>
        <v>Z9</v>
      </c>
      <c r="U54" s="7" t="str">
        <f ca="1"/>
        <v>0xDE97</v>
      </c>
      <c r="V54" s="7" t="str">
        <f ca="1"/>
        <v>ScanType</v>
      </c>
      <c r="X54" s="8" t="s">
        <v>1106</v>
      </c>
      <c r="Y54" s="8" t="s">
        <v>1106</v>
      </c>
      <c r="Z54" s="8" t="s">
        <v>1106</v>
      </c>
      <c r="AA54" s="8" t="s">
        <v>1106</v>
      </c>
      <c r="AB54" s="7" t="s">
        <v>1106</v>
      </c>
      <c r="AC54" s="7" t="s">
        <v>1106</v>
      </c>
      <c r="AD54" s="7" t="s">
        <v>1106</v>
      </c>
      <c r="AE54" s="7" t="s">
        <v>1106</v>
      </c>
      <c r="AF54" s="7" t="s">
        <v>1106</v>
      </c>
      <c r="AG54" s="7" t="s">
        <v>1106</v>
      </c>
      <c r="AH54" s="7" t="s">
        <v>1108</v>
      </c>
    </row>
    <row r="55" spans="20:35" x14ac:dyDescent="0.25">
      <c r="T55" s="7" t="str">
        <f ca="1"/>
        <v>Z9</v>
      </c>
      <c r="U55" s="7" t="str">
        <f ca="1"/>
        <v>0xDE9A</v>
      </c>
      <c r="V55" s="7" t="str">
        <f ca="1"/>
        <v>AudioBitRate</v>
      </c>
      <c r="X55" s="8" t="s">
        <v>1107</v>
      </c>
      <c r="Y55" s="8" t="s">
        <v>1107</v>
      </c>
      <c r="Z55" s="8" t="s">
        <v>1107</v>
      </c>
      <c r="AA55" s="8" t="s">
        <v>1107</v>
      </c>
      <c r="AB55" s="7" t="s">
        <v>1107</v>
      </c>
      <c r="AC55" s="7" t="s">
        <v>1107</v>
      </c>
      <c r="AD55" s="7" t="s">
        <v>1107</v>
      </c>
      <c r="AE55" s="7" t="s">
        <v>1107</v>
      </c>
      <c r="AF55" s="7" t="s">
        <v>1107</v>
      </c>
      <c r="AG55" s="7" t="s">
        <v>1107</v>
      </c>
    </row>
    <row r="56" spans="20:35" x14ac:dyDescent="0.25">
      <c r="T56" s="7" t="str">
        <f ca="1"/>
        <v>Z9</v>
      </c>
      <c r="U56" s="7" t="str">
        <f ca="1"/>
        <v>0xDE9B</v>
      </c>
      <c r="V56" s="7" t="str">
        <f ca="1"/>
        <v>VideoFourCCCode</v>
      </c>
      <c r="X56" s="8" t="s">
        <v>1108</v>
      </c>
      <c r="Y56" s="8" t="s">
        <v>1108</v>
      </c>
      <c r="Z56" s="8" t="s">
        <v>1108</v>
      </c>
      <c r="AA56" s="8" t="s">
        <v>1108</v>
      </c>
      <c r="AB56" s="7" t="s">
        <v>1108</v>
      </c>
      <c r="AC56" s="7" t="s">
        <v>1108</v>
      </c>
      <c r="AD56" s="7" t="s">
        <v>1108</v>
      </c>
      <c r="AE56" s="7" t="s">
        <v>1108</v>
      </c>
      <c r="AF56" s="7" t="s">
        <v>1108</v>
      </c>
      <c r="AG56" s="7" t="s">
        <v>1108</v>
      </c>
    </row>
    <row r="57" spans="20:35" x14ac:dyDescent="0.25">
      <c r="T57" s="7" t="str">
        <f ca="1"/>
        <v>Z9</v>
      </c>
      <c r="U57" s="7" t="str">
        <f ca="1"/>
        <v>0xDE9C</v>
      </c>
      <c r="V57" s="7" t="str">
        <f ca="1"/>
        <v>VideoBitRate</v>
      </c>
      <c r="X57" s="8" t="s">
        <v>1109</v>
      </c>
      <c r="Y57" s="8" t="s">
        <v>1109</v>
      </c>
    </row>
    <row r="58" spans="20:35" x14ac:dyDescent="0.25">
      <c r="T58" s="7" t="str">
        <f ca="1"/>
        <v>Z9</v>
      </c>
      <c r="U58" s="7" t="str">
        <f ca="1"/>
        <v>0xDE9D</v>
      </c>
      <c r="V58" s="7" t="str">
        <f ca="1"/>
        <v>FramesPerThousandSeconds</v>
      </c>
      <c r="X58" s="8" t="s">
        <v>1110</v>
      </c>
      <c r="Y58" s="8" t="s">
        <v>1110</v>
      </c>
    </row>
    <row r="59" spans="20:35" x14ac:dyDescent="0.25">
      <c r="T59" s="7" t="str">
        <f ca="1"/>
        <v>Z6 II</v>
      </c>
      <c r="U59" s="7" t="str">
        <f ca="1"/>
        <v>0xDC01</v>
      </c>
      <c r="V59" s="7" t="str">
        <f ca="1"/>
        <v>StorageID</v>
      </c>
    </row>
    <row r="60" spans="20:35" x14ac:dyDescent="0.25">
      <c r="T60" s="7" t="str">
        <f ca="1"/>
        <v>Z6 II</v>
      </c>
      <c r="U60" s="7" t="str">
        <f ca="1"/>
        <v>0xDC02</v>
      </c>
      <c r="V60" s="7" t="str">
        <f ca="1"/>
        <v>ObjectFormat</v>
      </c>
    </row>
    <row r="61" spans="20:35" x14ac:dyDescent="0.25">
      <c r="T61" s="7" t="str">
        <f ca="1"/>
        <v>Z6 II</v>
      </c>
      <c r="U61" s="7" t="str">
        <f ca="1"/>
        <v>0xDC03</v>
      </c>
      <c r="V61" s="7" t="str">
        <f ca="1"/>
        <v>ProtectionStatus</v>
      </c>
    </row>
    <row r="62" spans="20:35" x14ac:dyDescent="0.25">
      <c r="T62" s="7" t="str">
        <f ca="1"/>
        <v>Z6 II</v>
      </c>
      <c r="U62" s="7" t="str">
        <f ca="1"/>
        <v>0xDC04</v>
      </c>
      <c r="V62" s="7" t="str">
        <f ca="1"/>
        <v>ObjectSize</v>
      </c>
    </row>
    <row r="63" spans="20:35" x14ac:dyDescent="0.25">
      <c r="T63" s="7" t="str">
        <f ca="1"/>
        <v>Z6 II</v>
      </c>
      <c r="U63" s="7" t="str">
        <f ca="1"/>
        <v>0xDC07</v>
      </c>
      <c r="V63" s="7" t="str">
        <f ca="1"/>
        <v>ObjectFilename</v>
      </c>
    </row>
    <row r="64" spans="20:35" x14ac:dyDescent="0.25">
      <c r="T64" s="7" t="str">
        <f ca="1"/>
        <v>Z6 II</v>
      </c>
      <c r="U64" s="7" t="str">
        <f ca="1"/>
        <v>0xDC08</v>
      </c>
      <c r="V64" s="7" t="str">
        <f ca="1"/>
        <v>DateCreated</v>
      </c>
    </row>
    <row r="65" spans="20:22" x14ac:dyDescent="0.25">
      <c r="T65" s="7" t="str">
        <f ca="1"/>
        <v>Z6 II</v>
      </c>
      <c r="U65" s="7" t="str">
        <f ca="1"/>
        <v>0xDC09</v>
      </c>
      <c r="V65" s="7" t="str">
        <f ca="1"/>
        <v>DateModified</v>
      </c>
    </row>
    <row r="66" spans="20:22" x14ac:dyDescent="0.25">
      <c r="T66" s="7" t="str">
        <f ca="1"/>
        <v>Z6 II</v>
      </c>
      <c r="U66" s="7" t="str">
        <f ca="1"/>
        <v>0xDC0B</v>
      </c>
      <c r="V66" s="7" t="str">
        <f ca="1"/>
        <v>ParentObject</v>
      </c>
    </row>
    <row r="67" spans="20:22" x14ac:dyDescent="0.25">
      <c r="T67" s="7" t="str">
        <f ca="1"/>
        <v>Z6 II</v>
      </c>
      <c r="U67" s="7" t="str">
        <f ca="1"/>
        <v>0xDC0D</v>
      </c>
      <c r="V67" s="7" t="str">
        <f ca="1"/>
        <v>Hidden</v>
      </c>
    </row>
    <row r="68" spans="20:22" x14ac:dyDescent="0.25">
      <c r="T68" s="7" t="str">
        <f ca="1"/>
        <v>Z6 II</v>
      </c>
      <c r="U68" s="7" t="str">
        <f ca="1"/>
        <v>0xDC41</v>
      </c>
      <c r="V68" s="7" t="str">
        <f ca="1"/>
        <v>PersistentUniqueObjectIdentifier</v>
      </c>
    </row>
    <row r="69" spans="20:22" x14ac:dyDescent="0.25">
      <c r="T69" s="7" t="str">
        <f ca="1"/>
        <v>Z6 II</v>
      </c>
      <c r="U69" s="7" t="str">
        <f ca="1"/>
        <v>0xDC44</v>
      </c>
      <c r="V69" s="7" t="str">
        <f ca="1"/>
        <v>Name</v>
      </c>
    </row>
    <row r="70" spans="20:22" x14ac:dyDescent="0.25">
      <c r="T70" s="7" t="str">
        <f ca="1"/>
        <v>Z6 II</v>
      </c>
      <c r="U70" s="7" t="str">
        <f ca="1"/>
        <v>0xDC81</v>
      </c>
      <c r="V70" s="7" t="str">
        <f ca="1"/>
        <v>RepresentativeSampleFormat</v>
      </c>
    </row>
    <row r="71" spans="20:22" x14ac:dyDescent="0.25">
      <c r="T71" s="7" t="str">
        <f ca="1"/>
        <v>Z6 II</v>
      </c>
      <c r="U71" s="7" t="str">
        <f ca="1"/>
        <v>0xDC82</v>
      </c>
      <c r="V71" s="7" t="str">
        <f ca="1"/>
        <v>RepresentativeSampleSize</v>
      </c>
    </row>
    <row r="72" spans="20:22" x14ac:dyDescent="0.25">
      <c r="T72" s="7" t="str">
        <f ca="1"/>
        <v>Z6 II</v>
      </c>
      <c r="U72" s="7" t="str">
        <f ca="1"/>
        <v>0xDC83</v>
      </c>
      <c r="V72" s="7" t="str">
        <f ca="1"/>
        <v>RepresentativeSampleHeight</v>
      </c>
    </row>
    <row r="73" spans="20:22" x14ac:dyDescent="0.25">
      <c r="T73" s="7" t="str">
        <f ca="1"/>
        <v>Z6 II</v>
      </c>
      <c r="U73" s="7" t="str">
        <f ca="1"/>
        <v>0xDC84</v>
      </c>
      <c r="V73" s="7" t="str">
        <f ca="1"/>
        <v>RepresentativeSampleWidth</v>
      </c>
    </row>
    <row r="74" spans="20:22" x14ac:dyDescent="0.25">
      <c r="T74" s="7" t="str">
        <f ca="1"/>
        <v>Z6 II</v>
      </c>
      <c r="U74" s="7" t="str">
        <f ca="1"/>
        <v>0xDC86</v>
      </c>
      <c r="V74" s="7" t="str">
        <f ca="1"/>
        <v>RepresentativeSampleData</v>
      </c>
    </row>
    <row r="75" spans="20:22" x14ac:dyDescent="0.25">
      <c r="T75" s="7" t="str">
        <f ca="1"/>
        <v>Z6 II</v>
      </c>
      <c r="U75" s="7" t="str">
        <f ca="1"/>
        <v>0xDC87</v>
      </c>
      <c r="V75" s="7" t="str">
        <f ca="1"/>
        <v>Width</v>
      </c>
    </row>
    <row r="76" spans="20:22" x14ac:dyDescent="0.25">
      <c r="T76" s="7" t="str">
        <f ca="1"/>
        <v>Z6 II</v>
      </c>
      <c r="U76" s="7" t="str">
        <f ca="1"/>
        <v>0xDC88</v>
      </c>
      <c r="V76" s="7" t="str">
        <f ca="1"/>
        <v>Height</v>
      </c>
    </row>
    <row r="77" spans="20:22" x14ac:dyDescent="0.25">
      <c r="T77" s="7" t="str">
        <f ca="1"/>
        <v>Z6 II</v>
      </c>
      <c r="U77" s="7" t="str">
        <f ca="1"/>
        <v>0xDC8A</v>
      </c>
      <c r="V77" s="7" t="str">
        <f ca="1"/>
        <v>Rating</v>
      </c>
    </row>
    <row r="78" spans="20:22" x14ac:dyDescent="0.25">
      <c r="T78" s="7" t="str">
        <f ca="1"/>
        <v>Z6 II</v>
      </c>
      <c r="U78" s="7" t="str">
        <f ca="1"/>
        <v>0xDCD3</v>
      </c>
      <c r="V78" s="7" t="str">
        <f ca="1"/>
        <v>ImageBitDepth</v>
      </c>
    </row>
    <row r="79" spans="20:22" x14ac:dyDescent="0.25">
      <c r="T79" s="7" t="str">
        <f ca="1"/>
        <v>Z6 II</v>
      </c>
      <c r="U79" s="7" t="str">
        <f ca="1"/>
        <v>0xDC89</v>
      </c>
      <c r="V79" s="7" t="str">
        <f ca="1"/>
        <v>Duration</v>
      </c>
    </row>
    <row r="80" spans="20:22" x14ac:dyDescent="0.25">
      <c r="T80" s="7" t="str">
        <f ca="1"/>
        <v>Z6 II</v>
      </c>
      <c r="U80" s="7" t="str">
        <f ca="1"/>
        <v>0xDE93</v>
      </c>
      <c r="V80" s="7" t="str">
        <f ca="1"/>
        <v>SampleRate</v>
      </c>
    </row>
    <row r="81" spans="20:22" x14ac:dyDescent="0.25">
      <c r="T81" s="7" t="str">
        <f ca="1"/>
        <v>Z6 II</v>
      </c>
      <c r="U81" s="7" t="str">
        <f ca="1"/>
        <v>0xDE94</v>
      </c>
      <c r="V81" s="7" t="str">
        <f ca="1"/>
        <v>NumberOfChannels</v>
      </c>
    </row>
    <row r="82" spans="20:22" x14ac:dyDescent="0.25">
      <c r="T82" s="7" t="str">
        <f ca="1"/>
        <v>Z6 II</v>
      </c>
      <c r="U82" s="7" t="str">
        <f ca="1"/>
        <v>0xDE97</v>
      </c>
      <c r="V82" s="7" t="str">
        <f ca="1"/>
        <v>ScanType</v>
      </c>
    </row>
    <row r="83" spans="20:22" x14ac:dyDescent="0.25">
      <c r="T83" s="7" t="str">
        <f ca="1"/>
        <v>Z6 II</v>
      </c>
      <c r="U83" s="7" t="str">
        <f ca="1"/>
        <v>0xDE9A</v>
      </c>
      <c r="V83" s="7" t="str">
        <f ca="1"/>
        <v>AudioBitRate</v>
      </c>
    </row>
    <row r="84" spans="20:22" x14ac:dyDescent="0.25">
      <c r="T84" s="7" t="str">
        <f ca="1"/>
        <v>Z6 II</v>
      </c>
      <c r="U84" s="7" t="str">
        <f ca="1"/>
        <v>0xDE9B</v>
      </c>
      <c r="V84" s="7" t="str">
        <f ca="1"/>
        <v>VideoFourCCCode</v>
      </c>
    </row>
    <row r="85" spans="20:22" x14ac:dyDescent="0.25">
      <c r="T85" s="7" t="str">
        <f ca="1"/>
        <v>Z6 II</v>
      </c>
      <c r="U85" s="7" t="str">
        <f ca="1"/>
        <v>0xDE9C</v>
      </c>
      <c r="V85" s="7" t="str">
        <f ca="1"/>
        <v>VideoBitRate</v>
      </c>
    </row>
    <row r="86" spans="20:22" x14ac:dyDescent="0.25">
      <c r="T86" s="7" t="str">
        <f ca="1"/>
        <v>Z7 II</v>
      </c>
      <c r="U86" s="7" t="str">
        <f ca="1"/>
        <v>0xDC01</v>
      </c>
      <c r="V86" s="7" t="str">
        <f ca="1"/>
        <v>StorageID</v>
      </c>
    </row>
    <row r="87" spans="20:22" x14ac:dyDescent="0.25">
      <c r="T87" s="7" t="str">
        <f ca="1"/>
        <v>Z7 II</v>
      </c>
      <c r="U87" s="7" t="str">
        <f ca="1"/>
        <v>0xDC02</v>
      </c>
      <c r="V87" s="7" t="str">
        <f ca="1"/>
        <v>ObjectFormat</v>
      </c>
    </row>
    <row r="88" spans="20:22" x14ac:dyDescent="0.25">
      <c r="T88" s="7" t="str">
        <f ca="1"/>
        <v>Z7 II</v>
      </c>
      <c r="U88" s="7" t="str">
        <f ca="1"/>
        <v>0xDC03</v>
      </c>
      <c r="V88" s="7" t="str">
        <f ca="1"/>
        <v>ProtectionStatus</v>
      </c>
    </row>
    <row r="89" spans="20:22" x14ac:dyDescent="0.25">
      <c r="T89" s="7" t="str">
        <f ca="1"/>
        <v>Z7 II</v>
      </c>
      <c r="U89" s="7" t="str">
        <f ca="1"/>
        <v>0xDC04</v>
      </c>
      <c r="V89" s="7" t="str">
        <f ca="1"/>
        <v>ObjectSize</v>
      </c>
    </row>
    <row r="90" spans="20:22" x14ac:dyDescent="0.25">
      <c r="T90" s="7" t="str">
        <f ca="1"/>
        <v>Z7 II</v>
      </c>
      <c r="U90" s="7" t="str">
        <f ca="1"/>
        <v>0xDC07</v>
      </c>
      <c r="V90" s="7" t="str">
        <f ca="1"/>
        <v>ObjectFilename</v>
      </c>
    </row>
    <row r="91" spans="20:22" x14ac:dyDescent="0.25">
      <c r="T91" s="7" t="str">
        <f ca="1"/>
        <v>Z7 II</v>
      </c>
      <c r="U91" s="7" t="str">
        <f ca="1"/>
        <v>0xDC08</v>
      </c>
      <c r="V91" s="7" t="str">
        <f ca="1"/>
        <v>DateCreated</v>
      </c>
    </row>
    <row r="92" spans="20:22" x14ac:dyDescent="0.25">
      <c r="T92" s="7" t="str">
        <f ca="1"/>
        <v>Z7 II</v>
      </c>
      <c r="U92" s="7" t="str">
        <f ca="1"/>
        <v>0xDC09</v>
      </c>
      <c r="V92" s="7" t="str">
        <f ca="1"/>
        <v>DateModified</v>
      </c>
    </row>
    <row r="93" spans="20:22" x14ac:dyDescent="0.25">
      <c r="T93" s="7" t="str">
        <f ca="1"/>
        <v>Z7 II</v>
      </c>
      <c r="U93" s="7" t="str">
        <f ca="1"/>
        <v>0xDC0B</v>
      </c>
      <c r="V93" s="7" t="str">
        <f ca="1"/>
        <v>ParentObject</v>
      </c>
    </row>
    <row r="94" spans="20:22" x14ac:dyDescent="0.25">
      <c r="T94" s="7" t="str">
        <f ca="1"/>
        <v>Z7 II</v>
      </c>
      <c r="U94" s="7" t="str">
        <f ca="1"/>
        <v>0xDC0D</v>
      </c>
      <c r="V94" s="7" t="str">
        <f ca="1"/>
        <v>Hidden</v>
      </c>
    </row>
    <row r="95" spans="20:22" x14ac:dyDescent="0.25">
      <c r="T95" s="7" t="str">
        <f ca="1"/>
        <v>Z7 II</v>
      </c>
      <c r="U95" s="7" t="str">
        <f ca="1"/>
        <v>0xDC41</v>
      </c>
      <c r="V95" s="7" t="str">
        <f ca="1"/>
        <v>PersistentUniqueObjectIdentifier</v>
      </c>
    </row>
    <row r="96" spans="20:22" x14ac:dyDescent="0.25">
      <c r="T96" s="7" t="str">
        <f ca="1"/>
        <v>Z7 II</v>
      </c>
      <c r="U96" s="7" t="str">
        <f ca="1"/>
        <v>0xDC44</v>
      </c>
      <c r="V96" s="7" t="str">
        <f ca="1"/>
        <v>Name</v>
      </c>
    </row>
    <row r="97" spans="20:22" x14ac:dyDescent="0.25">
      <c r="T97" s="7" t="str">
        <f ca="1"/>
        <v>Z7 II</v>
      </c>
      <c r="U97" s="7" t="str">
        <f ca="1"/>
        <v>0xDC81</v>
      </c>
      <c r="V97" s="7" t="str">
        <f ca="1"/>
        <v>RepresentativeSampleFormat</v>
      </c>
    </row>
    <row r="98" spans="20:22" x14ac:dyDescent="0.25">
      <c r="T98" s="7" t="str">
        <f ca="1"/>
        <v>Z7 II</v>
      </c>
      <c r="U98" s="7" t="str">
        <f ca="1"/>
        <v>0xDC82</v>
      </c>
      <c r="V98" s="7" t="str">
        <f ca="1"/>
        <v>RepresentativeSampleSize</v>
      </c>
    </row>
    <row r="99" spans="20:22" x14ac:dyDescent="0.25">
      <c r="T99" s="7" t="str">
        <f ca="1"/>
        <v>Z7 II</v>
      </c>
      <c r="U99" s="7" t="str">
        <f ca="1"/>
        <v>0xDC83</v>
      </c>
      <c r="V99" s="7" t="str">
        <f ca="1"/>
        <v>RepresentativeSampleHeight</v>
      </c>
    </row>
    <row r="100" spans="20:22" x14ac:dyDescent="0.25">
      <c r="T100" s="7" t="str">
        <f ca="1"/>
        <v>Z7 II</v>
      </c>
      <c r="U100" s="7" t="str">
        <f ca="1"/>
        <v>0xDC84</v>
      </c>
      <c r="V100" s="7" t="str">
        <f ca="1"/>
        <v>RepresentativeSampleWidth</v>
      </c>
    </row>
    <row r="101" spans="20:22" x14ac:dyDescent="0.25">
      <c r="T101" s="7" t="str">
        <f ca="1"/>
        <v>Z7 II</v>
      </c>
      <c r="U101" s="7" t="str">
        <f ca="1"/>
        <v>0xDC86</v>
      </c>
      <c r="V101" s="7" t="str">
        <f ca="1"/>
        <v>RepresentativeSampleData</v>
      </c>
    </row>
    <row r="102" spans="20:22" x14ac:dyDescent="0.25">
      <c r="T102" s="7" t="str">
        <f ca="1"/>
        <v>Z7 II</v>
      </c>
      <c r="U102" s="7" t="str">
        <f ca="1"/>
        <v>0xDC87</v>
      </c>
      <c r="V102" s="7" t="str">
        <f ca="1"/>
        <v>Width</v>
      </c>
    </row>
    <row r="103" spans="20:22" x14ac:dyDescent="0.25">
      <c r="T103" s="7" t="str">
        <f ca="1"/>
        <v>Z7 II</v>
      </c>
      <c r="U103" s="7" t="str">
        <f ca="1"/>
        <v>0xDC88</v>
      </c>
      <c r="V103" s="7" t="str">
        <f ca="1"/>
        <v>Height</v>
      </c>
    </row>
    <row r="104" spans="20:22" x14ac:dyDescent="0.25">
      <c r="T104" s="7" t="str">
        <f ca="1"/>
        <v>Z7 II</v>
      </c>
      <c r="U104" s="7" t="str">
        <f ca="1"/>
        <v>0xDC8A</v>
      </c>
      <c r="V104" s="7" t="str">
        <f ca="1"/>
        <v>Rating</v>
      </c>
    </row>
    <row r="105" spans="20:22" x14ac:dyDescent="0.25">
      <c r="T105" s="7" t="str">
        <f ca="1"/>
        <v>Z7 II</v>
      </c>
      <c r="U105" s="7" t="str">
        <f ca="1"/>
        <v>0xDCD3</v>
      </c>
      <c r="V105" s="7" t="str">
        <f ca="1"/>
        <v>ImageBitDepth</v>
      </c>
    </row>
    <row r="106" spans="20:22" x14ac:dyDescent="0.25">
      <c r="T106" s="7" t="str">
        <f ca="1"/>
        <v>Z7 II</v>
      </c>
      <c r="U106" s="7" t="str">
        <f ca="1"/>
        <v>0xDC89</v>
      </c>
      <c r="V106" s="7" t="str">
        <f ca="1"/>
        <v>Duration</v>
      </c>
    </row>
    <row r="107" spans="20:22" x14ac:dyDescent="0.25">
      <c r="T107" s="7" t="str">
        <f ca="1"/>
        <v>Z7 II</v>
      </c>
      <c r="U107" s="7" t="str">
        <f ca="1"/>
        <v>0xDE93</v>
      </c>
      <c r="V107" s="7" t="str">
        <f ca="1"/>
        <v>SampleRate</v>
      </c>
    </row>
    <row r="108" spans="20:22" x14ac:dyDescent="0.25">
      <c r="T108" s="7" t="str">
        <f ca="1"/>
        <v>Z7 II</v>
      </c>
      <c r="U108" s="7" t="str">
        <f ca="1"/>
        <v>0xDE94</v>
      </c>
      <c r="V108" s="7" t="str">
        <f ca="1"/>
        <v>NumberOfChannels</v>
      </c>
    </row>
    <row r="109" spans="20:22" x14ac:dyDescent="0.25">
      <c r="T109" s="7" t="str">
        <f ca="1"/>
        <v>Z7 II</v>
      </c>
      <c r="U109" s="7" t="str">
        <f ca="1"/>
        <v>0xDE97</v>
      </c>
      <c r="V109" s="7" t="str">
        <f ca="1"/>
        <v>ScanType</v>
      </c>
    </row>
    <row r="110" spans="20:22" x14ac:dyDescent="0.25">
      <c r="T110" s="7" t="str">
        <f ca="1"/>
        <v>Z7 II</v>
      </c>
      <c r="U110" s="7" t="str">
        <f ca="1"/>
        <v>0xDE9A</v>
      </c>
      <c r="V110" s="7" t="str">
        <f ca="1"/>
        <v>AudioBitRate</v>
      </c>
    </row>
    <row r="111" spans="20:22" x14ac:dyDescent="0.25">
      <c r="T111" s="7" t="str">
        <f ca="1"/>
        <v>Z7 II</v>
      </c>
      <c r="U111" s="7" t="str">
        <f ca="1"/>
        <v>0xDE9B</v>
      </c>
      <c r="V111" s="7" t="str">
        <f ca="1"/>
        <v>VideoFourCCCode</v>
      </c>
    </row>
    <row r="112" spans="20:22" x14ac:dyDescent="0.25">
      <c r="T112" s="7" t="str">
        <f ca="1"/>
        <v>Z7 II</v>
      </c>
      <c r="U112" s="7" t="str">
        <f ca="1"/>
        <v>0xDE9C</v>
      </c>
      <c r="V112" s="7" t="str">
        <f ca="1"/>
        <v>VideoBitRate</v>
      </c>
    </row>
    <row r="113" spans="20:22" x14ac:dyDescent="0.25">
      <c r="T113" s="7" t="str">
        <f ca="1"/>
        <v>Z50</v>
      </c>
      <c r="U113" s="7" t="str">
        <f ca="1"/>
        <v>0xDC01</v>
      </c>
      <c r="V113" s="7" t="str">
        <f ca="1"/>
        <v>StorageID</v>
      </c>
    </row>
    <row r="114" spans="20:22" x14ac:dyDescent="0.25">
      <c r="T114" s="7" t="str">
        <f ca="1"/>
        <v>Z50</v>
      </c>
      <c r="U114" s="7" t="str">
        <f ca="1"/>
        <v>0xDC02</v>
      </c>
      <c r="V114" s="7" t="str">
        <f ca="1"/>
        <v>ObjectFormat</v>
      </c>
    </row>
    <row r="115" spans="20:22" x14ac:dyDescent="0.25">
      <c r="T115" s="7" t="str">
        <f ca="1"/>
        <v>Z50</v>
      </c>
      <c r="U115" s="7" t="str">
        <f ca="1"/>
        <v>0xDC03</v>
      </c>
      <c r="V115" s="7" t="str">
        <f ca="1"/>
        <v>ProtectionStatus</v>
      </c>
    </row>
    <row r="116" spans="20:22" x14ac:dyDescent="0.25">
      <c r="T116" s="7" t="str">
        <f ca="1"/>
        <v>Z50</v>
      </c>
      <c r="U116" s="7" t="str">
        <f ca="1"/>
        <v>0xDC04</v>
      </c>
      <c r="V116" s="7" t="str">
        <f ca="1"/>
        <v>ObjectSize</v>
      </c>
    </row>
    <row r="117" spans="20:22" x14ac:dyDescent="0.25">
      <c r="T117" s="7" t="str">
        <f ca="1"/>
        <v>Z50</v>
      </c>
      <c r="U117" s="7" t="str">
        <f ca="1"/>
        <v>0xDC07</v>
      </c>
      <c r="V117" s="7" t="str">
        <f ca="1"/>
        <v>ObjectFilename</v>
      </c>
    </row>
    <row r="118" spans="20:22" x14ac:dyDescent="0.25">
      <c r="T118" s="7" t="str">
        <f ca="1"/>
        <v>Z50</v>
      </c>
      <c r="U118" s="7" t="str">
        <f ca="1"/>
        <v>0xDC08</v>
      </c>
      <c r="V118" s="7" t="str">
        <f ca="1"/>
        <v>DateCreated</v>
      </c>
    </row>
    <row r="119" spans="20:22" x14ac:dyDescent="0.25">
      <c r="T119" s="7" t="str">
        <f ca="1"/>
        <v>Z50</v>
      </c>
      <c r="U119" s="7" t="str">
        <f ca="1"/>
        <v>0xDC09</v>
      </c>
      <c r="V119" s="7" t="str">
        <f ca="1"/>
        <v>DateModified</v>
      </c>
    </row>
    <row r="120" spans="20:22" x14ac:dyDescent="0.25">
      <c r="T120" s="7" t="str">
        <f ca="1"/>
        <v>Z50</v>
      </c>
      <c r="U120" s="7" t="str">
        <f ca="1"/>
        <v>0xDC0B</v>
      </c>
      <c r="V120" s="7" t="str">
        <f ca="1"/>
        <v>ParentObject</v>
      </c>
    </row>
    <row r="121" spans="20:22" x14ac:dyDescent="0.25">
      <c r="T121" s="7" t="str">
        <f ca="1"/>
        <v>Z50</v>
      </c>
      <c r="U121" s="7" t="str">
        <f ca="1"/>
        <v>0xDC0D</v>
      </c>
      <c r="V121" s="7" t="str">
        <f ca="1"/>
        <v>Hidden</v>
      </c>
    </row>
    <row r="122" spans="20:22" x14ac:dyDescent="0.25">
      <c r="T122" s="7" t="str">
        <f ca="1"/>
        <v>Z50</v>
      </c>
      <c r="U122" s="7" t="str">
        <f ca="1"/>
        <v>0xDC41</v>
      </c>
      <c r="V122" s="7" t="str">
        <f ca="1"/>
        <v>PersistentUniqueObjectIdentifier</v>
      </c>
    </row>
    <row r="123" spans="20:22" x14ac:dyDescent="0.25">
      <c r="T123" s="7" t="str">
        <f ca="1"/>
        <v>Z50</v>
      </c>
      <c r="U123" s="7" t="str">
        <f ca="1"/>
        <v>0xDC44</v>
      </c>
      <c r="V123" s="7" t="str">
        <f ca="1"/>
        <v>Name</v>
      </c>
    </row>
    <row r="124" spans="20:22" x14ac:dyDescent="0.25">
      <c r="T124" s="7" t="str">
        <f ca="1"/>
        <v>Z50</v>
      </c>
      <c r="U124" s="7" t="str">
        <f ca="1"/>
        <v>0xDC81</v>
      </c>
      <c r="V124" s="7" t="str">
        <f ca="1"/>
        <v>RepresentativeSampleFormat</v>
      </c>
    </row>
    <row r="125" spans="20:22" x14ac:dyDescent="0.25">
      <c r="T125" s="7" t="str">
        <f ca="1"/>
        <v>Z50</v>
      </c>
      <c r="U125" s="7" t="str">
        <f ca="1"/>
        <v>0xDC82</v>
      </c>
      <c r="V125" s="7" t="str">
        <f ca="1"/>
        <v>RepresentativeSampleSize</v>
      </c>
    </row>
    <row r="126" spans="20:22" x14ac:dyDescent="0.25">
      <c r="T126" s="7" t="str">
        <f ca="1"/>
        <v>Z50</v>
      </c>
      <c r="U126" s="7" t="str">
        <f ca="1"/>
        <v>0xDC83</v>
      </c>
      <c r="V126" s="7" t="str">
        <f ca="1"/>
        <v>RepresentativeSampleHeight</v>
      </c>
    </row>
    <row r="127" spans="20:22" x14ac:dyDescent="0.25">
      <c r="T127" s="7" t="str">
        <f ca="1"/>
        <v>Z50</v>
      </c>
      <c r="U127" s="7" t="str">
        <f ca="1"/>
        <v>0xDC84</v>
      </c>
      <c r="V127" s="7" t="str">
        <f ca="1"/>
        <v>RepresentativeSampleWidth</v>
      </c>
    </row>
    <row r="128" spans="20:22" x14ac:dyDescent="0.25">
      <c r="T128" s="7" t="str">
        <f ca="1"/>
        <v>Z50</v>
      </c>
      <c r="U128" s="7" t="str">
        <f ca="1"/>
        <v>0xDC86</v>
      </c>
      <c r="V128" s="7" t="str">
        <f ca="1"/>
        <v>RepresentativeSampleData</v>
      </c>
    </row>
    <row r="129" spans="20:22" x14ac:dyDescent="0.25">
      <c r="T129" s="7" t="str">
        <f ca="1"/>
        <v>Z50</v>
      </c>
      <c r="U129" s="7" t="str">
        <f ca="1"/>
        <v>0xDC87</v>
      </c>
      <c r="V129" s="7" t="str">
        <f ca="1"/>
        <v>Width</v>
      </c>
    </row>
    <row r="130" spans="20:22" x14ac:dyDescent="0.25">
      <c r="T130" s="7" t="str">
        <f ca="1"/>
        <v>Z50</v>
      </c>
      <c r="U130" s="7" t="str">
        <f ca="1"/>
        <v>0xDC88</v>
      </c>
      <c r="V130" s="7" t="str">
        <f ca="1"/>
        <v>Height</v>
      </c>
    </row>
    <row r="131" spans="20:22" x14ac:dyDescent="0.25">
      <c r="T131" s="7" t="str">
        <f ca="1"/>
        <v>Z50</v>
      </c>
      <c r="U131" s="7" t="str">
        <f ca="1"/>
        <v>0xDC8A</v>
      </c>
      <c r="V131" s="7" t="str">
        <f ca="1"/>
        <v>Rating</v>
      </c>
    </row>
    <row r="132" spans="20:22" x14ac:dyDescent="0.25">
      <c r="T132" s="7" t="str">
        <f ca="1"/>
        <v>Z50</v>
      </c>
      <c r="U132" s="7" t="str">
        <f ca="1"/>
        <v>0xDCD3</v>
      </c>
      <c r="V132" s="7" t="str">
        <f ca="1"/>
        <v>ImageBitDepth</v>
      </c>
    </row>
    <row r="133" spans="20:22" x14ac:dyDescent="0.25">
      <c r="T133" s="7" t="str">
        <f ca="1"/>
        <v>Z50</v>
      </c>
      <c r="U133" s="7" t="str">
        <f ca="1"/>
        <v>0xDC89</v>
      </c>
      <c r="V133" s="7" t="str">
        <f ca="1"/>
        <v>Duration</v>
      </c>
    </row>
    <row r="134" spans="20:22" x14ac:dyDescent="0.25">
      <c r="T134" s="7" t="str">
        <f ca="1"/>
        <v>Z50</v>
      </c>
      <c r="U134" s="7" t="str">
        <f ca="1"/>
        <v>0xDE93</v>
      </c>
      <c r="V134" s="7" t="str">
        <f ca="1"/>
        <v>SampleRate</v>
      </c>
    </row>
    <row r="135" spans="20:22" x14ac:dyDescent="0.25">
      <c r="T135" s="7" t="str">
        <f ca="1"/>
        <v>Z50</v>
      </c>
      <c r="U135" s="7" t="str">
        <f ca="1"/>
        <v>0xDE94</v>
      </c>
      <c r="V135" s="7" t="str">
        <f ca="1"/>
        <v>NumberOfChannels</v>
      </c>
    </row>
    <row r="136" spans="20:22" x14ac:dyDescent="0.25">
      <c r="T136" s="7" t="str">
        <f ca="1"/>
        <v>Z50</v>
      </c>
      <c r="U136" s="7" t="str">
        <f ca="1"/>
        <v>0xDE97</v>
      </c>
      <c r="V136" s="7" t="str">
        <f ca="1"/>
        <v>ScanType</v>
      </c>
    </row>
    <row r="137" spans="20:22" x14ac:dyDescent="0.25">
      <c r="T137" s="7" t="str">
        <f ca="1"/>
        <v>Z50</v>
      </c>
      <c r="U137" s="7" t="str">
        <f ca="1"/>
        <v>0xDE9A</v>
      </c>
      <c r="V137" s="7" t="str">
        <f ca="1"/>
        <v>AudioBitRate</v>
      </c>
    </row>
    <row r="138" spans="20:22" x14ac:dyDescent="0.25">
      <c r="T138" s="7" t="str">
        <f ca="1"/>
        <v>Z50</v>
      </c>
      <c r="U138" s="7" t="str">
        <f ca="1"/>
        <v>0xDE9B</v>
      </c>
      <c r="V138" s="7" t="str">
        <f ca="1"/>
        <v>VideoFourCCCode</v>
      </c>
    </row>
    <row r="139" spans="20:22" x14ac:dyDescent="0.25">
      <c r="T139" s="7" t="str">
        <f ca="1"/>
        <v>Z50</v>
      </c>
      <c r="U139" s="7" t="str">
        <f ca="1"/>
        <v>0xDE9C</v>
      </c>
      <c r="V139" s="7" t="str">
        <f ca="1"/>
        <v>VideoBitRate</v>
      </c>
    </row>
    <row r="140" spans="20:22" x14ac:dyDescent="0.25">
      <c r="T140" s="7" t="str">
        <f ca="1"/>
        <v>Z6</v>
      </c>
      <c r="U140" s="7" t="str">
        <f ca="1"/>
        <v>0xDC01</v>
      </c>
      <c r="V140" s="7" t="str">
        <f ca="1"/>
        <v>StorageID</v>
      </c>
    </row>
    <row r="141" spans="20:22" x14ac:dyDescent="0.25">
      <c r="T141" s="7" t="str">
        <f ca="1"/>
        <v>Z6</v>
      </c>
      <c r="U141" s="7" t="str">
        <f ca="1"/>
        <v>0xDC02</v>
      </c>
      <c r="V141" s="7" t="str">
        <f ca="1"/>
        <v>ObjectFormat</v>
      </c>
    </row>
    <row r="142" spans="20:22" x14ac:dyDescent="0.25">
      <c r="T142" s="7" t="str">
        <f ca="1"/>
        <v>Z6</v>
      </c>
      <c r="U142" s="7" t="str">
        <f ca="1"/>
        <v>0xDC03</v>
      </c>
      <c r="V142" s="7" t="str">
        <f ca="1"/>
        <v>ProtectionStatus</v>
      </c>
    </row>
    <row r="143" spans="20:22" x14ac:dyDescent="0.25">
      <c r="T143" s="7" t="str">
        <f ca="1"/>
        <v>Z6</v>
      </c>
      <c r="U143" s="7" t="str">
        <f ca="1"/>
        <v>0xDC04</v>
      </c>
      <c r="V143" s="7" t="str">
        <f ca="1"/>
        <v>ObjectSize</v>
      </c>
    </row>
    <row r="144" spans="20:22" x14ac:dyDescent="0.25">
      <c r="T144" s="7" t="str">
        <f ca="1"/>
        <v>Z6</v>
      </c>
      <c r="U144" s="7" t="str">
        <f ca="1"/>
        <v>0xDC07</v>
      </c>
      <c r="V144" s="7" t="str">
        <f ca="1"/>
        <v>ObjectFilename</v>
      </c>
    </row>
    <row r="145" spans="20:22" x14ac:dyDescent="0.25">
      <c r="T145" s="7" t="str">
        <f ca="1"/>
        <v>Z6</v>
      </c>
      <c r="U145" s="7" t="str">
        <f ca="1"/>
        <v>0xDC08</v>
      </c>
      <c r="V145" s="7" t="str">
        <f ca="1"/>
        <v>DateCreated</v>
      </c>
    </row>
    <row r="146" spans="20:22" x14ac:dyDescent="0.25">
      <c r="T146" s="7" t="str">
        <f ca="1"/>
        <v>Z6</v>
      </c>
      <c r="U146" s="7" t="str">
        <f ca="1"/>
        <v>0xDC09</v>
      </c>
      <c r="V146" s="7" t="str">
        <f ca="1"/>
        <v>DateModified</v>
      </c>
    </row>
    <row r="147" spans="20:22" x14ac:dyDescent="0.25">
      <c r="T147" s="7" t="str">
        <f ca="1"/>
        <v>Z6</v>
      </c>
      <c r="U147" s="7" t="str">
        <f ca="1"/>
        <v>0xDC0B</v>
      </c>
      <c r="V147" s="7" t="str">
        <f ca="1"/>
        <v>ParentObject</v>
      </c>
    </row>
    <row r="148" spans="20:22" x14ac:dyDescent="0.25">
      <c r="T148" s="7" t="str">
        <f ca="1"/>
        <v>Z6</v>
      </c>
      <c r="U148" s="7" t="str">
        <f ca="1"/>
        <v>0xDC0D</v>
      </c>
      <c r="V148" s="7" t="str">
        <f ca="1"/>
        <v>Hidden</v>
      </c>
    </row>
    <row r="149" spans="20:22" x14ac:dyDescent="0.25">
      <c r="T149" s="7" t="str">
        <f ca="1"/>
        <v>Z6</v>
      </c>
      <c r="U149" s="7" t="str">
        <f ca="1"/>
        <v>0xDC41</v>
      </c>
      <c r="V149" s="7" t="str">
        <f ca="1"/>
        <v>PersistentUniqueObjectIdentifier</v>
      </c>
    </row>
    <row r="150" spans="20:22" x14ac:dyDescent="0.25">
      <c r="T150" s="7" t="str">
        <f ca="1"/>
        <v>Z6</v>
      </c>
      <c r="U150" s="7" t="str">
        <f ca="1"/>
        <v>0xDC44</v>
      </c>
      <c r="V150" s="7" t="str">
        <f ca="1"/>
        <v>Name</v>
      </c>
    </row>
    <row r="151" spans="20:22" x14ac:dyDescent="0.25">
      <c r="T151" s="7" t="str">
        <f ca="1"/>
        <v>Z6</v>
      </c>
      <c r="U151" s="7" t="str">
        <f ca="1"/>
        <v>0xDC81</v>
      </c>
      <c r="V151" s="7" t="str">
        <f ca="1"/>
        <v>RepresentativeSampleFormat</v>
      </c>
    </row>
    <row r="152" spans="20:22" x14ac:dyDescent="0.25">
      <c r="T152" s="7" t="str">
        <f ca="1"/>
        <v>Z6</v>
      </c>
      <c r="U152" s="7" t="str">
        <f ca="1"/>
        <v>0xDC82</v>
      </c>
      <c r="V152" s="7" t="str">
        <f ca="1"/>
        <v>RepresentativeSampleSize</v>
      </c>
    </row>
    <row r="153" spans="20:22" x14ac:dyDescent="0.25">
      <c r="T153" s="7" t="str">
        <f ca="1"/>
        <v>Z6</v>
      </c>
      <c r="U153" s="7" t="str">
        <f ca="1"/>
        <v>0xDC83</v>
      </c>
      <c r="V153" s="7" t="str">
        <f ca="1"/>
        <v>RepresentativeSampleHeight</v>
      </c>
    </row>
    <row r="154" spans="20:22" x14ac:dyDescent="0.25">
      <c r="T154" s="7" t="str">
        <f ca="1"/>
        <v>Z6</v>
      </c>
      <c r="U154" s="7" t="str">
        <f ca="1"/>
        <v>0xDC84</v>
      </c>
      <c r="V154" s="7" t="str">
        <f ca="1"/>
        <v>RepresentativeSampleWidth</v>
      </c>
    </row>
    <row r="155" spans="20:22" x14ac:dyDescent="0.25">
      <c r="T155" s="7" t="str">
        <f ca="1"/>
        <v>Z6</v>
      </c>
      <c r="U155" s="7" t="str">
        <f ca="1"/>
        <v>0xDC86</v>
      </c>
      <c r="V155" s="7" t="str">
        <f ca="1"/>
        <v>RepresentativeSampleData</v>
      </c>
    </row>
    <row r="156" spans="20:22" x14ac:dyDescent="0.25">
      <c r="T156" s="7" t="str">
        <f ca="1"/>
        <v>Z6</v>
      </c>
      <c r="U156" s="7" t="str">
        <f ca="1"/>
        <v>0xDC87</v>
      </c>
      <c r="V156" s="7" t="str">
        <f ca="1"/>
        <v>Width</v>
      </c>
    </row>
    <row r="157" spans="20:22" x14ac:dyDescent="0.25">
      <c r="T157" s="7" t="str">
        <f ca="1"/>
        <v>Z6</v>
      </c>
      <c r="U157" s="7" t="str">
        <f ca="1"/>
        <v>0xDC88</v>
      </c>
      <c r="V157" s="7" t="str">
        <f ca="1"/>
        <v>Height</v>
      </c>
    </row>
    <row r="158" spans="20:22" x14ac:dyDescent="0.25">
      <c r="T158" s="7" t="str">
        <f ca="1"/>
        <v>Z6</v>
      </c>
      <c r="U158" s="7" t="str">
        <f ca="1"/>
        <v>0xDC8A</v>
      </c>
      <c r="V158" s="7" t="str">
        <f ca="1"/>
        <v>Rating</v>
      </c>
    </row>
    <row r="159" spans="20:22" x14ac:dyDescent="0.25">
      <c r="T159" s="7" t="str">
        <f ca="1"/>
        <v>Z6</v>
      </c>
      <c r="U159" s="7" t="str">
        <f ca="1"/>
        <v>0xDCD3</v>
      </c>
      <c r="V159" s="7" t="str">
        <f ca="1"/>
        <v>ImageBitDepth</v>
      </c>
    </row>
    <row r="160" spans="20:22" x14ac:dyDescent="0.25">
      <c r="T160" s="7" t="str">
        <f ca="1"/>
        <v>Z6</v>
      </c>
      <c r="U160" s="7" t="str">
        <f ca="1"/>
        <v>0xDC89</v>
      </c>
      <c r="V160" s="7" t="str">
        <f ca="1"/>
        <v>Duration</v>
      </c>
    </row>
    <row r="161" spans="20:22" x14ac:dyDescent="0.25">
      <c r="T161" s="7" t="str">
        <f ca="1"/>
        <v>Z6</v>
      </c>
      <c r="U161" s="7" t="str">
        <f ca="1"/>
        <v>0xDE93</v>
      </c>
      <c r="V161" s="7" t="str">
        <f ca="1"/>
        <v>SampleRate</v>
      </c>
    </row>
    <row r="162" spans="20:22" x14ac:dyDescent="0.25">
      <c r="T162" s="7" t="str">
        <f ca="1"/>
        <v>Z6</v>
      </c>
      <c r="U162" s="7" t="str">
        <f ca="1"/>
        <v>0xDE94</v>
      </c>
      <c r="V162" s="7" t="str">
        <f ca="1"/>
        <v>NumberOfChannels</v>
      </c>
    </row>
    <row r="163" spans="20:22" x14ac:dyDescent="0.25">
      <c r="T163" s="7" t="str">
        <f ca="1"/>
        <v>Z6</v>
      </c>
      <c r="U163" s="7" t="str">
        <f ca="1"/>
        <v>0xDE97</v>
      </c>
      <c r="V163" s="7" t="str">
        <f ca="1"/>
        <v>ScanType</v>
      </c>
    </row>
    <row r="164" spans="20:22" x14ac:dyDescent="0.25">
      <c r="T164" s="7" t="str">
        <f ca="1"/>
        <v>Z6</v>
      </c>
      <c r="U164" s="7" t="str">
        <f ca="1"/>
        <v>0xDE9A</v>
      </c>
      <c r="V164" s="7" t="str">
        <f ca="1"/>
        <v>AudioBitRate</v>
      </c>
    </row>
    <row r="165" spans="20:22" x14ac:dyDescent="0.25">
      <c r="T165" s="7" t="str">
        <f ca="1"/>
        <v>Z6</v>
      </c>
      <c r="U165" s="7" t="str">
        <f ca="1"/>
        <v>0xDE9B</v>
      </c>
      <c r="V165" s="7" t="str">
        <f ca="1"/>
        <v>VideoFourCCCode</v>
      </c>
    </row>
    <row r="166" spans="20:22" x14ac:dyDescent="0.25">
      <c r="T166" s="7" t="str">
        <f ca="1"/>
        <v>Z6</v>
      </c>
      <c r="U166" s="7" t="str">
        <f ca="1"/>
        <v>0xDE9C</v>
      </c>
      <c r="V166" s="7" t="str">
        <f ca="1"/>
        <v>VideoBitRate</v>
      </c>
    </row>
    <row r="167" spans="20:22" x14ac:dyDescent="0.25">
      <c r="T167" s="7" t="str">
        <f ca="1"/>
        <v>Z7</v>
      </c>
      <c r="U167" s="7" t="str">
        <f ca="1"/>
        <v>0xDC01</v>
      </c>
      <c r="V167" s="7" t="str">
        <f ca="1"/>
        <v>StorageID</v>
      </c>
    </row>
    <row r="168" spans="20:22" x14ac:dyDescent="0.25">
      <c r="T168" s="7" t="str">
        <f ca="1"/>
        <v>Z7</v>
      </c>
      <c r="U168" s="7" t="str">
        <f ca="1"/>
        <v>0xDC02</v>
      </c>
      <c r="V168" s="7" t="str">
        <f ca="1"/>
        <v>ObjectFormat</v>
      </c>
    </row>
    <row r="169" spans="20:22" x14ac:dyDescent="0.25">
      <c r="T169" s="7" t="str">
        <f ca="1"/>
        <v>Z7</v>
      </c>
      <c r="U169" s="7" t="str">
        <f ca="1"/>
        <v>0xDC03</v>
      </c>
      <c r="V169" s="7" t="str">
        <f ca="1"/>
        <v>ProtectionStatus</v>
      </c>
    </row>
    <row r="170" spans="20:22" x14ac:dyDescent="0.25">
      <c r="T170" s="7" t="str">
        <f ca="1"/>
        <v>Z7</v>
      </c>
      <c r="U170" s="7" t="str">
        <f ca="1"/>
        <v>0xDC04</v>
      </c>
      <c r="V170" s="7" t="str">
        <f ca="1"/>
        <v>ObjectSize</v>
      </c>
    </row>
    <row r="171" spans="20:22" x14ac:dyDescent="0.25">
      <c r="T171" s="7" t="str">
        <f ca="1"/>
        <v>Z7</v>
      </c>
      <c r="U171" s="7" t="str">
        <f ca="1"/>
        <v>0xDC07</v>
      </c>
      <c r="V171" s="7" t="str">
        <f ca="1"/>
        <v>ObjectFilename</v>
      </c>
    </row>
    <row r="172" spans="20:22" x14ac:dyDescent="0.25">
      <c r="T172" s="7" t="str">
        <f ca="1"/>
        <v>Z7</v>
      </c>
      <c r="U172" s="7" t="str">
        <f ca="1"/>
        <v>0xDC08</v>
      </c>
      <c r="V172" s="7" t="str">
        <f ca="1"/>
        <v>DateCreated</v>
      </c>
    </row>
    <row r="173" spans="20:22" x14ac:dyDescent="0.25">
      <c r="T173" s="7" t="str">
        <f ca="1"/>
        <v>Z7</v>
      </c>
      <c r="U173" s="7" t="str">
        <f ca="1"/>
        <v>0xDC09</v>
      </c>
      <c r="V173" s="7" t="str">
        <f ca="1"/>
        <v>DateModified</v>
      </c>
    </row>
    <row r="174" spans="20:22" x14ac:dyDescent="0.25">
      <c r="T174" s="7" t="str">
        <f ca="1"/>
        <v>Z7</v>
      </c>
      <c r="U174" s="7" t="str">
        <f ca="1"/>
        <v>0xDC0B</v>
      </c>
      <c r="V174" s="7" t="str">
        <f ca="1"/>
        <v>ParentObject</v>
      </c>
    </row>
    <row r="175" spans="20:22" x14ac:dyDescent="0.25">
      <c r="T175" s="7" t="str">
        <f ca="1"/>
        <v>Z7</v>
      </c>
      <c r="U175" s="7" t="str">
        <f ca="1"/>
        <v>0xDC0D</v>
      </c>
      <c r="V175" s="7" t="str">
        <f ca="1"/>
        <v>Hidden</v>
      </c>
    </row>
    <row r="176" spans="20:22" x14ac:dyDescent="0.25">
      <c r="T176" s="7" t="str">
        <f ca="1"/>
        <v>Z7</v>
      </c>
      <c r="U176" s="7" t="str">
        <f ca="1"/>
        <v>0xDC41</v>
      </c>
      <c r="V176" s="7" t="str">
        <f ca="1"/>
        <v>PersistentUniqueObjectIdentifier</v>
      </c>
    </row>
    <row r="177" spans="20:22" x14ac:dyDescent="0.25">
      <c r="T177" s="7" t="str">
        <f ca="1"/>
        <v>Z7</v>
      </c>
      <c r="U177" s="7" t="str">
        <f ca="1"/>
        <v>0xDC44</v>
      </c>
      <c r="V177" s="7" t="str">
        <f ca="1"/>
        <v>Name</v>
      </c>
    </row>
    <row r="178" spans="20:22" x14ac:dyDescent="0.25">
      <c r="T178" s="7" t="str">
        <f ca="1"/>
        <v>Z7</v>
      </c>
      <c r="U178" s="7" t="str">
        <f ca="1"/>
        <v>0xDC81</v>
      </c>
      <c r="V178" s="7" t="str">
        <f ca="1"/>
        <v>RepresentativeSampleFormat</v>
      </c>
    </row>
    <row r="179" spans="20:22" x14ac:dyDescent="0.25">
      <c r="T179" s="7" t="str">
        <f ca="1"/>
        <v>Z7</v>
      </c>
      <c r="U179" s="7" t="str">
        <f ca="1"/>
        <v>0xDC82</v>
      </c>
      <c r="V179" s="7" t="str">
        <f ca="1"/>
        <v>RepresentativeSampleSize</v>
      </c>
    </row>
    <row r="180" spans="20:22" x14ac:dyDescent="0.25">
      <c r="T180" s="7" t="str">
        <f ca="1"/>
        <v>Z7</v>
      </c>
      <c r="U180" s="7" t="str">
        <f ca="1"/>
        <v>0xDC83</v>
      </c>
      <c r="V180" s="7" t="str">
        <f ca="1"/>
        <v>RepresentativeSampleHeight</v>
      </c>
    </row>
    <row r="181" spans="20:22" x14ac:dyDescent="0.25">
      <c r="T181" s="7" t="str">
        <f ca="1"/>
        <v>Z7</v>
      </c>
      <c r="U181" s="7" t="str">
        <f ca="1"/>
        <v>0xDC84</v>
      </c>
      <c r="V181" s="7" t="str">
        <f ca="1"/>
        <v>RepresentativeSampleWidth</v>
      </c>
    </row>
    <row r="182" spans="20:22" x14ac:dyDescent="0.25">
      <c r="T182" s="7" t="str">
        <f ca="1"/>
        <v>Z7</v>
      </c>
      <c r="U182" s="7" t="str">
        <f ca="1"/>
        <v>0xDC86</v>
      </c>
      <c r="V182" s="7" t="str">
        <f ca="1"/>
        <v>RepresentativeSampleData</v>
      </c>
    </row>
    <row r="183" spans="20:22" x14ac:dyDescent="0.25">
      <c r="T183" s="7" t="str">
        <f ca="1"/>
        <v>Z7</v>
      </c>
      <c r="U183" s="7" t="str">
        <f ca="1"/>
        <v>0xDC87</v>
      </c>
      <c r="V183" s="7" t="str">
        <f ca="1"/>
        <v>Width</v>
      </c>
    </row>
    <row r="184" spans="20:22" x14ac:dyDescent="0.25">
      <c r="T184" s="7" t="str">
        <f ca="1"/>
        <v>Z7</v>
      </c>
      <c r="U184" s="7" t="str">
        <f ca="1"/>
        <v>0xDC88</v>
      </c>
      <c r="V184" s="7" t="str">
        <f ca="1"/>
        <v>Height</v>
      </c>
    </row>
    <row r="185" spans="20:22" x14ac:dyDescent="0.25">
      <c r="T185" s="7" t="str">
        <f ca="1"/>
        <v>Z7</v>
      </c>
      <c r="U185" s="7" t="str">
        <f ca="1"/>
        <v>0xDC8A</v>
      </c>
      <c r="V185" s="7" t="str">
        <f ca="1"/>
        <v>Rating</v>
      </c>
    </row>
    <row r="186" spans="20:22" x14ac:dyDescent="0.25">
      <c r="T186" s="7" t="str">
        <f ca="1"/>
        <v>Z7</v>
      </c>
      <c r="U186" s="7" t="str">
        <f ca="1"/>
        <v>0xDCD3</v>
      </c>
      <c r="V186" s="7" t="str">
        <f ca="1"/>
        <v>ImageBitDepth</v>
      </c>
    </row>
    <row r="187" spans="20:22" x14ac:dyDescent="0.25">
      <c r="T187" s="7" t="str">
        <f ca="1"/>
        <v>Z7</v>
      </c>
      <c r="U187" s="7" t="str">
        <f ca="1"/>
        <v>0xDC89</v>
      </c>
      <c r="V187" s="7" t="str">
        <f ca="1"/>
        <v>Duration</v>
      </c>
    </row>
    <row r="188" spans="20:22" x14ac:dyDescent="0.25">
      <c r="T188" s="7" t="str">
        <f ca="1"/>
        <v>Z7</v>
      </c>
      <c r="U188" s="7" t="str">
        <f ca="1"/>
        <v>0xDE93</v>
      </c>
      <c r="V188" s="7" t="str">
        <f ca="1"/>
        <v>SampleRate</v>
      </c>
    </row>
    <row r="189" spans="20:22" x14ac:dyDescent="0.25">
      <c r="T189" s="7" t="str">
        <f ca="1"/>
        <v>Z7</v>
      </c>
      <c r="U189" s="7" t="str">
        <f ca="1"/>
        <v>0xDE94</v>
      </c>
      <c r="V189" s="7" t="str">
        <f ca="1"/>
        <v>NumberOfChannels</v>
      </c>
    </row>
    <row r="190" spans="20:22" x14ac:dyDescent="0.25">
      <c r="T190" s="7" t="str">
        <f ca="1"/>
        <v>Z7</v>
      </c>
      <c r="U190" s="7" t="str">
        <f ca="1"/>
        <v>0xDE97</v>
      </c>
      <c r="V190" s="7" t="str">
        <f ca="1"/>
        <v>ScanType</v>
      </c>
    </row>
    <row r="191" spans="20:22" x14ac:dyDescent="0.25">
      <c r="T191" s="7" t="str">
        <f ca="1"/>
        <v>Z7</v>
      </c>
      <c r="U191" s="7" t="str">
        <f ca="1"/>
        <v>0xDE9A</v>
      </c>
      <c r="V191" s="7" t="str">
        <f ca="1"/>
        <v>AudioBitRate</v>
      </c>
    </row>
    <row r="192" spans="20:22" x14ac:dyDescent="0.25">
      <c r="T192" s="7" t="str">
        <f ca="1"/>
        <v>Z7</v>
      </c>
      <c r="U192" s="7" t="str">
        <f ca="1"/>
        <v>0xDE9B</v>
      </c>
      <c r="V192" s="7" t="str">
        <f ca="1"/>
        <v>VideoFourCCCode</v>
      </c>
    </row>
    <row r="193" spans="20:22" x14ac:dyDescent="0.25">
      <c r="T193" s="7" t="str">
        <f ca="1"/>
        <v>Z7</v>
      </c>
      <c r="U193" s="7" t="str">
        <f ca="1"/>
        <v>0xDE9C</v>
      </c>
      <c r="V193" s="7" t="str">
        <f ca="1"/>
        <v>VideoBitRate</v>
      </c>
    </row>
    <row r="194" spans="20:22" x14ac:dyDescent="0.25">
      <c r="T194" s="7" t="str">
        <f ca="1"/>
        <v>Z5</v>
      </c>
      <c r="U194" s="7" t="str">
        <f ca="1"/>
        <v>0xDC01</v>
      </c>
      <c r="V194" s="7" t="str">
        <f ca="1"/>
        <v>StorageID</v>
      </c>
    </row>
    <row r="195" spans="20:22" x14ac:dyDescent="0.25">
      <c r="T195" s="7" t="str">
        <f ca="1"/>
        <v>Z5</v>
      </c>
      <c r="U195" s="7" t="str">
        <f ca="1"/>
        <v>0xDC02</v>
      </c>
      <c r="V195" s="7" t="str">
        <f ca="1"/>
        <v>ObjectFormat</v>
      </c>
    </row>
    <row r="196" spans="20:22" x14ac:dyDescent="0.25">
      <c r="T196" s="7" t="str">
        <f ca="1"/>
        <v>Z5</v>
      </c>
      <c r="U196" s="7" t="str">
        <f ca="1"/>
        <v>0xDC03</v>
      </c>
      <c r="V196" s="7" t="str">
        <f ca="1"/>
        <v>ProtectionStatus</v>
      </c>
    </row>
    <row r="197" spans="20:22" x14ac:dyDescent="0.25">
      <c r="T197" s="7" t="str">
        <f ca="1"/>
        <v>Z5</v>
      </c>
      <c r="U197" s="7" t="str">
        <f ca="1"/>
        <v>0xDC04</v>
      </c>
      <c r="V197" s="7" t="str">
        <f ca="1"/>
        <v>ObjectSize</v>
      </c>
    </row>
    <row r="198" spans="20:22" x14ac:dyDescent="0.25">
      <c r="T198" s="7" t="str">
        <f ca="1"/>
        <v>Z5</v>
      </c>
      <c r="U198" s="7" t="str">
        <f ca="1"/>
        <v>0xDC07</v>
      </c>
      <c r="V198" s="7" t="str">
        <f ca="1"/>
        <v>ObjectFilename</v>
      </c>
    </row>
    <row r="199" spans="20:22" x14ac:dyDescent="0.25">
      <c r="T199" s="7" t="str">
        <f ca="1"/>
        <v>Z5</v>
      </c>
      <c r="U199" s="7" t="str">
        <f ca="1"/>
        <v>0xDC08</v>
      </c>
      <c r="V199" s="7" t="str">
        <f ca="1"/>
        <v>DateCreated</v>
      </c>
    </row>
    <row r="200" spans="20:22" x14ac:dyDescent="0.25">
      <c r="T200" s="7" t="str">
        <f ca="1"/>
        <v>Z5</v>
      </c>
      <c r="U200" s="7" t="str">
        <f ca="1"/>
        <v>0xDC09</v>
      </c>
      <c r="V200" s="7" t="str">
        <f ca="1"/>
        <v>DateModified</v>
      </c>
    </row>
    <row r="201" spans="20:22" x14ac:dyDescent="0.25">
      <c r="T201" s="7" t="str">
        <f ca="1"/>
        <v>Z5</v>
      </c>
      <c r="U201" s="7" t="str">
        <f ca="1"/>
        <v>0xDC0B</v>
      </c>
      <c r="V201" s="7" t="str">
        <f ca="1"/>
        <v>ParentObject</v>
      </c>
    </row>
    <row r="202" spans="20:22" x14ac:dyDescent="0.25">
      <c r="T202" s="7" t="str">
        <f ca="1"/>
        <v>Z5</v>
      </c>
      <c r="U202" s="7" t="str">
        <f ca="1"/>
        <v>0xDC0D</v>
      </c>
      <c r="V202" s="7" t="str">
        <f ca="1"/>
        <v>Hidden</v>
      </c>
    </row>
    <row r="203" spans="20:22" x14ac:dyDescent="0.25">
      <c r="T203" s="7" t="str">
        <f ca="1"/>
        <v>Z5</v>
      </c>
      <c r="U203" s="7" t="str">
        <f ca="1"/>
        <v>0xDC41</v>
      </c>
      <c r="V203" s="7" t="str">
        <f ca="1"/>
        <v>PersistentUniqueObjectIdentifier</v>
      </c>
    </row>
    <row r="204" spans="20:22" x14ac:dyDescent="0.25">
      <c r="T204" s="7" t="str">
        <f ca="1"/>
        <v>Z5</v>
      </c>
      <c r="U204" s="7" t="str">
        <f ca="1"/>
        <v>0xDC44</v>
      </c>
      <c r="V204" s="7" t="str">
        <f ca="1"/>
        <v>Name</v>
      </c>
    </row>
    <row r="205" spans="20:22" x14ac:dyDescent="0.25">
      <c r="T205" s="7" t="str">
        <f ca="1"/>
        <v>Z5</v>
      </c>
      <c r="U205" s="7" t="str">
        <f ca="1"/>
        <v>0xDC81</v>
      </c>
      <c r="V205" s="7" t="str">
        <f ca="1"/>
        <v>RepresentativeSampleFormat</v>
      </c>
    </row>
    <row r="206" spans="20:22" x14ac:dyDescent="0.25">
      <c r="T206" s="7" t="str">
        <f ca="1"/>
        <v>Z5</v>
      </c>
      <c r="U206" s="7" t="str">
        <f ca="1"/>
        <v>0xDC82</v>
      </c>
      <c r="V206" s="7" t="str">
        <f ca="1"/>
        <v>RepresentativeSampleSize</v>
      </c>
    </row>
    <row r="207" spans="20:22" x14ac:dyDescent="0.25">
      <c r="T207" s="7" t="str">
        <f ca="1"/>
        <v>Z5</v>
      </c>
      <c r="U207" s="7" t="str">
        <f ca="1"/>
        <v>0xDC83</v>
      </c>
      <c r="V207" s="7" t="str">
        <f ca="1"/>
        <v>RepresentativeSampleHeight</v>
      </c>
    </row>
    <row r="208" spans="20:22" x14ac:dyDescent="0.25">
      <c r="T208" s="7" t="str">
        <f ca="1"/>
        <v>Z5</v>
      </c>
      <c r="U208" s="7" t="str">
        <f ca="1"/>
        <v>0xDC84</v>
      </c>
      <c r="V208" s="7" t="str">
        <f ca="1"/>
        <v>RepresentativeSampleWidth</v>
      </c>
    </row>
    <row r="209" spans="20:22" x14ac:dyDescent="0.25">
      <c r="T209" s="7" t="str">
        <f ca="1"/>
        <v>Z5</v>
      </c>
      <c r="U209" s="7" t="str">
        <f ca="1"/>
        <v>0xDC86</v>
      </c>
      <c r="V209" s="7" t="str">
        <f ca="1"/>
        <v>RepresentativeSampleData</v>
      </c>
    </row>
    <row r="210" spans="20:22" x14ac:dyDescent="0.25">
      <c r="T210" s="7" t="str">
        <f ca="1"/>
        <v>Z5</v>
      </c>
      <c r="U210" s="7" t="str">
        <f ca="1"/>
        <v>0xDC87</v>
      </c>
      <c r="V210" s="7" t="str">
        <f ca="1"/>
        <v>Width</v>
      </c>
    </row>
    <row r="211" spans="20:22" x14ac:dyDescent="0.25">
      <c r="T211" s="7" t="str">
        <f ca="1"/>
        <v>Z5</v>
      </c>
      <c r="U211" s="7" t="str">
        <f ca="1"/>
        <v>0xDC88</v>
      </c>
      <c r="V211" s="7" t="str">
        <f ca="1"/>
        <v>Height</v>
      </c>
    </row>
    <row r="212" spans="20:22" x14ac:dyDescent="0.25">
      <c r="T212" s="7" t="str">
        <f ca="1"/>
        <v>Z5</v>
      </c>
      <c r="U212" s="7" t="str">
        <f ca="1"/>
        <v>0xDC8A</v>
      </c>
      <c r="V212" s="7" t="str">
        <f ca="1"/>
        <v>Rating</v>
      </c>
    </row>
    <row r="213" spans="20:22" x14ac:dyDescent="0.25">
      <c r="T213" s="7" t="str">
        <f ca="1"/>
        <v>Z5</v>
      </c>
      <c r="U213" s="7" t="str">
        <f ca="1"/>
        <v>0xDCD3</v>
      </c>
      <c r="V213" s="7" t="str">
        <f ca="1"/>
        <v>ImageBitDepth</v>
      </c>
    </row>
    <row r="214" spans="20:22" x14ac:dyDescent="0.25">
      <c r="T214" s="7" t="str">
        <f ca="1"/>
        <v>Z5</v>
      </c>
      <c r="U214" s="7" t="str">
        <f ca="1"/>
        <v>0xDC89</v>
      </c>
      <c r="V214" s="7" t="str">
        <f ca="1"/>
        <v>Duration</v>
      </c>
    </row>
    <row r="215" spans="20:22" x14ac:dyDescent="0.25">
      <c r="T215" s="7" t="str">
        <f ca="1"/>
        <v>Z5</v>
      </c>
      <c r="U215" s="7" t="str">
        <f ca="1"/>
        <v>0xDE93</v>
      </c>
      <c r="V215" s="7" t="str">
        <f ca="1"/>
        <v>SampleRate</v>
      </c>
    </row>
    <row r="216" spans="20:22" x14ac:dyDescent="0.25">
      <c r="T216" s="7" t="str">
        <f ca="1"/>
        <v>Z5</v>
      </c>
      <c r="U216" s="7" t="str">
        <f ca="1"/>
        <v>0xDE94</v>
      </c>
      <c r="V216" s="7" t="str">
        <f ca="1"/>
        <v>NumberOfChannels</v>
      </c>
    </row>
    <row r="217" spans="20:22" x14ac:dyDescent="0.25">
      <c r="T217" s="7" t="str">
        <f ca="1"/>
        <v>Z5</v>
      </c>
      <c r="U217" s="7" t="str">
        <f ca="1"/>
        <v>0xDE97</v>
      </c>
      <c r="V217" s="7" t="str">
        <f ca="1"/>
        <v>ScanType</v>
      </c>
    </row>
    <row r="218" spans="20:22" x14ac:dyDescent="0.25">
      <c r="T218" s="7" t="str">
        <f ca="1"/>
        <v>Z5</v>
      </c>
      <c r="U218" s="7" t="str">
        <f ca="1"/>
        <v>0xDE9A</v>
      </c>
      <c r="V218" s="7" t="str">
        <f ca="1"/>
        <v>AudioBitRate</v>
      </c>
    </row>
    <row r="219" spans="20:22" x14ac:dyDescent="0.25">
      <c r="T219" s="7" t="str">
        <f ca="1"/>
        <v>Z5</v>
      </c>
      <c r="U219" s="7" t="str">
        <f ca="1"/>
        <v>0xDE9B</v>
      </c>
      <c r="V219" s="7" t="str">
        <f ca="1"/>
        <v>VideoFourCCCode</v>
      </c>
    </row>
    <row r="220" spans="20:22" x14ac:dyDescent="0.25">
      <c r="T220" s="7" t="str">
        <f ca="1"/>
        <v>Z5</v>
      </c>
      <c r="U220" s="7" t="str">
        <f ca="1"/>
        <v>0xDE9C</v>
      </c>
      <c r="V220" s="7" t="str">
        <f ca="1"/>
        <v>VideoBitRate</v>
      </c>
    </row>
    <row r="221" spans="20:22" x14ac:dyDescent="0.25">
      <c r="T221" s="7" t="str">
        <f ca="1"/>
        <v>D6</v>
      </c>
      <c r="U221" s="7" t="str">
        <f ca="1"/>
        <v>0xDC01</v>
      </c>
      <c r="V221" s="7" t="str">
        <f ca="1"/>
        <v>StorageID</v>
      </c>
    </row>
    <row r="222" spans="20:22" x14ac:dyDescent="0.25">
      <c r="T222" s="7" t="str">
        <f ca="1"/>
        <v>D6</v>
      </c>
      <c r="U222" s="7" t="str">
        <f ca="1"/>
        <v>0xDC02</v>
      </c>
      <c r="V222" s="7" t="str">
        <f ca="1"/>
        <v>ObjectFormat</v>
      </c>
    </row>
    <row r="223" spans="20:22" x14ac:dyDescent="0.25">
      <c r="T223" s="7" t="str">
        <f ca="1"/>
        <v>D6</v>
      </c>
      <c r="U223" s="7" t="str">
        <f ca="1"/>
        <v>0xDC03</v>
      </c>
      <c r="V223" s="7" t="str">
        <f ca="1"/>
        <v>ProtectionStatus</v>
      </c>
    </row>
    <row r="224" spans="20:22" x14ac:dyDescent="0.25">
      <c r="T224" s="7" t="str">
        <f ca="1"/>
        <v>D6</v>
      </c>
      <c r="U224" s="7" t="str">
        <f ca="1"/>
        <v>0xDC04</v>
      </c>
      <c r="V224" s="7" t="str">
        <f ca="1"/>
        <v>ObjectSize</v>
      </c>
    </row>
    <row r="225" spans="20:22" x14ac:dyDescent="0.25">
      <c r="T225" s="7" t="str">
        <f ca="1"/>
        <v>D6</v>
      </c>
      <c r="U225" s="7" t="str">
        <f ca="1"/>
        <v>0xDC07</v>
      </c>
      <c r="V225" s="7" t="str">
        <f ca="1"/>
        <v>ObjectFilename</v>
      </c>
    </row>
    <row r="226" spans="20:22" x14ac:dyDescent="0.25">
      <c r="T226" s="7" t="str">
        <f ca="1"/>
        <v>D6</v>
      </c>
      <c r="U226" s="7" t="str">
        <f ca="1"/>
        <v>0xDC08</v>
      </c>
      <c r="V226" s="7" t="str">
        <f ca="1"/>
        <v>DateCreated</v>
      </c>
    </row>
    <row r="227" spans="20:22" x14ac:dyDescent="0.25">
      <c r="T227" s="7" t="str">
        <f ca="1"/>
        <v>D6</v>
      </c>
      <c r="U227" s="7" t="str">
        <f ca="1"/>
        <v>0xDC09</v>
      </c>
      <c r="V227" s="7" t="str">
        <f ca="1"/>
        <v>DateModified</v>
      </c>
    </row>
    <row r="228" spans="20:22" x14ac:dyDescent="0.25">
      <c r="T228" s="7" t="str">
        <f ca="1"/>
        <v>D6</v>
      </c>
      <c r="U228" s="7" t="str">
        <f ca="1"/>
        <v>0xDC0B</v>
      </c>
      <c r="V228" s="7" t="str">
        <f ca="1"/>
        <v>ParentObject</v>
      </c>
    </row>
    <row r="229" spans="20:22" x14ac:dyDescent="0.25">
      <c r="T229" s="7" t="str">
        <f ca="1"/>
        <v>D6</v>
      </c>
      <c r="U229" s="7" t="str">
        <f ca="1"/>
        <v>0xDC0D</v>
      </c>
      <c r="V229" s="7" t="str">
        <f ca="1"/>
        <v>Hidden</v>
      </c>
    </row>
    <row r="230" spans="20:22" x14ac:dyDescent="0.25">
      <c r="T230" s="7" t="str">
        <f ca="1"/>
        <v>D6</v>
      </c>
      <c r="U230" s="7" t="str">
        <f ca="1"/>
        <v>0xDC41</v>
      </c>
      <c r="V230" s="7" t="str">
        <f ca="1"/>
        <v>PersistentUniqueObjectIdentifier</v>
      </c>
    </row>
    <row r="231" spans="20:22" x14ac:dyDescent="0.25">
      <c r="T231" s="7" t="str">
        <f ca="1"/>
        <v>D6</v>
      </c>
      <c r="U231" s="7" t="str">
        <f ca="1"/>
        <v>0xDC44</v>
      </c>
      <c r="V231" s="7" t="str">
        <f ca="1"/>
        <v>Name</v>
      </c>
    </row>
    <row r="232" spans="20:22" x14ac:dyDescent="0.25">
      <c r="T232" s="7" t="str">
        <f ca="1"/>
        <v>D6</v>
      </c>
      <c r="U232" s="7" t="str">
        <f ca="1"/>
        <v>0xDC81</v>
      </c>
      <c r="V232" s="7" t="str">
        <f ca="1"/>
        <v>RepresentativeSampleFormat</v>
      </c>
    </row>
    <row r="233" spans="20:22" x14ac:dyDescent="0.25">
      <c r="T233" s="7" t="str">
        <f ca="1"/>
        <v>D6</v>
      </c>
      <c r="U233" s="7" t="str">
        <f ca="1"/>
        <v>0xDC82</v>
      </c>
      <c r="V233" s="7" t="str">
        <f ca="1"/>
        <v>RepresentativeSampleSize</v>
      </c>
    </row>
    <row r="234" spans="20:22" x14ac:dyDescent="0.25">
      <c r="T234" s="7" t="str">
        <f ca="1"/>
        <v>D6</v>
      </c>
      <c r="U234" s="7" t="str">
        <f ca="1"/>
        <v>0xDC83</v>
      </c>
      <c r="V234" s="7" t="str">
        <f ca="1"/>
        <v>RepresentativeSampleHeight</v>
      </c>
    </row>
    <row r="235" spans="20:22" x14ac:dyDescent="0.25">
      <c r="T235" s="7" t="str">
        <f ca="1"/>
        <v>D6</v>
      </c>
      <c r="U235" s="7" t="str">
        <f ca="1"/>
        <v>0xDC84</v>
      </c>
      <c r="V235" s="7" t="str">
        <f ca="1"/>
        <v>RepresentativeSampleWidth</v>
      </c>
    </row>
    <row r="236" spans="20:22" x14ac:dyDescent="0.25">
      <c r="T236" s="7" t="str">
        <f ca="1"/>
        <v>D6</v>
      </c>
      <c r="U236" s="7" t="str">
        <f ca="1"/>
        <v>0xDC86</v>
      </c>
      <c r="V236" s="7" t="str">
        <f ca="1"/>
        <v>RepresentativeSampleData</v>
      </c>
    </row>
    <row r="237" spans="20:22" x14ac:dyDescent="0.25">
      <c r="T237" s="7" t="str">
        <f ca="1"/>
        <v>D6</v>
      </c>
      <c r="U237" s="7" t="str">
        <f ca="1"/>
        <v>0xDC87</v>
      </c>
      <c r="V237" s="7" t="str">
        <f ca="1"/>
        <v>Width</v>
      </c>
    </row>
    <row r="238" spans="20:22" x14ac:dyDescent="0.25">
      <c r="T238" s="7" t="str">
        <f ca="1"/>
        <v>D6</v>
      </c>
      <c r="U238" s="7" t="str">
        <f ca="1"/>
        <v>0xDC88</v>
      </c>
      <c r="V238" s="7" t="str">
        <f ca="1"/>
        <v>Height</v>
      </c>
    </row>
    <row r="239" spans="20:22" x14ac:dyDescent="0.25">
      <c r="T239" s="7" t="str">
        <f ca="1"/>
        <v>D6</v>
      </c>
      <c r="U239" s="7" t="str">
        <f ca="1"/>
        <v>0xDC8A</v>
      </c>
      <c r="V239" s="7" t="str">
        <f ca="1"/>
        <v>Rating</v>
      </c>
    </row>
    <row r="240" spans="20:22" x14ac:dyDescent="0.25">
      <c r="T240" s="7" t="str">
        <f ca="1"/>
        <v>D6</v>
      </c>
      <c r="U240" s="7" t="str">
        <f ca="1"/>
        <v>0xDCD3</v>
      </c>
      <c r="V240" s="7" t="str">
        <f ca="1"/>
        <v>ImageBitDepth</v>
      </c>
    </row>
    <row r="241" spans="20:22" x14ac:dyDescent="0.25">
      <c r="T241" s="7" t="str">
        <f ca="1"/>
        <v>D6</v>
      </c>
      <c r="U241" s="7" t="str">
        <f ca="1"/>
        <v>0xDC89</v>
      </c>
      <c r="V241" s="7" t="str">
        <f ca="1"/>
        <v>Duration</v>
      </c>
    </row>
    <row r="242" spans="20:22" x14ac:dyDescent="0.25">
      <c r="T242" s="7" t="str">
        <f ca="1"/>
        <v>D6</v>
      </c>
      <c r="U242" s="7" t="str">
        <f ca="1"/>
        <v>0xDE93</v>
      </c>
      <c r="V242" s="7" t="str">
        <f ca="1"/>
        <v>SampleRate</v>
      </c>
    </row>
    <row r="243" spans="20:22" x14ac:dyDescent="0.25">
      <c r="T243" s="7" t="str">
        <f ca="1"/>
        <v>D6</v>
      </c>
      <c r="U243" s="7" t="str">
        <f ca="1"/>
        <v>0xDE94</v>
      </c>
      <c r="V243" s="7" t="str">
        <f ca="1"/>
        <v>NumberOfChannels</v>
      </c>
    </row>
    <row r="244" spans="20:22" x14ac:dyDescent="0.25">
      <c r="T244" s="7" t="str">
        <f ca="1"/>
        <v>D6</v>
      </c>
      <c r="U244" s="7" t="str">
        <f ca="1"/>
        <v>0xDE97</v>
      </c>
      <c r="V244" s="7" t="str">
        <f ca="1"/>
        <v>ScanType</v>
      </c>
    </row>
    <row r="245" spans="20:22" x14ac:dyDescent="0.25">
      <c r="T245" s="7" t="str">
        <f ca="1"/>
        <v>D6</v>
      </c>
      <c r="U245" s="7" t="str">
        <f ca="1"/>
        <v>0xDE9A</v>
      </c>
      <c r="V245" s="7" t="str">
        <f ca="1"/>
        <v>AudioBitRate</v>
      </c>
    </row>
    <row r="246" spans="20:22" x14ac:dyDescent="0.25">
      <c r="T246" s="7" t="str">
        <f ca="1"/>
        <v>D6</v>
      </c>
      <c r="U246" s="7" t="str">
        <f ca="1"/>
        <v>0xDE9B</v>
      </c>
      <c r="V246" s="7" t="str">
        <f ca="1"/>
        <v>VideoFourCCCode</v>
      </c>
    </row>
    <row r="247" spans="20:22" x14ac:dyDescent="0.25">
      <c r="T247" s="7" t="str">
        <f ca="1"/>
        <v>D6</v>
      </c>
      <c r="U247" s="7" t="str">
        <f ca="1"/>
        <v>0xDE9C</v>
      </c>
      <c r="V247" s="7" t="str">
        <f ca="1"/>
        <v>VideoBitRate</v>
      </c>
    </row>
    <row r="248" spans="20:22" x14ac:dyDescent="0.25">
      <c r="T248" s="7" t="str">
        <f ca="1"/>
        <v>D5</v>
      </c>
      <c r="U248" s="7" t="str">
        <f ca="1"/>
        <v>0xDC01</v>
      </c>
      <c r="V248" s="7" t="str">
        <f ca="1"/>
        <v>StorageID</v>
      </c>
    </row>
    <row r="249" spans="20:22" x14ac:dyDescent="0.25">
      <c r="T249" s="7" t="str">
        <f ca="1"/>
        <v>D5</v>
      </c>
      <c r="U249" s="7" t="str">
        <f ca="1"/>
        <v>0xDC02</v>
      </c>
      <c r="V249" s="7" t="str">
        <f ca="1"/>
        <v>ObjectFormat</v>
      </c>
    </row>
    <row r="250" spans="20:22" x14ac:dyDescent="0.25">
      <c r="T250" s="7" t="str">
        <f ca="1"/>
        <v>D5</v>
      </c>
      <c r="U250" s="7" t="str">
        <f ca="1"/>
        <v>0xDC03</v>
      </c>
      <c r="V250" s="7" t="str">
        <f ca="1"/>
        <v>ProtectionStatus</v>
      </c>
    </row>
    <row r="251" spans="20:22" x14ac:dyDescent="0.25">
      <c r="T251" s="7" t="str">
        <f ca="1"/>
        <v>D5</v>
      </c>
      <c r="U251" s="7" t="str">
        <f ca="1"/>
        <v>0xDC04</v>
      </c>
      <c r="V251" s="7" t="str">
        <f ca="1"/>
        <v>ObjectSize</v>
      </c>
    </row>
    <row r="252" spans="20:22" x14ac:dyDescent="0.25">
      <c r="T252" s="7" t="str">
        <f ca="1"/>
        <v>D5</v>
      </c>
      <c r="U252" s="7" t="str">
        <f ca="1"/>
        <v>0xDC07</v>
      </c>
      <c r="V252" s="7" t="str">
        <f ca="1"/>
        <v>ObjectFilename</v>
      </c>
    </row>
    <row r="253" spans="20:22" x14ac:dyDescent="0.25">
      <c r="T253" s="7" t="str">
        <f ca="1"/>
        <v>D5</v>
      </c>
      <c r="U253" s="7" t="str">
        <f ca="1"/>
        <v>0xDC08</v>
      </c>
      <c r="V253" s="7" t="str">
        <f ca="1"/>
        <v>DateCreated</v>
      </c>
    </row>
    <row r="254" spans="20:22" x14ac:dyDescent="0.25">
      <c r="T254" s="7" t="str">
        <f ca="1"/>
        <v>D5</v>
      </c>
      <c r="U254" s="7" t="str">
        <f ca="1"/>
        <v>0xDC09</v>
      </c>
      <c r="V254" s="7" t="str">
        <f ca="1"/>
        <v>DateModified</v>
      </c>
    </row>
    <row r="255" spans="20:22" x14ac:dyDescent="0.25">
      <c r="T255" s="7" t="str">
        <f ca="1"/>
        <v>D5</v>
      </c>
      <c r="U255" s="7" t="str">
        <f ca="1"/>
        <v>0xDC0B</v>
      </c>
      <c r="V255" s="7" t="str">
        <f ca="1"/>
        <v>ParentObject</v>
      </c>
    </row>
    <row r="256" spans="20:22" x14ac:dyDescent="0.25">
      <c r="T256" s="7" t="str">
        <f ca="1"/>
        <v>D5</v>
      </c>
      <c r="U256" s="7" t="str">
        <f ca="1"/>
        <v>0xDC0D</v>
      </c>
      <c r="V256" s="7" t="str">
        <f ca="1"/>
        <v>Hidden</v>
      </c>
    </row>
    <row r="257" spans="20:22" x14ac:dyDescent="0.25">
      <c r="T257" s="7" t="str">
        <f ca="1"/>
        <v>D5</v>
      </c>
      <c r="U257" s="7" t="str">
        <f ca="1"/>
        <v>0xDC41</v>
      </c>
      <c r="V257" s="7" t="str">
        <f ca="1"/>
        <v>PersistentUniqueObjectIdentifier</v>
      </c>
    </row>
    <row r="258" spans="20:22" x14ac:dyDescent="0.25">
      <c r="T258" s="7" t="str">
        <f ca="1"/>
        <v>D5</v>
      </c>
      <c r="U258" s="7" t="str">
        <f ca="1"/>
        <v>0xDC44</v>
      </c>
      <c r="V258" s="7" t="str">
        <f ca="1"/>
        <v>Name</v>
      </c>
    </row>
    <row r="259" spans="20:22" x14ac:dyDescent="0.25">
      <c r="T259" s="7" t="str">
        <f ca="1"/>
        <v>D5</v>
      </c>
      <c r="U259" s="7" t="str">
        <f ca="1"/>
        <v>0xDC81</v>
      </c>
      <c r="V259" s="7" t="str">
        <f ca="1"/>
        <v>RepresentativeSampleFormat</v>
      </c>
    </row>
    <row r="260" spans="20:22" x14ac:dyDescent="0.25">
      <c r="T260" s="7" t="str">
        <f ca="1"/>
        <v>D5</v>
      </c>
      <c r="U260" s="7" t="str">
        <f ca="1"/>
        <v>0xDC82</v>
      </c>
      <c r="V260" s="7" t="str">
        <f ca="1"/>
        <v>RepresentativeSampleSize</v>
      </c>
    </row>
    <row r="261" spans="20:22" x14ac:dyDescent="0.25">
      <c r="T261" s="7" t="str">
        <f ca="1"/>
        <v>D5</v>
      </c>
      <c r="U261" s="7" t="str">
        <f ca="1"/>
        <v>0xDC83</v>
      </c>
      <c r="V261" s="7" t="str">
        <f ca="1"/>
        <v>RepresentativeSampleHeight</v>
      </c>
    </row>
    <row r="262" spans="20:22" x14ac:dyDescent="0.25">
      <c r="T262" s="7" t="str">
        <f ca="1"/>
        <v>D5</v>
      </c>
      <c r="U262" s="7" t="str">
        <f ca="1"/>
        <v>0xDC84</v>
      </c>
      <c r="V262" s="7" t="str">
        <f ca="1"/>
        <v>RepresentativeSampleWidth</v>
      </c>
    </row>
    <row r="263" spans="20:22" x14ac:dyDescent="0.25">
      <c r="T263" s="7" t="str">
        <f ca="1"/>
        <v>D5</v>
      </c>
      <c r="U263" s="7" t="str">
        <f ca="1"/>
        <v>0xDC86</v>
      </c>
      <c r="V263" s="7" t="str">
        <f ca="1"/>
        <v>RepresentativeSampleData</v>
      </c>
    </row>
    <row r="264" spans="20:22" x14ac:dyDescent="0.25">
      <c r="T264" s="7" t="str">
        <f ca="1"/>
        <v>D5</v>
      </c>
      <c r="U264" s="7" t="str">
        <f ca="1"/>
        <v>0xDC87</v>
      </c>
      <c r="V264" s="7" t="str">
        <f ca="1"/>
        <v>Width</v>
      </c>
    </row>
    <row r="265" spans="20:22" x14ac:dyDescent="0.25">
      <c r="T265" s="7" t="str">
        <f ca="1"/>
        <v>D5</v>
      </c>
      <c r="U265" s="7" t="str">
        <f ca="1"/>
        <v>0xDC88</v>
      </c>
      <c r="V265" s="7" t="str">
        <f ca="1"/>
        <v>Height</v>
      </c>
    </row>
    <row r="266" spans="20:22" x14ac:dyDescent="0.25">
      <c r="T266" s="7" t="str">
        <f ca="1"/>
        <v>D5</v>
      </c>
      <c r="U266" s="7" t="str">
        <f ca="1"/>
        <v>0xDC8A</v>
      </c>
      <c r="V266" s="7" t="str">
        <f ca="1"/>
        <v>Rating</v>
      </c>
    </row>
    <row r="267" spans="20:22" x14ac:dyDescent="0.25">
      <c r="T267" s="7" t="str">
        <f ca="1"/>
        <v>D5</v>
      </c>
      <c r="U267" s="7" t="str">
        <f ca="1"/>
        <v>0xDCD3</v>
      </c>
      <c r="V267" s="7" t="str">
        <f ca="1"/>
        <v>ImageBitDepth</v>
      </c>
    </row>
    <row r="268" spans="20:22" x14ac:dyDescent="0.25">
      <c r="T268" s="7" t="str">
        <f ca="1"/>
        <v>D5</v>
      </c>
      <c r="U268" s="7" t="str">
        <f ca="1"/>
        <v>0xDC89</v>
      </c>
      <c r="V268" s="7" t="str">
        <f ca="1"/>
        <v>Duration</v>
      </c>
    </row>
    <row r="269" spans="20:22" x14ac:dyDescent="0.25">
      <c r="T269" s="7" t="str">
        <f ca="1"/>
        <v>D5</v>
      </c>
      <c r="U269" s="7" t="str">
        <f ca="1"/>
        <v>0xDE93</v>
      </c>
      <c r="V269" s="7" t="str">
        <f ca="1"/>
        <v>SampleRate</v>
      </c>
    </row>
    <row r="270" spans="20:22" x14ac:dyDescent="0.25">
      <c r="T270" s="7" t="str">
        <f ca="1"/>
        <v>D5</v>
      </c>
      <c r="U270" s="7" t="str">
        <f ca="1"/>
        <v>0xDE94</v>
      </c>
      <c r="V270" s="7" t="str">
        <f ca="1"/>
        <v>NumberOfChannels</v>
      </c>
    </row>
    <row r="271" spans="20:22" x14ac:dyDescent="0.25">
      <c r="T271" s="7" t="str">
        <f ca="1"/>
        <v>D5</v>
      </c>
      <c r="U271" s="7" t="str">
        <f ca="1"/>
        <v>0xDE97</v>
      </c>
      <c r="V271" s="7" t="str">
        <f ca="1"/>
        <v>ScanType</v>
      </c>
    </row>
    <row r="272" spans="20:22" x14ac:dyDescent="0.25">
      <c r="T272" s="7" t="str">
        <f ca="1"/>
        <v>D5</v>
      </c>
      <c r="U272" s="7" t="str">
        <f ca="1"/>
        <v>0xDE9A</v>
      </c>
      <c r="V272" s="7" t="str">
        <f ca="1"/>
        <v>AudioBitRate</v>
      </c>
    </row>
    <row r="273" spans="20:22" x14ac:dyDescent="0.25">
      <c r="T273" s="7" t="str">
        <f ca="1"/>
        <v>D5</v>
      </c>
      <c r="U273" s="7" t="str">
        <f ca="1"/>
        <v>0xDE9B</v>
      </c>
      <c r="V273" s="7" t="str">
        <f ca="1"/>
        <v>VideoFourCCCode</v>
      </c>
    </row>
    <row r="274" spans="20:22" x14ac:dyDescent="0.25">
      <c r="T274" s="7" t="str">
        <f ca="1"/>
        <v>D5</v>
      </c>
      <c r="U274" s="7" t="str">
        <f ca="1"/>
        <v>0xDE9C</v>
      </c>
      <c r="V274" s="7" t="str">
        <f ca="1"/>
        <v>VideoBitRate</v>
      </c>
    </row>
    <row r="275" spans="20:22" x14ac:dyDescent="0.25">
      <c r="T275" s="7" t="str">
        <f ca="1"/>
        <v>D4S</v>
      </c>
      <c r="U275" s="7" t="str">
        <f ca="1"/>
        <v>0xDC01</v>
      </c>
      <c r="V275" s="7" t="str">
        <f ca="1"/>
        <v>StorageID</v>
      </c>
    </row>
    <row r="276" spans="20:22" x14ac:dyDescent="0.25">
      <c r="T276" s="7" t="str">
        <f ca="1"/>
        <v>D4S</v>
      </c>
      <c r="U276" s="7" t="str">
        <f ca="1"/>
        <v>0xDC02</v>
      </c>
      <c r="V276" s="7" t="str">
        <f ca="1"/>
        <v>ObjectFormat</v>
      </c>
    </row>
    <row r="277" spans="20:22" x14ac:dyDescent="0.25">
      <c r="T277" s="7" t="str">
        <f ca="1"/>
        <v>D4S</v>
      </c>
      <c r="U277" s="7" t="str">
        <f ca="1"/>
        <v>0xDC03</v>
      </c>
      <c r="V277" s="7" t="str">
        <f ca="1"/>
        <v>ProtectionStatus</v>
      </c>
    </row>
    <row r="278" spans="20:22" x14ac:dyDescent="0.25">
      <c r="T278" s="7" t="str">
        <f ca="1"/>
        <v>D4S</v>
      </c>
      <c r="U278" s="7" t="str">
        <f ca="1"/>
        <v>0xDC04</v>
      </c>
      <c r="V278" s="7" t="str">
        <f ca="1"/>
        <v>ObjectSize</v>
      </c>
    </row>
    <row r="279" spans="20:22" x14ac:dyDescent="0.25">
      <c r="T279" s="7" t="str">
        <f ca="1"/>
        <v>D4S</v>
      </c>
      <c r="U279" s="7" t="str">
        <f ca="1"/>
        <v>0xDC07</v>
      </c>
      <c r="V279" s="7" t="str">
        <f ca="1"/>
        <v>ObjectFilename</v>
      </c>
    </row>
    <row r="280" spans="20:22" x14ac:dyDescent="0.25">
      <c r="T280" s="7" t="str">
        <f ca="1"/>
        <v>D4S</v>
      </c>
      <c r="U280" s="7" t="str">
        <f ca="1"/>
        <v>0xDC08</v>
      </c>
      <c r="V280" s="7" t="str">
        <f ca="1"/>
        <v>DateCreated</v>
      </c>
    </row>
    <row r="281" spans="20:22" x14ac:dyDescent="0.25">
      <c r="T281" s="7" t="str">
        <f ca="1"/>
        <v>D4S</v>
      </c>
      <c r="U281" s="7" t="str">
        <f ca="1"/>
        <v>0xDC09</v>
      </c>
      <c r="V281" s="7" t="str">
        <f ca="1"/>
        <v>DateModified</v>
      </c>
    </row>
    <row r="282" spans="20:22" x14ac:dyDescent="0.25">
      <c r="T282" s="7" t="str">
        <f ca="1"/>
        <v>D4S</v>
      </c>
      <c r="U282" s="7" t="str">
        <f ca="1"/>
        <v>0xDC0B</v>
      </c>
      <c r="V282" s="7" t="str">
        <f ca="1"/>
        <v>ParentObject</v>
      </c>
    </row>
    <row r="283" spans="20:22" x14ac:dyDescent="0.25">
      <c r="T283" s="7" t="str">
        <f ca="1"/>
        <v>D4S</v>
      </c>
      <c r="U283" s="7" t="str">
        <f ca="1"/>
        <v>0xDC0D</v>
      </c>
      <c r="V283" s="7" t="str">
        <f ca="1"/>
        <v>Hidden</v>
      </c>
    </row>
    <row r="284" spans="20:22" x14ac:dyDescent="0.25">
      <c r="T284" s="7" t="str">
        <f ca="1"/>
        <v>D4S</v>
      </c>
      <c r="U284" s="7" t="str">
        <f ca="1"/>
        <v>0xDC41</v>
      </c>
      <c r="V284" s="7" t="str">
        <f ca="1"/>
        <v>PersistentUniqueObjectIdentifier</v>
      </c>
    </row>
    <row r="285" spans="20:22" x14ac:dyDescent="0.25">
      <c r="T285" s="7" t="str">
        <f ca="1"/>
        <v>D4S</v>
      </c>
      <c r="U285" s="7" t="str">
        <f ca="1"/>
        <v>0xDC44</v>
      </c>
      <c r="V285" s="7" t="str">
        <f ca="1"/>
        <v>Name</v>
      </c>
    </row>
    <row r="286" spans="20:22" x14ac:dyDescent="0.25">
      <c r="T286" s="7" t="str">
        <f ca="1"/>
        <v>D4S</v>
      </c>
      <c r="U286" s="7" t="str">
        <f ca="1"/>
        <v>0xDC81</v>
      </c>
      <c r="V286" s="7" t="str">
        <f ca="1"/>
        <v>RepresentativeSampleFormat</v>
      </c>
    </row>
    <row r="287" spans="20:22" x14ac:dyDescent="0.25">
      <c r="T287" s="7" t="str">
        <f ca="1"/>
        <v>D4S</v>
      </c>
      <c r="U287" s="7" t="str">
        <f ca="1"/>
        <v>0xDC82</v>
      </c>
      <c r="V287" s="7" t="str">
        <f ca="1"/>
        <v>RepresentativeSampleSize</v>
      </c>
    </row>
    <row r="288" spans="20:22" x14ac:dyDescent="0.25">
      <c r="T288" s="7" t="str">
        <f ca="1"/>
        <v>D4S</v>
      </c>
      <c r="U288" s="7" t="str">
        <f ca="1"/>
        <v>0xDC83</v>
      </c>
      <c r="V288" s="7" t="str">
        <f ca="1"/>
        <v>RepresentativeSampleHeight</v>
      </c>
    </row>
    <row r="289" spans="20:22" x14ac:dyDescent="0.25">
      <c r="T289" s="7" t="str">
        <f ca="1"/>
        <v>D4S</v>
      </c>
      <c r="U289" s="7" t="str">
        <f ca="1"/>
        <v>0xDC84</v>
      </c>
      <c r="V289" s="7" t="str">
        <f ca="1"/>
        <v>RepresentativeSampleWidth</v>
      </c>
    </row>
    <row r="290" spans="20:22" x14ac:dyDescent="0.25">
      <c r="T290" s="7" t="str">
        <f ca="1"/>
        <v>D4S</v>
      </c>
      <c r="U290" s="7" t="str">
        <f ca="1"/>
        <v>0xDC86</v>
      </c>
      <c r="V290" s="7" t="str">
        <f ca="1"/>
        <v>RepresentativeSampleData</v>
      </c>
    </row>
    <row r="291" spans="20:22" x14ac:dyDescent="0.25">
      <c r="T291" s="7" t="str">
        <f ca="1"/>
        <v>D4S</v>
      </c>
      <c r="U291" s="7" t="str">
        <f ca="1"/>
        <v>0xDC87</v>
      </c>
      <c r="V291" s="7" t="str">
        <f ca="1"/>
        <v>Width</v>
      </c>
    </row>
    <row r="292" spans="20:22" x14ac:dyDescent="0.25">
      <c r="T292" s="7" t="str">
        <f ca="1"/>
        <v>D4S</v>
      </c>
      <c r="U292" s="7" t="str">
        <f ca="1"/>
        <v>0xDC88</v>
      </c>
      <c r="V292" s="7" t="str">
        <f ca="1"/>
        <v>Height</v>
      </c>
    </row>
    <row r="293" spans="20:22" x14ac:dyDescent="0.25">
      <c r="T293" s="7" t="str">
        <f ca="1"/>
        <v>D4S</v>
      </c>
      <c r="U293" s="7" t="str">
        <f ca="1"/>
        <v>0xDCD3</v>
      </c>
      <c r="V293" s="7" t="str">
        <f ca="1"/>
        <v>ImageBitDepth</v>
      </c>
    </row>
    <row r="294" spans="20:22" x14ac:dyDescent="0.25">
      <c r="T294" s="7" t="str">
        <f ca="1"/>
        <v>D4S</v>
      </c>
      <c r="U294" s="7" t="str">
        <f ca="1"/>
        <v>0xDC89</v>
      </c>
      <c r="V294" s="7" t="str">
        <f ca="1"/>
        <v>Duration</v>
      </c>
    </row>
    <row r="295" spans="20:22" x14ac:dyDescent="0.25">
      <c r="T295" s="7" t="str">
        <f ca="1"/>
        <v>D4S</v>
      </c>
      <c r="U295" s="7" t="str">
        <f ca="1"/>
        <v>0xDE93</v>
      </c>
      <c r="V295" s="7" t="str">
        <f ca="1"/>
        <v>SampleRate</v>
      </c>
    </row>
    <row r="296" spans="20:22" x14ac:dyDescent="0.25">
      <c r="T296" s="7" t="str">
        <f ca="1"/>
        <v>D4S</v>
      </c>
      <c r="U296" s="7" t="str">
        <f ca="1"/>
        <v>0xDE94</v>
      </c>
      <c r="V296" s="7" t="str">
        <f ca="1"/>
        <v>NumberOfChannels</v>
      </c>
    </row>
    <row r="297" spans="20:22" x14ac:dyDescent="0.25">
      <c r="T297" s="7" t="str">
        <f ca="1"/>
        <v>D4S</v>
      </c>
      <c r="U297" s="7" t="str">
        <f ca="1"/>
        <v>0xDE97</v>
      </c>
      <c r="V297" s="7" t="str">
        <f ca="1"/>
        <v>ScanType</v>
      </c>
    </row>
    <row r="298" spans="20:22" x14ac:dyDescent="0.25">
      <c r="T298" s="7" t="str">
        <f ca="1"/>
        <v>D4S</v>
      </c>
      <c r="U298" s="7" t="str">
        <f ca="1"/>
        <v>0xDE9A</v>
      </c>
      <c r="V298" s="7" t="str">
        <f ca="1"/>
        <v>AudioBitRate</v>
      </c>
    </row>
    <row r="299" spans="20:22" x14ac:dyDescent="0.25">
      <c r="T299" s="7" t="str">
        <f ca="1"/>
        <v>D4S</v>
      </c>
      <c r="U299" s="7" t="str">
        <f ca="1"/>
        <v>0xDE9B</v>
      </c>
      <c r="V299" s="7" t="str">
        <f ca="1"/>
        <v>VideoFourCCCode</v>
      </c>
    </row>
    <row r="300" spans="20:22" x14ac:dyDescent="0.25">
      <c r="T300" s="7" t="str">
        <f ca="1"/>
        <v>D4S</v>
      </c>
      <c r="U300" s="7" t="str">
        <f ca="1"/>
        <v>0xDE9C</v>
      </c>
      <c r="V300" s="7" t="str">
        <f ca="1"/>
        <v>VideoBitRate</v>
      </c>
    </row>
    <row r="301" spans="20:22" x14ac:dyDescent="0.25">
      <c r="T301" s="7" t="str">
        <f ca="1"/>
        <v>D4</v>
      </c>
      <c r="U301" s="7" t="str">
        <f ca="1"/>
        <v>0xDC01</v>
      </c>
      <c r="V301" s="7" t="str">
        <f ca="1"/>
        <v>StorageID</v>
      </c>
    </row>
    <row r="302" spans="20:22" x14ac:dyDescent="0.25">
      <c r="T302" s="7" t="str">
        <f ca="1"/>
        <v>D4</v>
      </c>
      <c r="U302" s="7" t="str">
        <f ca="1"/>
        <v>0xDC02</v>
      </c>
      <c r="V302" s="7" t="str">
        <f ca="1"/>
        <v>ObjectFormat</v>
      </c>
    </row>
    <row r="303" spans="20:22" x14ac:dyDescent="0.25">
      <c r="T303" s="7" t="str">
        <f ca="1"/>
        <v>D4</v>
      </c>
      <c r="U303" s="7" t="str">
        <f ca="1"/>
        <v>0xDC03</v>
      </c>
      <c r="V303" s="7" t="str">
        <f ca="1"/>
        <v>ProtectionStatus</v>
      </c>
    </row>
    <row r="304" spans="20:22" x14ac:dyDescent="0.25">
      <c r="T304" s="7" t="str">
        <f ca="1"/>
        <v>D4</v>
      </c>
      <c r="U304" s="7" t="str">
        <f ca="1"/>
        <v>0xDC04</v>
      </c>
      <c r="V304" s="7" t="str">
        <f ca="1"/>
        <v>ObjectSize</v>
      </c>
    </row>
    <row r="305" spans="20:22" x14ac:dyDescent="0.25">
      <c r="T305" s="7" t="str">
        <f ca="1"/>
        <v>D4</v>
      </c>
      <c r="U305" s="7" t="str">
        <f ca="1"/>
        <v>0xDC07</v>
      </c>
      <c r="V305" s="7" t="str">
        <f ca="1"/>
        <v>ObjectFilename</v>
      </c>
    </row>
    <row r="306" spans="20:22" x14ac:dyDescent="0.25">
      <c r="T306" s="7" t="str">
        <f ca="1"/>
        <v>D4</v>
      </c>
      <c r="U306" s="7" t="str">
        <f ca="1"/>
        <v>0xDC08</v>
      </c>
      <c r="V306" s="7" t="str">
        <f ca="1"/>
        <v>DateCreated</v>
      </c>
    </row>
    <row r="307" spans="20:22" x14ac:dyDescent="0.25">
      <c r="T307" s="7" t="str">
        <f ca="1"/>
        <v>D4</v>
      </c>
      <c r="U307" s="7" t="str">
        <f ca="1"/>
        <v>0xDC09</v>
      </c>
      <c r="V307" s="7" t="str">
        <f ca="1"/>
        <v>DateModified</v>
      </c>
    </row>
    <row r="308" spans="20:22" x14ac:dyDescent="0.25">
      <c r="T308" s="7" t="str">
        <f ca="1"/>
        <v>D4</v>
      </c>
      <c r="U308" s="7" t="str">
        <f ca="1"/>
        <v>0xDC0B</v>
      </c>
      <c r="V308" s="7" t="str">
        <f ca="1"/>
        <v>ParentObject</v>
      </c>
    </row>
    <row r="309" spans="20:22" x14ac:dyDescent="0.25">
      <c r="T309" s="7" t="str">
        <f ca="1"/>
        <v>D4</v>
      </c>
      <c r="U309" s="7" t="str">
        <f ca="1"/>
        <v>0xDC41</v>
      </c>
      <c r="V309" s="7" t="str">
        <f ca="1"/>
        <v>PersistentUniqueObjectIdentifier</v>
      </c>
    </row>
    <row r="310" spans="20:22" x14ac:dyDescent="0.25">
      <c r="T310" s="7" t="str">
        <f ca="1"/>
        <v>D4</v>
      </c>
      <c r="U310" s="7" t="str">
        <f ca="1"/>
        <v>0xDC44</v>
      </c>
      <c r="V310" s="7" t="str">
        <f ca="1"/>
        <v>Name</v>
      </c>
    </row>
    <row r="311" spans="20:22" x14ac:dyDescent="0.25">
      <c r="T311" s="7" t="str">
        <f ca="1"/>
        <v>D4</v>
      </c>
      <c r="U311" s="7" t="str">
        <f ca="1"/>
        <v>0xDC81</v>
      </c>
      <c r="V311" s="7" t="str">
        <f ca="1"/>
        <v>RepresentativeSampleFormat</v>
      </c>
    </row>
    <row r="312" spans="20:22" x14ac:dyDescent="0.25">
      <c r="T312" s="7" t="str">
        <f ca="1"/>
        <v>D4</v>
      </c>
      <c r="U312" s="7" t="str">
        <f ca="1"/>
        <v>0xDC82</v>
      </c>
      <c r="V312" s="7" t="str">
        <f ca="1"/>
        <v>RepresentativeSampleSize</v>
      </c>
    </row>
    <row r="313" spans="20:22" x14ac:dyDescent="0.25">
      <c r="T313" s="7" t="str">
        <f ca="1"/>
        <v>D4</v>
      </c>
      <c r="U313" s="7" t="str">
        <f ca="1"/>
        <v>0xDC83</v>
      </c>
      <c r="V313" s="7" t="str">
        <f ca="1"/>
        <v>RepresentativeSampleHeight</v>
      </c>
    </row>
    <row r="314" spans="20:22" x14ac:dyDescent="0.25">
      <c r="T314" s="7" t="str">
        <f ca="1"/>
        <v>D4</v>
      </c>
      <c r="U314" s="7" t="str">
        <f ca="1"/>
        <v>0xDC84</v>
      </c>
      <c r="V314" s="7" t="str">
        <f ca="1"/>
        <v>RepresentativeSampleWidth</v>
      </c>
    </row>
    <row r="315" spans="20:22" x14ac:dyDescent="0.25">
      <c r="T315" s="7" t="str">
        <f ca="1"/>
        <v>D4</v>
      </c>
      <c r="U315" s="7" t="str">
        <f ca="1"/>
        <v>0xDC86</v>
      </c>
      <c r="V315" s="7" t="str">
        <f ca="1"/>
        <v>RepresentativeSampleData</v>
      </c>
    </row>
    <row r="316" spans="20:22" x14ac:dyDescent="0.25">
      <c r="T316" s="7" t="str">
        <f ca="1"/>
        <v>D4</v>
      </c>
      <c r="U316" s="7" t="str">
        <f ca="1"/>
        <v>0xDC87</v>
      </c>
      <c r="V316" s="7" t="str">
        <f ca="1"/>
        <v>Width</v>
      </c>
    </row>
    <row r="317" spans="20:22" x14ac:dyDescent="0.25">
      <c r="T317" s="7" t="str">
        <f ca="1"/>
        <v>D4</v>
      </c>
      <c r="U317" s="7" t="str">
        <f ca="1"/>
        <v>0xDC88</v>
      </c>
      <c r="V317" s="7" t="str">
        <f ca="1"/>
        <v>Height</v>
      </c>
    </row>
    <row r="318" spans="20:22" x14ac:dyDescent="0.25">
      <c r="T318" s="7" t="str">
        <f ca="1"/>
        <v>D4</v>
      </c>
      <c r="U318" s="7" t="str">
        <f ca="1"/>
        <v>0xDCD3</v>
      </c>
      <c r="V318" s="7" t="str">
        <f ca="1"/>
        <v>ImageBitDepth</v>
      </c>
    </row>
    <row r="319" spans="20:22" x14ac:dyDescent="0.25">
      <c r="T319" s="7" t="str">
        <f ca="1"/>
        <v>D4</v>
      </c>
      <c r="U319" s="7" t="str">
        <f ca="1"/>
        <v>0xDC89</v>
      </c>
      <c r="V319" s="7" t="str">
        <f ca="1"/>
        <v>Duration</v>
      </c>
    </row>
    <row r="320" spans="20:22" x14ac:dyDescent="0.25">
      <c r="T320" s="7" t="str">
        <f ca="1"/>
        <v>D4</v>
      </c>
      <c r="U320" s="7" t="str">
        <f ca="1"/>
        <v>0xDE93</v>
      </c>
      <c r="V320" s="7" t="str">
        <f ca="1"/>
        <v>SampleRate</v>
      </c>
    </row>
    <row r="321" spans="20:22" x14ac:dyDescent="0.25">
      <c r="T321" s="7" t="str">
        <f ca="1"/>
        <v>D4</v>
      </c>
      <c r="U321" s="7" t="str">
        <f ca="1"/>
        <v>0xDE94</v>
      </c>
      <c r="V321" s="7" t="str">
        <f ca="1"/>
        <v>NumberOfChannels</v>
      </c>
    </row>
    <row r="322" spans="20:22" x14ac:dyDescent="0.25">
      <c r="T322" s="7" t="str">
        <f ca="1"/>
        <v>D4</v>
      </c>
      <c r="U322" s="7" t="str">
        <f ca="1"/>
        <v>0xDE97</v>
      </c>
      <c r="V322" s="7" t="str">
        <f ca="1"/>
        <v>ScanType</v>
      </c>
    </row>
    <row r="323" spans="20:22" x14ac:dyDescent="0.25">
      <c r="T323" s="7" t="str">
        <f ca="1"/>
        <v>D4</v>
      </c>
      <c r="U323" s="7" t="str">
        <f ca="1"/>
        <v>0xDE9A</v>
      </c>
      <c r="V323" s="7" t="str">
        <f ca="1"/>
        <v>AudioBitRate</v>
      </c>
    </row>
    <row r="324" spans="20:22" x14ac:dyDescent="0.25">
      <c r="T324" s="7" t="str">
        <f ca="1"/>
        <v>D4</v>
      </c>
      <c r="U324" s="7" t="str">
        <f ca="1"/>
        <v>0xDE9B</v>
      </c>
      <c r="V324" s="7" t="str">
        <f ca="1"/>
        <v>VideoFourCCCode</v>
      </c>
    </row>
    <row r="325" spans="20:22" x14ac:dyDescent="0.25">
      <c r="T325" s="7" t="str">
        <f ca="1"/>
        <v>D4</v>
      </c>
      <c r="U325" s="7" t="str">
        <f ca="1"/>
        <v>0xDE9C</v>
      </c>
      <c r="V325" s="7" t="str">
        <f ca="1"/>
        <v>VideoBitRate</v>
      </c>
    </row>
    <row r="326" spans="20:22" x14ac:dyDescent="0.25">
      <c r="T326" s="7" t="str">
        <f ca="1"/>
        <v>D3X</v>
      </c>
      <c r="U326" s="7" t="str">
        <f ca="1"/>
        <v>0xDC01</v>
      </c>
      <c r="V326" s="7" t="str">
        <f ca="1"/>
        <v>StorageID</v>
      </c>
    </row>
    <row r="327" spans="20:22" x14ac:dyDescent="0.25">
      <c r="T327" s="7" t="str">
        <f ca="1"/>
        <v>D3X</v>
      </c>
      <c r="U327" s="7" t="str">
        <f ca="1"/>
        <v>0xDC02</v>
      </c>
      <c r="V327" s="7" t="str">
        <f ca="1"/>
        <v>ObjectFormat</v>
      </c>
    </row>
    <row r="328" spans="20:22" x14ac:dyDescent="0.25">
      <c r="T328" s="7" t="str">
        <f ca="1"/>
        <v>D3X</v>
      </c>
      <c r="U328" s="7" t="str">
        <f ca="1"/>
        <v>0xDC03</v>
      </c>
      <c r="V328" s="7" t="str">
        <f ca="1"/>
        <v>ProtectionStatus</v>
      </c>
    </row>
    <row r="329" spans="20:22" x14ac:dyDescent="0.25">
      <c r="T329" s="7" t="str">
        <f ca="1"/>
        <v>D3X</v>
      </c>
      <c r="U329" s="7" t="str">
        <f ca="1"/>
        <v>0xDC04</v>
      </c>
      <c r="V329" s="7" t="str">
        <f ca="1"/>
        <v>ObjectSize</v>
      </c>
    </row>
    <row r="330" spans="20:22" x14ac:dyDescent="0.25">
      <c r="T330" s="7" t="str">
        <f ca="1"/>
        <v>D3X</v>
      </c>
      <c r="U330" s="7" t="str">
        <f ca="1"/>
        <v>0xDC07</v>
      </c>
      <c r="V330" s="7" t="str">
        <f ca="1"/>
        <v>ObjectFilename</v>
      </c>
    </row>
    <row r="331" spans="20:22" x14ac:dyDescent="0.25">
      <c r="T331" s="7" t="str">
        <f ca="1"/>
        <v>D3X</v>
      </c>
      <c r="U331" s="7" t="str">
        <f ca="1"/>
        <v>0xDC08</v>
      </c>
      <c r="V331" s="7" t="str">
        <f ca="1"/>
        <v>DateCreated</v>
      </c>
    </row>
    <row r="332" spans="20:22" x14ac:dyDescent="0.25">
      <c r="T332" s="7" t="str">
        <f ca="1"/>
        <v>D3X</v>
      </c>
      <c r="U332" s="7" t="str">
        <f ca="1"/>
        <v>0xDC09</v>
      </c>
      <c r="V332" s="7" t="str">
        <f ca="1"/>
        <v>DateModified</v>
      </c>
    </row>
    <row r="333" spans="20:22" x14ac:dyDescent="0.25">
      <c r="T333" s="7" t="str">
        <f ca="1"/>
        <v>D3X</v>
      </c>
      <c r="U333" s="7" t="str">
        <f ca="1"/>
        <v>0xDC0B</v>
      </c>
      <c r="V333" s="7" t="str">
        <f ca="1"/>
        <v>ParentObject</v>
      </c>
    </row>
    <row r="334" spans="20:22" x14ac:dyDescent="0.25">
      <c r="T334" s="7" t="str">
        <f ca="1"/>
        <v>D3X</v>
      </c>
      <c r="U334" s="7" t="str">
        <f ca="1"/>
        <v>0xDC41</v>
      </c>
      <c r="V334" s="7" t="str">
        <f ca="1"/>
        <v>PersistentUniqueObjectIdentifier</v>
      </c>
    </row>
    <row r="335" spans="20:22" x14ac:dyDescent="0.25">
      <c r="T335" s="7" t="str">
        <f ca="1"/>
        <v>D3X</v>
      </c>
      <c r="U335" s="7" t="str">
        <f ca="1"/>
        <v>0xDC44</v>
      </c>
      <c r="V335" s="7" t="str">
        <f ca="1"/>
        <v>Name</v>
      </c>
    </row>
    <row r="336" spans="20:22" x14ac:dyDescent="0.25">
      <c r="T336" s="7" t="str">
        <f ca="1"/>
        <v>D3X</v>
      </c>
      <c r="U336" s="7" t="str">
        <f ca="1"/>
        <v>0xDC81</v>
      </c>
      <c r="V336" s="7" t="str">
        <f ca="1"/>
        <v>RepresentativeSampleFormat</v>
      </c>
    </row>
    <row r="337" spans="20:22" x14ac:dyDescent="0.25">
      <c r="T337" s="7" t="str">
        <f ca="1"/>
        <v>D3X</v>
      </c>
      <c r="U337" s="7" t="str">
        <f ca="1"/>
        <v>0xDC82</v>
      </c>
      <c r="V337" s="7" t="str">
        <f ca="1"/>
        <v>RepresentativeSampleSize</v>
      </c>
    </row>
    <row r="338" spans="20:22" x14ac:dyDescent="0.25">
      <c r="T338" s="7" t="str">
        <f ca="1"/>
        <v>D3X</v>
      </c>
      <c r="U338" s="7" t="str">
        <f ca="1"/>
        <v>0xDC83</v>
      </c>
      <c r="V338" s="7" t="str">
        <f ca="1"/>
        <v>RepresentativeSampleHeight</v>
      </c>
    </row>
    <row r="339" spans="20:22" x14ac:dyDescent="0.25">
      <c r="T339" s="7" t="str">
        <f ca="1"/>
        <v>D3X</v>
      </c>
      <c r="U339" s="7" t="str">
        <f ca="1"/>
        <v>0xDC84</v>
      </c>
      <c r="V339" s="7" t="str">
        <f ca="1"/>
        <v>RepresentativeSampleWidth</v>
      </c>
    </row>
    <row r="340" spans="20:22" x14ac:dyDescent="0.25">
      <c r="T340" s="7" t="str">
        <f ca="1"/>
        <v>D3X</v>
      </c>
      <c r="U340" s="7" t="str">
        <f ca="1"/>
        <v>0xDC86</v>
      </c>
      <c r="V340" s="7" t="str">
        <f ca="1"/>
        <v>RepresentativeSampleData</v>
      </c>
    </row>
    <row r="341" spans="20:22" x14ac:dyDescent="0.25">
      <c r="T341" s="7" t="str">
        <f ca="1"/>
        <v>D3X</v>
      </c>
      <c r="U341" s="7" t="str">
        <f ca="1"/>
        <v>0xDC87</v>
      </c>
      <c r="V341" s="7" t="str">
        <f ca="1"/>
        <v>Width</v>
      </c>
    </row>
    <row r="342" spans="20:22" x14ac:dyDescent="0.25">
      <c r="T342" s="7" t="str">
        <f ca="1"/>
        <v>D3X</v>
      </c>
      <c r="U342" s="7" t="str">
        <f ca="1"/>
        <v>0xDC88</v>
      </c>
      <c r="V342" s="7" t="str">
        <f ca="1"/>
        <v>Height</v>
      </c>
    </row>
    <row r="343" spans="20:22" x14ac:dyDescent="0.25">
      <c r="T343" s="7" t="str">
        <f ca="1"/>
        <v>D3X</v>
      </c>
      <c r="U343" s="7" t="str">
        <f ca="1"/>
        <v>0xDC89</v>
      </c>
      <c r="V343" s="7" t="str">
        <f ca="1"/>
        <v>Duration</v>
      </c>
    </row>
    <row r="344" spans="20:22" x14ac:dyDescent="0.25">
      <c r="T344" s="7" t="str">
        <f ca="1"/>
        <v>D3X</v>
      </c>
      <c r="U344" s="7" t="str">
        <f ca="1"/>
        <v>0xDCD3</v>
      </c>
      <c r="V344" s="7" t="str">
        <f ca="1"/>
        <v>ImageBitDepth</v>
      </c>
    </row>
    <row r="345" spans="20:22" x14ac:dyDescent="0.25">
      <c r="T345" s="7" t="str">
        <f ca="1"/>
        <v>D3X</v>
      </c>
      <c r="U345" s="7" t="str">
        <f ca="1"/>
        <v>0xDE93</v>
      </c>
      <c r="V345" s="7" t="str">
        <f ca="1"/>
        <v>SampleRate</v>
      </c>
    </row>
    <row r="346" spans="20:22" x14ac:dyDescent="0.25">
      <c r="T346" s="7" t="str">
        <f ca="1"/>
        <v>D3X</v>
      </c>
      <c r="U346" s="7" t="str">
        <f ca="1"/>
        <v>0xDE94</v>
      </c>
      <c r="V346" s="7" t="str">
        <f ca="1"/>
        <v>NumberOfChannels</v>
      </c>
    </row>
    <row r="347" spans="20:22" x14ac:dyDescent="0.25">
      <c r="T347" s="7" t="str">
        <f ca="1"/>
        <v>D3X</v>
      </c>
      <c r="U347" s="7" t="str">
        <f ca="1"/>
        <v>0xDE9A</v>
      </c>
      <c r="V347" s="7" t="str">
        <f ca="1"/>
        <v>AudioBitRate</v>
      </c>
    </row>
    <row r="348" spans="20:22" x14ac:dyDescent="0.25">
      <c r="T348" s="7" t="str">
        <f ca="1"/>
        <v>D3</v>
      </c>
      <c r="U348" s="7" t="str">
        <f ca="1"/>
        <v>0xDC01</v>
      </c>
      <c r="V348" s="7" t="str">
        <f ca="1"/>
        <v>StorageID</v>
      </c>
    </row>
    <row r="349" spans="20:22" x14ac:dyDescent="0.25">
      <c r="T349" s="7" t="str">
        <f ca="1"/>
        <v>D3</v>
      </c>
      <c r="U349" s="7" t="str">
        <f ca="1"/>
        <v>0xDC02</v>
      </c>
      <c r="V349" s="7" t="str">
        <f ca="1"/>
        <v>ObjectFormat</v>
      </c>
    </row>
    <row r="350" spans="20:22" x14ac:dyDescent="0.25">
      <c r="T350" s="7" t="str">
        <f ca="1"/>
        <v>D3</v>
      </c>
      <c r="U350" s="7" t="str">
        <f ca="1"/>
        <v>0xDC03</v>
      </c>
      <c r="V350" s="7" t="str">
        <f ca="1"/>
        <v>ProtectionStatus</v>
      </c>
    </row>
    <row r="351" spans="20:22" x14ac:dyDescent="0.25">
      <c r="T351" s="7" t="str">
        <f ca="1"/>
        <v>D3</v>
      </c>
      <c r="U351" s="7" t="str">
        <f ca="1"/>
        <v>0xDC04</v>
      </c>
      <c r="V351" s="7" t="str">
        <f ca="1"/>
        <v>ObjectSize</v>
      </c>
    </row>
    <row r="352" spans="20:22" x14ac:dyDescent="0.25">
      <c r="T352" s="7" t="str">
        <f ca="1"/>
        <v>D3</v>
      </c>
      <c r="U352" s="7" t="str">
        <f ca="1"/>
        <v>0xDC07</v>
      </c>
      <c r="V352" s="7" t="str">
        <f ca="1"/>
        <v>ObjectFilename</v>
      </c>
    </row>
    <row r="353" spans="20:22" x14ac:dyDescent="0.25">
      <c r="T353" s="7" t="str">
        <f ca="1"/>
        <v>D3</v>
      </c>
      <c r="U353" s="7" t="str">
        <f ca="1"/>
        <v>0xDC08</v>
      </c>
      <c r="V353" s="7" t="str">
        <f ca="1"/>
        <v>DateCreated</v>
      </c>
    </row>
    <row r="354" spans="20:22" x14ac:dyDescent="0.25">
      <c r="T354" s="7" t="str">
        <f ca="1"/>
        <v>D3</v>
      </c>
      <c r="U354" s="7" t="str">
        <f ca="1"/>
        <v>0xDC09</v>
      </c>
      <c r="V354" s="7" t="str">
        <f ca="1"/>
        <v>DateModified</v>
      </c>
    </row>
    <row r="355" spans="20:22" x14ac:dyDescent="0.25">
      <c r="T355" s="7" t="str">
        <f ca="1"/>
        <v>D3</v>
      </c>
      <c r="U355" s="7" t="str">
        <f ca="1"/>
        <v>0xDC0B</v>
      </c>
      <c r="V355" s="7" t="str">
        <f ca="1"/>
        <v>ParentObject</v>
      </c>
    </row>
    <row r="356" spans="20:22" x14ac:dyDescent="0.25">
      <c r="T356" s="7" t="str">
        <f ca="1"/>
        <v>D3</v>
      </c>
      <c r="U356" s="7" t="str">
        <f ca="1"/>
        <v>0xDC41</v>
      </c>
      <c r="V356" s="7" t="str">
        <f ca="1"/>
        <v>PersistentUniqueObjectIdentifier</v>
      </c>
    </row>
    <row r="357" spans="20:22" x14ac:dyDescent="0.25">
      <c r="T357" s="7" t="str">
        <f ca="1"/>
        <v>D3</v>
      </c>
      <c r="U357" s="7" t="str">
        <f ca="1"/>
        <v>0xDC44</v>
      </c>
      <c r="V357" s="7" t="str">
        <f ca="1"/>
        <v>Name</v>
      </c>
    </row>
    <row r="358" spans="20:22" x14ac:dyDescent="0.25">
      <c r="T358" s="7" t="str">
        <f ca="1"/>
        <v>D3</v>
      </c>
      <c r="U358" s="7" t="str">
        <f ca="1"/>
        <v>0xDC81</v>
      </c>
      <c r="V358" s="7" t="str">
        <f ca="1"/>
        <v>RepresentativeSampleFormat</v>
      </c>
    </row>
    <row r="359" spans="20:22" x14ac:dyDescent="0.25">
      <c r="T359" s="7" t="str">
        <f ca="1"/>
        <v>D3</v>
      </c>
      <c r="U359" s="7" t="str">
        <f ca="1"/>
        <v>0xDC82</v>
      </c>
      <c r="V359" s="7" t="str">
        <f ca="1"/>
        <v>RepresentativeSampleSize</v>
      </c>
    </row>
    <row r="360" spans="20:22" x14ac:dyDescent="0.25">
      <c r="T360" s="7" t="str">
        <f ca="1"/>
        <v>D3</v>
      </c>
      <c r="U360" s="7" t="str">
        <f ca="1"/>
        <v>0xDC83</v>
      </c>
      <c r="V360" s="7" t="str">
        <f ca="1"/>
        <v>RepresentativeSampleHeight</v>
      </c>
    </row>
    <row r="361" spans="20:22" x14ac:dyDescent="0.25">
      <c r="T361" s="7" t="str">
        <f ca="1"/>
        <v>D3</v>
      </c>
      <c r="U361" s="7" t="str">
        <f ca="1"/>
        <v>0xDC84</v>
      </c>
      <c r="V361" s="7" t="str">
        <f ca="1"/>
        <v>RepresentativeSampleWidth</v>
      </c>
    </row>
    <row r="362" spans="20:22" x14ac:dyDescent="0.25">
      <c r="T362" s="7" t="str">
        <f ca="1"/>
        <v>D3</v>
      </c>
      <c r="U362" s="7" t="str">
        <f ca="1"/>
        <v>0xDC86</v>
      </c>
      <c r="V362" s="7" t="str">
        <f ca="1"/>
        <v>RepresentativeSampleData</v>
      </c>
    </row>
    <row r="363" spans="20:22" x14ac:dyDescent="0.25">
      <c r="T363" s="7" t="str">
        <f ca="1"/>
        <v>D3</v>
      </c>
      <c r="U363" s="7" t="str">
        <f ca="1"/>
        <v>0xDC87</v>
      </c>
      <c r="V363" s="7" t="str">
        <f ca="1"/>
        <v>Width</v>
      </c>
    </row>
    <row r="364" spans="20:22" x14ac:dyDescent="0.25">
      <c r="T364" s="7" t="str">
        <f ca="1"/>
        <v>D3</v>
      </c>
      <c r="U364" s="7" t="str">
        <f ca="1"/>
        <v>0xDC88</v>
      </c>
      <c r="V364" s="7" t="str">
        <f ca="1"/>
        <v>Height</v>
      </c>
    </row>
    <row r="365" spans="20:22" x14ac:dyDescent="0.25">
      <c r="T365" s="7" t="str">
        <f ca="1"/>
        <v>D3</v>
      </c>
      <c r="U365" s="7" t="str">
        <f ca="1"/>
        <v>0xDC89</v>
      </c>
      <c r="V365" s="7" t="str">
        <f ca="1"/>
        <v>Duration</v>
      </c>
    </row>
    <row r="366" spans="20:22" x14ac:dyDescent="0.25">
      <c r="T366" s="7" t="str">
        <f ca="1"/>
        <v>D3</v>
      </c>
      <c r="U366" s="7" t="str">
        <f ca="1"/>
        <v>0xDCD3</v>
      </c>
      <c r="V366" s="7" t="str">
        <f ca="1"/>
        <v>ImageBitDepth</v>
      </c>
    </row>
    <row r="367" spans="20:22" x14ac:dyDescent="0.25">
      <c r="T367" s="7" t="str">
        <f ca="1"/>
        <v>D3</v>
      </c>
      <c r="U367" s="7" t="str">
        <f ca="1"/>
        <v>0xDE93</v>
      </c>
      <c r="V367" s="7" t="str">
        <f ca="1"/>
        <v>SampleRate</v>
      </c>
    </row>
    <row r="368" spans="20:22" x14ac:dyDescent="0.25">
      <c r="T368" s="7" t="str">
        <f ca="1"/>
        <v>D3</v>
      </c>
      <c r="U368" s="7" t="str">
        <f ca="1"/>
        <v>0xDE94</v>
      </c>
      <c r="V368" s="7" t="str">
        <f ca="1"/>
        <v>NumberOfChannels</v>
      </c>
    </row>
    <row r="369" spans="20:22" x14ac:dyDescent="0.25">
      <c r="T369" s="7" t="str">
        <f ca="1"/>
        <v>D3</v>
      </c>
      <c r="U369" s="7" t="str">
        <f ca="1"/>
        <v>0xDE9A</v>
      </c>
      <c r="V369" s="7" t="str">
        <f ca="1"/>
        <v>AudioBitRate</v>
      </c>
    </row>
  </sheetData>
  <conditionalFormatting sqref="D3:Q1048576">
    <cfRule type="cellIs" dxfId="3" priority="1" operator="notEqual">
      <formula>_xlfn.SINGLE($B:$B)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10B4E-6978-420B-8820-CB922B48F1C0}">
  <sheetPr>
    <tabColor theme="7" tint="0.59999389629810485"/>
  </sheetPr>
  <dimension ref="A1:AK119"/>
  <sheetViews>
    <sheetView workbookViewId="0">
      <pane xSplit="2" ySplit="2" topLeftCell="C3" activePane="bottomRight" state="frozen"/>
      <selection activeCell="C4" sqref="C4"/>
      <selection pane="topRight" activeCell="C4" sqref="C4"/>
      <selection pane="bottomLeft" activeCell="C4" sqref="C4"/>
      <selection pane="bottomRight" activeCell="C18" sqref="C18"/>
    </sheetView>
  </sheetViews>
  <sheetFormatPr defaultRowHeight="15" x14ac:dyDescent="0.25"/>
  <cols>
    <col min="1" max="1" width="16.28515625" style="13" bestFit="1" customWidth="1"/>
    <col min="2" max="2" width="19.85546875" style="14" bestFit="1" customWidth="1"/>
    <col min="3" max="3" width="9.140625" style="7"/>
    <col min="4" max="7" width="9.140625" style="8" customWidth="1"/>
    <col min="8" max="19" width="9.140625" style="7"/>
    <col min="20" max="20" width="6.5703125" style="7" bestFit="1" customWidth="1"/>
    <col min="21" max="21" width="6.28515625" style="7" bestFit="1" customWidth="1"/>
    <col min="22" max="23" width="9.140625" style="7"/>
    <col min="24" max="27" width="9.140625" style="8"/>
    <col min="28" max="16384" width="9.140625" style="7"/>
  </cols>
  <sheetData>
    <row r="1" spans="1:37" s="9" customFormat="1" x14ac:dyDescent="0.25">
      <c r="A1" s="2"/>
      <c r="B1" s="10"/>
      <c r="D1" s="2" t="str" cm="1">
        <f t="array" ref="D1:Q1">TRANSPOSE(Cameras[Camera])</f>
        <v>Z8</v>
      </c>
      <c r="E1" s="2" t="str">
        <v>Z9</v>
      </c>
      <c r="F1" s="2" t="str">
        <v>Z6 II</v>
      </c>
      <c r="G1" s="2" t="str">
        <v>Z7 II</v>
      </c>
      <c r="H1" s="9" t="str">
        <v>Z50</v>
      </c>
      <c r="I1" s="9" t="str">
        <v>Z6</v>
      </c>
      <c r="J1" s="9" t="str">
        <v>Z7</v>
      </c>
      <c r="K1" s="9" t="str">
        <v>Z5</v>
      </c>
      <c r="L1" s="9" t="str">
        <v>D6</v>
      </c>
      <c r="M1" s="9" t="str">
        <v>D5</v>
      </c>
      <c r="N1" s="9" t="str">
        <v>D4S</v>
      </c>
      <c r="O1" s="9" t="str">
        <v>D4</v>
      </c>
      <c r="P1" s="9" t="str">
        <v>D3X</v>
      </c>
      <c r="Q1" s="9" t="str">
        <v>D3</v>
      </c>
      <c r="X1" s="9" t="str" cm="1">
        <f t="array" ref="X1:AK1">TRANSPOSE(Cameras[Camera])</f>
        <v>Z8</v>
      </c>
      <c r="Y1" s="9" t="str">
        <v>Z9</v>
      </c>
      <c r="Z1" s="9" t="str">
        <v>Z6 II</v>
      </c>
      <c r="AA1" s="9" t="str">
        <v>Z7 II</v>
      </c>
      <c r="AB1" s="9" t="str">
        <v>Z50</v>
      </c>
      <c r="AC1" s="9" t="str">
        <v>Z6</v>
      </c>
      <c r="AD1" s="9" t="str">
        <v>Z7</v>
      </c>
      <c r="AE1" s="9" t="str">
        <v>Z5</v>
      </c>
      <c r="AF1" s="9" t="str">
        <v>D6</v>
      </c>
      <c r="AG1" s="9" t="str">
        <v>D5</v>
      </c>
      <c r="AH1" s="9" t="str">
        <v>D4S</v>
      </c>
      <c r="AI1" s="9" t="str">
        <v>D4</v>
      </c>
      <c r="AJ1" s="9" t="str">
        <v>D3X</v>
      </c>
      <c r="AK1" s="9" t="str">
        <v>D3</v>
      </c>
    </row>
    <row r="2" spans="1:37" s="11" customFormat="1" x14ac:dyDescent="0.25">
      <c r="A2" s="3" t="s">
        <v>1124</v>
      </c>
      <c r="B2" s="6" t="s">
        <v>4</v>
      </c>
      <c r="C2" s="4"/>
      <c r="D2" s="5" t="str" cm="1">
        <f t="array" ref="D2:Q2">"Rev. "&amp;TRANSPOSE(Cameras[MTP Doc])</f>
        <v>Rev. 2.00</v>
      </c>
      <c r="E2" s="5" t="str">
        <v>Rev. 6.00</v>
      </c>
      <c r="F2" s="5" t="str">
        <v>Rev. 1.10</v>
      </c>
      <c r="G2" s="5" t="str">
        <v>Rev. 1.10</v>
      </c>
      <c r="H2" s="4" t="str">
        <v>Rev. 2.0</v>
      </c>
      <c r="I2" s="4" t="str">
        <v>Rev. 1.40</v>
      </c>
      <c r="J2" s="4" t="str">
        <v>Rev. 1.40</v>
      </c>
      <c r="K2" s="4" t="str">
        <v>Rev. 1.10</v>
      </c>
      <c r="L2" s="4" t="str">
        <v>Rev. 1.0</v>
      </c>
      <c r="M2" s="4" t="str">
        <v>Rev. 2.0</v>
      </c>
      <c r="N2" s="4" t="str">
        <v>Rev. 1.0</v>
      </c>
      <c r="O2" s="4" t="str">
        <v>Rev. 1.0</v>
      </c>
      <c r="P2" s="4" t="str">
        <v>Rev. 1.0</v>
      </c>
      <c r="Q2" s="4" t="str">
        <v>Rev. 1.0</v>
      </c>
      <c r="R2" s="4"/>
      <c r="S2" s="4"/>
      <c r="T2" s="12" t="s">
        <v>1232</v>
      </c>
      <c r="U2" s="12" t="s">
        <v>1233</v>
      </c>
      <c r="V2" s="12" t="s">
        <v>1234</v>
      </c>
      <c r="W2" s="4"/>
      <c r="X2" s="11" t="str" cm="1">
        <f t="array" ref="X2:AK2">"Rev. "&amp;TRANSPOSE(Cameras[MTP Doc])</f>
        <v>Rev. 2.00</v>
      </c>
      <c r="Y2" s="11" t="str">
        <v>Rev. 6.00</v>
      </c>
      <c r="Z2" s="11" t="str">
        <v>Rev. 1.10</v>
      </c>
      <c r="AA2" s="11" t="str">
        <v>Rev. 1.10</v>
      </c>
      <c r="AB2" s="11" t="str">
        <v>Rev. 2.0</v>
      </c>
      <c r="AC2" s="11" t="str">
        <v>Rev. 1.40</v>
      </c>
      <c r="AD2" s="11" t="str">
        <v>Rev. 1.40</v>
      </c>
      <c r="AE2" s="11" t="str">
        <v>Rev. 1.10</v>
      </c>
      <c r="AF2" s="11" t="str">
        <v>Rev. 1.0</v>
      </c>
      <c r="AG2" s="11" t="str">
        <v>Rev. 2.0</v>
      </c>
      <c r="AH2" s="11" t="str">
        <v>Rev. 1.0</v>
      </c>
      <c r="AI2" s="11" t="str">
        <v>Rev. 1.0</v>
      </c>
      <c r="AJ2" s="11" t="str">
        <v>Rev. 1.0</v>
      </c>
      <c r="AK2" s="11" t="str">
        <v>Rev. 1.0</v>
      </c>
    </row>
    <row r="3" spans="1:37" x14ac:dyDescent="0.25">
      <c r="A3" s="13" t="str" cm="1">
        <f t="array" aca="1" ref="A3:B15" ca="1">_xlfn.LET(_xlpm.arr,_xlfn.ANCHORARRAY(T3),_xlpm.codes,INDEX(_xlfn._xlws.SORT(_xlfn._xlws.SORT(_xlfn.UNIQUE(_xlfn.HSTACK(INDEX(_xlpm.arr,0,2),LEN(INDEX(_xlpm.arr,0,2))),FALSE,FALSE),1,1,FALSE),2,1,FALSE),0,1),_xlfn.HSTACK(_xlpm.codes,_xlfn.XLOOKUP(_xlpm.codes,INDEX(_xlpm.arr,0,2),INDEX(_xlpm.arr,0,3),,0,1)))</f>
        <v>0x1001</v>
      </c>
      <c r="B3" s="14" t="str">
        <f ca="1"/>
        <v>SBName</v>
      </c>
      <c r="D3" s="8" t="str" cm="1">
        <f t="array" aca="1" ref="D3:Q15" ca="1">_xlfn.LET(_xlpm.models,_xlfn.ANCHORARRAY(D1),_xlpm.arr,_xlfn.ANCHORARRAY(T3),_xlpm.codes,INDEX(_xlfn.ANCHORARRAY(A3),0,1),_xlfn.MAKEARRAY(ROWS(_xlpm.codes),COLUMNS(_xlpm.models),_xlfn.LAMBDA(_xlpm.r,_xlpm.c,_xlfn.LET(_xlpm.code,INDEX(_xlpm.codes,_xlpm.r,1),_xlpm.model,INDEX(_xlpm.models,1,_xlpm.c),_xlpm.arrf,_xlfn._xlws.FILTER(_xlpm.arr,INDEX(_xlpm.arr,0,1)=_xlpm.model,IF(_xlfn.SEQUENCE(1,3),"")),_xlfn.XLOOKUP(_xlpm.code,INDEX(_xlpm.arrf,0,2),INDEX(_xlpm.arrf,0,3),"",0)))))</f>
        <v>SBName</v>
      </c>
      <c r="E3" s="8" t="str">
        <f ca="1"/>
        <v>SBName</v>
      </c>
      <c r="F3" s="8" t="str">
        <f ca="1"/>
        <v>SBName</v>
      </c>
      <c r="G3" s="8" t="str">
        <f ca="1"/>
        <v>SBName</v>
      </c>
      <c r="H3" s="7" t="str">
        <f ca="1"/>
        <v/>
      </c>
      <c r="I3" s="7" t="str">
        <f ca="1"/>
        <v>SBName</v>
      </c>
      <c r="J3" s="7" t="str">
        <f ca="1"/>
        <v>SBName</v>
      </c>
      <c r="K3" s="7" t="str">
        <f ca="1"/>
        <v>SBName</v>
      </c>
      <c r="L3" s="7" t="str">
        <f ca="1"/>
        <v>SBName</v>
      </c>
      <c r="M3" s="7" t="str">
        <f ca="1"/>
        <v>SBName</v>
      </c>
      <c r="N3" s="7" t="str">
        <f ca="1"/>
        <v/>
      </c>
      <c r="O3" s="7" t="str">
        <f ca="1"/>
        <v/>
      </c>
      <c r="P3" s="7" t="str">
        <f ca="1"/>
        <v/>
      </c>
      <c r="Q3" s="7" t="str">
        <f ca="1"/>
        <v/>
      </c>
      <c r="T3" s="7" t="str" cm="1">
        <f t="array" aca="1" ref="T3:V119" ca="1">_xlfn.LET(_xlpm.models,_xlfn.ANCHORARRAY(X1),_xlfn.DROP(_xlfn.REDUCE("",_xlpm.models,_xlfn.LAMBDA(_xlpm.p,_xlpm.m,_xlfn.LET(_xlpm.mc,_xlfn.TEXTBEFORE(_xlfn.TEXTAFTER(ADDRESS(ROW(),COLUMN(_xlpm.m),1,1),"$"),"$"),_xlpm.ma,INDIRECT(_xlpm.mc&amp;":"&amp;_xlpm.mc),_xlpm.arr,_xlfn._xlws.FILTER(_xlpm.ma,(_xlpm.ma&lt;&gt;"")*(ROW(_xlpm.ma)&gt;=ROW())&gt;0,""),_xlpm.arrb,IF(ROWS(_xlpm.arr)&lt;=1,"",_xlfn.MAKEARRAY(ROWS(_xlpm.arr)/2,2,_xlfn.LAMBDA(_xlpm.r,_xlpm.c,INDEX(_xlpm.arr,_xlpm.r*2+_xlpm.c-2,1)))),IF(INDEX(_xlpm.arrb,1,1)="",_xlpm.p,_xlfn.VSTACK(_xlpm.p,_xlfn.HSTACK(IF(_xlfn.SEQUENCE(ROWS(_xlpm.arrb)),_xlpm.m),_xlpm.arrb)))))),1))</f>
        <v>Z8</v>
      </c>
      <c r="U3" s="7" t="str">
        <f ca="1"/>
        <v>0x1001</v>
      </c>
      <c r="V3" s="7" t="str">
        <f ca="1"/>
        <v>SBName</v>
      </c>
      <c r="X3" s="7" t="s">
        <v>5</v>
      </c>
      <c r="Y3" s="7" t="s">
        <v>5</v>
      </c>
      <c r="Z3" s="7" t="s">
        <v>5</v>
      </c>
      <c r="AA3" s="7" t="s">
        <v>5</v>
      </c>
      <c r="AC3" s="7" t="s">
        <v>5</v>
      </c>
      <c r="AD3" s="7" t="s">
        <v>5</v>
      </c>
      <c r="AE3" s="7" t="s">
        <v>5</v>
      </c>
      <c r="AF3" s="7" t="s">
        <v>5</v>
      </c>
      <c r="AG3" s="7" t="s">
        <v>5</v>
      </c>
    </row>
    <row r="4" spans="1:37" x14ac:dyDescent="0.25">
      <c r="A4" s="13" t="str">
        <f ca="1"/>
        <v>0x1002</v>
      </c>
      <c r="B4" s="14" t="str">
        <f ca="1"/>
        <v>SBGroupID</v>
      </c>
      <c r="D4" s="8" t="str">
        <f ca="1"/>
        <v>SBGroupID</v>
      </c>
      <c r="E4" s="8" t="str">
        <f ca="1"/>
        <v>SBGroupID</v>
      </c>
      <c r="F4" s="8" t="str">
        <f ca="1"/>
        <v>SBGroupID</v>
      </c>
      <c r="G4" s="8" t="str">
        <f ca="1"/>
        <v>SBGroupID</v>
      </c>
      <c r="H4" s="7" t="str">
        <f ca="1"/>
        <v/>
      </c>
      <c r="I4" s="7" t="str">
        <f ca="1"/>
        <v>SBGroupID</v>
      </c>
      <c r="J4" s="7" t="str">
        <f ca="1"/>
        <v>SBGroupID</v>
      </c>
      <c r="K4" s="7" t="str">
        <f ca="1"/>
        <v>SBGroupID</v>
      </c>
      <c r="L4" s="7" t="str">
        <f ca="1"/>
        <v>SBGroupID</v>
      </c>
      <c r="M4" s="7" t="str">
        <f ca="1"/>
        <v>SBGroupID</v>
      </c>
      <c r="N4" s="7" t="str">
        <f ca="1"/>
        <v/>
      </c>
      <c r="O4" s="7" t="str">
        <f ca="1"/>
        <v/>
      </c>
      <c r="P4" s="7" t="str">
        <f ca="1"/>
        <v/>
      </c>
      <c r="Q4" s="7" t="str">
        <f ca="1"/>
        <v/>
      </c>
      <c r="T4" s="7" t="str">
        <f ca="1"/>
        <v>Z8</v>
      </c>
      <c r="U4" s="7" t="str">
        <f ca="1"/>
        <v>0x1002</v>
      </c>
      <c r="V4" s="7" t="str">
        <f ca="1"/>
        <v>SBGroupID</v>
      </c>
      <c r="X4" s="7" t="s">
        <v>1111</v>
      </c>
      <c r="Y4" s="7" t="s">
        <v>1111</v>
      </c>
      <c r="Z4" s="7" t="s">
        <v>1111</v>
      </c>
      <c r="AA4" s="7" t="s">
        <v>1111</v>
      </c>
      <c r="AC4" s="7" t="s">
        <v>1111</v>
      </c>
      <c r="AD4" s="7" t="s">
        <v>1111</v>
      </c>
      <c r="AE4" s="7" t="s">
        <v>1111</v>
      </c>
      <c r="AF4" s="7" t="s">
        <v>1111</v>
      </c>
      <c r="AG4" s="7" t="s">
        <v>1111</v>
      </c>
    </row>
    <row r="5" spans="1:37" x14ac:dyDescent="0.25">
      <c r="A5" s="13" t="str">
        <f ca="1"/>
        <v>0x1003</v>
      </c>
      <c r="B5" s="14" t="str">
        <f ca="1"/>
        <v>SBStatus</v>
      </c>
      <c r="D5" s="8" t="str">
        <f ca="1"/>
        <v>SBStatus</v>
      </c>
      <c r="E5" s="8" t="str">
        <f ca="1"/>
        <v>SBStatus</v>
      </c>
      <c r="F5" s="8" t="str">
        <f ca="1"/>
        <v>SBStatus</v>
      </c>
      <c r="G5" s="8" t="str">
        <f ca="1"/>
        <v>SBStatus</v>
      </c>
      <c r="H5" s="7" t="str">
        <f ca="1"/>
        <v/>
      </c>
      <c r="I5" s="7" t="str">
        <f ca="1"/>
        <v>SBStatus</v>
      </c>
      <c r="J5" s="7" t="str">
        <f ca="1"/>
        <v>SBStatus</v>
      </c>
      <c r="K5" s="7" t="str">
        <f ca="1"/>
        <v>SBStatus</v>
      </c>
      <c r="L5" s="7" t="str">
        <f ca="1"/>
        <v>SBStatus</v>
      </c>
      <c r="M5" s="7" t="str">
        <f ca="1"/>
        <v>SBStatus</v>
      </c>
      <c r="N5" s="7" t="str">
        <f ca="1"/>
        <v/>
      </c>
      <c r="O5" s="7" t="str">
        <f ca="1"/>
        <v/>
      </c>
      <c r="P5" s="7" t="str">
        <f ca="1"/>
        <v/>
      </c>
      <c r="Q5" s="7" t="str">
        <f ca="1"/>
        <v/>
      </c>
      <c r="T5" s="7" t="str">
        <f ca="1"/>
        <v>Z8</v>
      </c>
      <c r="U5" s="7" t="str">
        <f ca="1"/>
        <v>0x1003</v>
      </c>
      <c r="V5" s="7" t="str">
        <f ca="1"/>
        <v>SBStatus</v>
      </c>
      <c r="X5" s="7" t="s">
        <v>7</v>
      </c>
      <c r="Y5" s="7" t="s">
        <v>7</v>
      </c>
      <c r="Z5" s="7" t="s">
        <v>7</v>
      </c>
      <c r="AA5" s="7" t="s">
        <v>7</v>
      </c>
      <c r="AC5" s="7" t="s">
        <v>7</v>
      </c>
      <c r="AD5" s="7" t="s">
        <v>7</v>
      </c>
      <c r="AE5" s="7" t="s">
        <v>7</v>
      </c>
      <c r="AF5" s="7" t="s">
        <v>7</v>
      </c>
      <c r="AG5" s="7" t="s">
        <v>7</v>
      </c>
    </row>
    <row r="6" spans="1:37" x14ac:dyDescent="0.25">
      <c r="A6" s="13" t="str">
        <f ca="1"/>
        <v>0x1005</v>
      </c>
      <c r="B6" s="14" t="str">
        <f ca="1"/>
        <v>SBTestFlashDisable</v>
      </c>
      <c r="D6" s="8" t="str">
        <f ca="1"/>
        <v>SBTestFlashDisable</v>
      </c>
      <c r="E6" s="8" t="str">
        <f ca="1"/>
        <v>SBTestFlashDisable</v>
      </c>
      <c r="F6" s="8" t="str">
        <f ca="1"/>
        <v>SBTestFlashDisable</v>
      </c>
      <c r="G6" s="8" t="str">
        <f ca="1"/>
        <v>SBTestFlashDisable</v>
      </c>
      <c r="H6" s="7" t="str">
        <f ca="1"/>
        <v/>
      </c>
      <c r="I6" s="7" t="str">
        <f ca="1"/>
        <v>SBTestFlashDisable</v>
      </c>
      <c r="J6" s="7" t="str">
        <f ca="1"/>
        <v>SBTestFlashDisable</v>
      </c>
      <c r="K6" s="7" t="str">
        <f ca="1"/>
        <v>SBTestFlashDisable</v>
      </c>
      <c r="L6" s="7" t="str">
        <f ca="1"/>
        <v>SBTestFlashDisable</v>
      </c>
      <c r="M6" s="7" t="str">
        <f ca="1"/>
        <v>SBTestFlashDisable</v>
      </c>
      <c r="N6" s="7" t="str">
        <f ca="1"/>
        <v/>
      </c>
      <c r="O6" s="7" t="str">
        <f ca="1"/>
        <v/>
      </c>
      <c r="P6" s="7" t="str">
        <f ca="1"/>
        <v/>
      </c>
      <c r="Q6" s="7" t="str">
        <f ca="1"/>
        <v/>
      </c>
      <c r="T6" s="7" t="str">
        <f ca="1"/>
        <v>Z8</v>
      </c>
      <c r="U6" s="7" t="str">
        <f ca="1"/>
        <v>0x1005</v>
      </c>
      <c r="V6" s="7" t="str">
        <f ca="1"/>
        <v>SBTestFlashDisable</v>
      </c>
      <c r="X6" s="7" t="s">
        <v>1112</v>
      </c>
      <c r="Y6" s="7" t="s">
        <v>1112</v>
      </c>
      <c r="Z6" s="7" t="s">
        <v>1112</v>
      </c>
      <c r="AA6" s="7" t="s">
        <v>1112</v>
      </c>
      <c r="AC6" s="7" t="s">
        <v>1112</v>
      </c>
      <c r="AD6" s="7" t="s">
        <v>1112</v>
      </c>
      <c r="AE6" s="7" t="s">
        <v>1112</v>
      </c>
      <c r="AF6" s="7" t="s">
        <v>1112</v>
      </c>
      <c r="AG6" s="7" t="s">
        <v>1112</v>
      </c>
    </row>
    <row r="7" spans="1:37" x14ac:dyDescent="0.25">
      <c r="A7" s="13" t="str">
        <f ca="1"/>
        <v>0x4001</v>
      </c>
      <c r="B7" s="14" t="str">
        <f ca="1"/>
        <v>SBGroupFlashMode</v>
      </c>
      <c r="D7" s="8" t="str">
        <f ca="1"/>
        <v>SBGroupFlashMode</v>
      </c>
      <c r="E7" s="8" t="str">
        <f ca="1"/>
        <v>SBGroupFlashMode</v>
      </c>
      <c r="F7" s="8" t="str">
        <f ca="1"/>
        <v>SBGroupFlashMode</v>
      </c>
      <c r="G7" s="8" t="str">
        <f ca="1"/>
        <v>SBGroupFlashMode</v>
      </c>
      <c r="H7" s="7" t="str">
        <f ca="1"/>
        <v/>
      </c>
      <c r="I7" s="7" t="str">
        <f ca="1"/>
        <v>SBGroupFlashMode</v>
      </c>
      <c r="J7" s="7" t="str">
        <f ca="1"/>
        <v>SBGroupFlashMode</v>
      </c>
      <c r="K7" s="7" t="str">
        <f ca="1"/>
        <v>SBGroupFlashMode</v>
      </c>
      <c r="L7" s="7" t="str">
        <f ca="1"/>
        <v>SBGroupFlashMode</v>
      </c>
      <c r="M7" s="7" t="str">
        <f ca="1"/>
        <v>SBGroupFlashMode</v>
      </c>
      <c r="N7" s="7" t="str">
        <f ca="1"/>
        <v/>
      </c>
      <c r="O7" s="7" t="str">
        <f ca="1"/>
        <v/>
      </c>
      <c r="P7" s="7" t="str">
        <f ca="1"/>
        <v/>
      </c>
      <c r="Q7" s="7" t="str">
        <f ca="1"/>
        <v/>
      </c>
      <c r="T7" s="7" t="str">
        <f ca="1"/>
        <v>Z8</v>
      </c>
      <c r="U7" s="7" t="str">
        <f ca="1"/>
        <v>0x4001</v>
      </c>
      <c r="V7" s="7" t="str">
        <f ca="1"/>
        <v>SBGroupFlashMode</v>
      </c>
      <c r="X7" s="7" t="s">
        <v>9</v>
      </c>
      <c r="Y7" s="7" t="s">
        <v>9</v>
      </c>
      <c r="Z7" s="7" t="s">
        <v>9</v>
      </c>
      <c r="AA7" s="7" t="s">
        <v>9</v>
      </c>
      <c r="AC7" s="7" t="s">
        <v>9</v>
      </c>
      <c r="AD7" s="7" t="s">
        <v>9</v>
      </c>
      <c r="AE7" s="7" t="s">
        <v>9</v>
      </c>
      <c r="AF7" s="7" t="s">
        <v>9</v>
      </c>
      <c r="AG7" s="7" t="s">
        <v>9</v>
      </c>
    </row>
    <row r="8" spans="1:37" x14ac:dyDescent="0.25">
      <c r="A8" s="13" t="str">
        <f ca="1"/>
        <v>0x4002</v>
      </c>
      <c r="B8" s="14" t="str">
        <f ca="1"/>
        <v>SBGroupFlashCompensation</v>
      </c>
      <c r="D8" s="8" t="str">
        <f ca="1"/>
        <v>SBGroupFlashCompensation</v>
      </c>
      <c r="E8" s="8" t="str">
        <f ca="1"/>
        <v>SBGroupFlashCompensation</v>
      </c>
      <c r="F8" s="8" t="str">
        <f ca="1"/>
        <v>SBGroupFlashCompensation</v>
      </c>
      <c r="G8" s="8" t="str">
        <f ca="1"/>
        <v>SBGroupFlashCompensation</v>
      </c>
      <c r="H8" s="7" t="str">
        <f ca="1"/>
        <v/>
      </c>
      <c r="I8" s="7" t="str">
        <f ca="1"/>
        <v>SBGroupFlashCompensation</v>
      </c>
      <c r="J8" s="7" t="str">
        <f ca="1"/>
        <v>SBGroupFlashCompensation</v>
      </c>
      <c r="K8" s="7" t="str">
        <f ca="1"/>
        <v>SBGroupFlashCompensation</v>
      </c>
      <c r="L8" s="7" t="str">
        <f ca="1"/>
        <v>SBGroupFlashCompensation</v>
      </c>
      <c r="M8" s="7" t="str">
        <f ca="1"/>
        <v>SBGroupFlashCompensation</v>
      </c>
      <c r="N8" s="7" t="str">
        <f ca="1"/>
        <v/>
      </c>
      <c r="O8" s="7" t="str">
        <f ca="1"/>
        <v/>
      </c>
      <c r="P8" s="7" t="str">
        <f ca="1"/>
        <v/>
      </c>
      <c r="Q8" s="7" t="str">
        <f ca="1"/>
        <v/>
      </c>
      <c r="T8" s="7" t="str">
        <f ca="1"/>
        <v>Z8</v>
      </c>
      <c r="U8" s="7" t="str">
        <f ca="1"/>
        <v>0x4002</v>
      </c>
      <c r="V8" s="7" t="str">
        <f ca="1"/>
        <v>SBGroupFlashCompensation</v>
      </c>
      <c r="X8" s="7" t="s">
        <v>1113</v>
      </c>
      <c r="Y8" s="7" t="s">
        <v>1113</v>
      </c>
      <c r="Z8" s="7" t="s">
        <v>1113</v>
      </c>
      <c r="AA8" s="7" t="s">
        <v>1113</v>
      </c>
      <c r="AC8" s="7" t="s">
        <v>1113</v>
      </c>
      <c r="AD8" s="7" t="s">
        <v>1113</v>
      </c>
      <c r="AE8" s="7" t="s">
        <v>1113</v>
      </c>
      <c r="AF8" s="7" t="s">
        <v>1113</v>
      </c>
      <c r="AG8" s="7" t="s">
        <v>1113</v>
      </c>
    </row>
    <row r="9" spans="1:37" x14ac:dyDescent="0.25">
      <c r="A9" s="13" t="str">
        <f ca="1"/>
        <v>0x4003</v>
      </c>
      <c r="B9" s="14" t="str">
        <f ca="1"/>
        <v>SBGroupFlashRatio</v>
      </c>
      <c r="D9" s="8" t="str">
        <f ca="1"/>
        <v>SBGroupFlashRatio</v>
      </c>
      <c r="E9" s="8" t="str">
        <f ca="1"/>
        <v>SBGroupFlashRatio</v>
      </c>
      <c r="F9" s="8" t="str">
        <f ca="1"/>
        <v>SBGroupFlashRatio</v>
      </c>
      <c r="G9" s="8" t="str">
        <f ca="1"/>
        <v>SBGroupFlashRatio</v>
      </c>
      <c r="H9" s="7" t="str">
        <f ca="1"/>
        <v/>
      </c>
      <c r="I9" s="7" t="str">
        <f ca="1"/>
        <v>SBGroupFlashRatio</v>
      </c>
      <c r="J9" s="7" t="str">
        <f ca="1"/>
        <v>SBGroupFlashRatio</v>
      </c>
      <c r="K9" s="7" t="str">
        <f ca="1"/>
        <v>SBGroupFlashRatio</v>
      </c>
      <c r="L9" s="7" t="str">
        <f ca="1"/>
        <v>SBGroupFlashRatio</v>
      </c>
      <c r="M9" s="7" t="str">
        <f ca="1"/>
        <v>SBGroupFlashRatio</v>
      </c>
      <c r="N9" s="7" t="str">
        <f ca="1"/>
        <v/>
      </c>
      <c r="O9" s="7" t="str">
        <f ca="1"/>
        <v/>
      </c>
      <c r="P9" s="7" t="str">
        <f ca="1"/>
        <v/>
      </c>
      <c r="Q9" s="7" t="str">
        <f ca="1"/>
        <v/>
      </c>
      <c r="T9" s="7" t="str">
        <f ca="1"/>
        <v>Z8</v>
      </c>
      <c r="U9" s="7" t="str">
        <f ca="1"/>
        <v>0x4003</v>
      </c>
      <c r="V9" s="7" t="str">
        <f ca="1"/>
        <v>SBGroupFlashRatio</v>
      </c>
      <c r="X9" s="7" t="s">
        <v>13</v>
      </c>
      <c r="Y9" s="7" t="s">
        <v>13</v>
      </c>
      <c r="Z9" s="7" t="s">
        <v>13</v>
      </c>
      <c r="AA9" s="7" t="s">
        <v>13</v>
      </c>
      <c r="AC9" s="7" t="s">
        <v>13</v>
      </c>
      <c r="AD9" s="7" t="s">
        <v>13</v>
      </c>
      <c r="AE9" s="7" t="s">
        <v>13</v>
      </c>
      <c r="AF9" s="7" t="s">
        <v>13</v>
      </c>
      <c r="AG9" s="7" t="s">
        <v>13</v>
      </c>
    </row>
    <row r="10" spans="1:37" x14ac:dyDescent="0.25">
      <c r="A10" s="13" t="str">
        <f ca="1"/>
        <v>0x4004</v>
      </c>
      <c r="B10" s="14" t="str">
        <f ca="1"/>
        <v>SBGroupFlashLevel</v>
      </c>
      <c r="D10" s="8" t="str">
        <f ca="1"/>
        <v>SBGroupFlashLevel</v>
      </c>
      <c r="E10" s="8" t="str">
        <f ca="1"/>
        <v>SBGroupFlashLevel</v>
      </c>
      <c r="F10" s="8" t="str">
        <f ca="1"/>
        <v>SBGroupFlashLevel</v>
      </c>
      <c r="G10" s="8" t="str">
        <f ca="1"/>
        <v>SBGroupFlashLevel</v>
      </c>
      <c r="H10" s="7" t="str">
        <f ca="1"/>
        <v/>
      </c>
      <c r="I10" s="7" t="str">
        <f ca="1"/>
        <v>SBGroupFlashLevel</v>
      </c>
      <c r="J10" s="7" t="str">
        <f ca="1"/>
        <v>SBGroupFlashLevel</v>
      </c>
      <c r="K10" s="7" t="str">
        <f ca="1"/>
        <v>SBGroupFlashLevel</v>
      </c>
      <c r="L10" s="7" t="str">
        <f ca="1"/>
        <v>SBGroupFlashLevel</v>
      </c>
      <c r="M10" s="7" t="str">
        <f ca="1"/>
        <v>SBGroupFlashLevel</v>
      </c>
      <c r="N10" s="7" t="str">
        <f ca="1"/>
        <v/>
      </c>
      <c r="O10" s="7" t="str">
        <f ca="1"/>
        <v/>
      </c>
      <c r="P10" s="7" t="str">
        <f ca="1"/>
        <v/>
      </c>
      <c r="Q10" s="7" t="str">
        <f ca="1"/>
        <v/>
      </c>
      <c r="T10" s="7" t="str">
        <f ca="1"/>
        <v>Z8</v>
      </c>
      <c r="U10" s="7" t="str">
        <f ca="1"/>
        <v>0x4004</v>
      </c>
      <c r="V10" s="7" t="str">
        <f ca="1"/>
        <v>SBGroupFlashLevel</v>
      </c>
      <c r="X10" s="7" t="s">
        <v>1114</v>
      </c>
      <c r="Y10" s="7" t="s">
        <v>1114</v>
      </c>
      <c r="Z10" s="7" t="s">
        <v>1114</v>
      </c>
      <c r="AA10" s="7" t="s">
        <v>1114</v>
      </c>
      <c r="AC10" s="7" t="s">
        <v>1114</v>
      </c>
      <c r="AD10" s="7" t="s">
        <v>1114</v>
      </c>
      <c r="AE10" s="7" t="s">
        <v>1114</v>
      </c>
      <c r="AF10" s="7" t="s">
        <v>1114</v>
      </c>
      <c r="AG10" s="7" t="s">
        <v>1114</v>
      </c>
    </row>
    <row r="11" spans="1:37" x14ac:dyDescent="0.25">
      <c r="A11" s="13" t="str">
        <f ca="1"/>
        <v>0x4005</v>
      </c>
      <c r="B11" s="14" t="str">
        <f ca="1"/>
        <v>SBGroupFlashRange</v>
      </c>
      <c r="D11" s="8" t="str">
        <f ca="1"/>
        <v>SBGroupFlashRange</v>
      </c>
      <c r="E11" s="8" t="str">
        <f ca="1"/>
        <v>SBGroupFlashRange</v>
      </c>
      <c r="F11" s="8" t="str">
        <f ca="1"/>
        <v>SBGroupFlashRange</v>
      </c>
      <c r="G11" s="8" t="str">
        <f ca="1"/>
        <v>SBGroupFlashRange</v>
      </c>
      <c r="H11" s="7" t="str">
        <f ca="1"/>
        <v/>
      </c>
      <c r="I11" s="7" t="str">
        <f ca="1"/>
        <v>SBGroupFlashRange</v>
      </c>
      <c r="J11" s="7" t="str">
        <f ca="1"/>
        <v>SBGroupFlashRange</v>
      </c>
      <c r="K11" s="7" t="str">
        <f ca="1"/>
        <v>SBGroupFlashRange</v>
      </c>
      <c r="L11" s="7" t="str">
        <f ca="1"/>
        <v>SBGroupFlashRange</v>
      </c>
      <c r="M11" s="7" t="str">
        <f ca="1"/>
        <v>SBGroupFlashRange</v>
      </c>
      <c r="N11" s="7" t="str">
        <f ca="1"/>
        <v/>
      </c>
      <c r="O11" s="7" t="str">
        <f ca="1"/>
        <v/>
      </c>
      <c r="P11" s="7" t="str">
        <f ca="1"/>
        <v/>
      </c>
      <c r="Q11" s="7" t="str">
        <f ca="1"/>
        <v/>
      </c>
      <c r="T11" s="7" t="str">
        <f ca="1"/>
        <v>Z8</v>
      </c>
      <c r="U11" s="7" t="str">
        <f ca="1"/>
        <v>0x4005</v>
      </c>
      <c r="V11" s="7" t="str">
        <f ca="1"/>
        <v>SBGroupFlashRange</v>
      </c>
      <c r="X11" s="8" t="s">
        <v>329</v>
      </c>
      <c r="Y11" s="8" t="s">
        <v>329</v>
      </c>
      <c r="Z11" s="8" t="s">
        <v>329</v>
      </c>
      <c r="AA11" s="8" t="s">
        <v>329</v>
      </c>
      <c r="AC11" s="8" t="s">
        <v>329</v>
      </c>
      <c r="AD11" s="8" t="s">
        <v>329</v>
      </c>
      <c r="AE11" s="8" t="s">
        <v>329</v>
      </c>
      <c r="AF11" s="8" t="s">
        <v>329</v>
      </c>
      <c r="AG11" s="8" t="s">
        <v>329</v>
      </c>
    </row>
    <row r="12" spans="1:37" x14ac:dyDescent="0.25">
      <c r="A12" s="13" t="str">
        <f ca="1"/>
        <v>0x4006</v>
      </c>
      <c r="B12" s="14" t="str">
        <f ca="1"/>
        <v>SBGroupRepeat</v>
      </c>
      <c r="D12" s="8" t="str">
        <f ca="1"/>
        <v>SBGroupRepeat</v>
      </c>
      <c r="E12" s="8" t="str">
        <f ca="1"/>
        <v>SBGroupRepeat</v>
      </c>
      <c r="F12" s="8" t="str">
        <f ca="1"/>
        <v>SBGroupRepeat</v>
      </c>
      <c r="G12" s="8" t="str">
        <f ca="1"/>
        <v>SBGroupRepeat</v>
      </c>
      <c r="H12" s="7" t="str">
        <f ca="1"/>
        <v/>
      </c>
      <c r="I12" s="7" t="str">
        <f ca="1"/>
        <v>SBGroupRepeat</v>
      </c>
      <c r="J12" s="7" t="str">
        <f ca="1"/>
        <v>SBGroupRepeat</v>
      </c>
      <c r="K12" s="7" t="str">
        <f ca="1"/>
        <v>SBGroupRepeat</v>
      </c>
      <c r="L12" s="7" t="str">
        <f ca="1"/>
        <v>SBGroupRepeat</v>
      </c>
      <c r="M12" s="7" t="str">
        <f ca="1"/>
        <v>SBGroupRepeat</v>
      </c>
      <c r="N12" s="7" t="str">
        <f ca="1"/>
        <v/>
      </c>
      <c r="O12" s="7" t="str">
        <f ca="1"/>
        <v/>
      </c>
      <c r="P12" s="7" t="str">
        <f ca="1"/>
        <v/>
      </c>
      <c r="Q12" s="7" t="str">
        <f ca="1"/>
        <v/>
      </c>
      <c r="T12" s="7" t="str">
        <f ca="1"/>
        <v>Z8</v>
      </c>
      <c r="U12" s="7" t="str">
        <f ca="1"/>
        <v>0x4006</v>
      </c>
      <c r="V12" s="7" t="str">
        <f ca="1"/>
        <v>SBGroupRepeat</v>
      </c>
      <c r="X12" s="7" t="s">
        <v>1115</v>
      </c>
      <c r="Y12" s="7" t="s">
        <v>1115</v>
      </c>
      <c r="Z12" s="7" t="s">
        <v>1115</v>
      </c>
      <c r="AA12" s="7" t="s">
        <v>1115</v>
      </c>
      <c r="AC12" s="7" t="s">
        <v>1115</v>
      </c>
      <c r="AD12" s="7" t="s">
        <v>1115</v>
      </c>
      <c r="AE12" s="7" t="s">
        <v>1115</v>
      </c>
      <c r="AF12" s="7" t="s">
        <v>1115</v>
      </c>
      <c r="AG12" s="7" t="s">
        <v>1115</v>
      </c>
    </row>
    <row r="13" spans="1:37" x14ac:dyDescent="0.25">
      <c r="A13" s="13" t="str">
        <f ca="1"/>
        <v>0x4007</v>
      </c>
      <c r="B13" s="14" t="str">
        <f ca="1"/>
        <v>SBGroupRepeatCount</v>
      </c>
      <c r="D13" s="8" t="str">
        <f ca="1"/>
        <v>SBGroupRepeatCount</v>
      </c>
      <c r="E13" s="8" t="str">
        <f ca="1"/>
        <v>SBGroupRepeatCount</v>
      </c>
      <c r="F13" s="8" t="str">
        <f ca="1"/>
        <v>SBGroupRepeatCount</v>
      </c>
      <c r="G13" s="8" t="str">
        <f ca="1"/>
        <v>SBGroupRepeatCount</v>
      </c>
      <c r="H13" s="7" t="str">
        <f ca="1"/>
        <v/>
      </c>
      <c r="I13" s="7" t="str">
        <f ca="1"/>
        <v>SBGroupRepeatCount</v>
      </c>
      <c r="J13" s="7" t="str">
        <f ca="1"/>
        <v>SBGroupRepeatCount</v>
      </c>
      <c r="K13" s="7" t="str">
        <f ca="1"/>
        <v>SBGroupRepeatCount</v>
      </c>
      <c r="L13" s="7" t="str">
        <f ca="1"/>
        <v>SBGroupRepeatCount</v>
      </c>
      <c r="M13" s="7" t="str">
        <f ca="1"/>
        <v>SBGroupRepeatCount</v>
      </c>
      <c r="N13" s="7" t="str">
        <f ca="1"/>
        <v/>
      </c>
      <c r="O13" s="7" t="str">
        <f ca="1"/>
        <v/>
      </c>
      <c r="P13" s="7" t="str">
        <f ca="1"/>
        <v/>
      </c>
      <c r="Q13" s="7" t="str">
        <f ca="1"/>
        <v/>
      </c>
      <c r="T13" s="7" t="str">
        <f ca="1"/>
        <v>Z8</v>
      </c>
      <c r="U13" s="7" t="str">
        <f ca="1"/>
        <v>0x4007</v>
      </c>
      <c r="V13" s="7" t="str">
        <f ca="1"/>
        <v>SBGroupRepeatCount</v>
      </c>
      <c r="X13" s="8" t="s">
        <v>331</v>
      </c>
      <c r="Y13" s="8" t="s">
        <v>331</v>
      </c>
      <c r="Z13" s="8" t="s">
        <v>331</v>
      </c>
      <c r="AA13" s="8" t="s">
        <v>331</v>
      </c>
      <c r="AC13" s="8" t="s">
        <v>331</v>
      </c>
      <c r="AD13" s="8" t="s">
        <v>331</v>
      </c>
      <c r="AE13" s="8" t="s">
        <v>331</v>
      </c>
      <c r="AF13" s="8" t="s">
        <v>331</v>
      </c>
      <c r="AG13" s="8" t="s">
        <v>331</v>
      </c>
    </row>
    <row r="14" spans="1:37" x14ac:dyDescent="0.25">
      <c r="A14" s="13" t="str">
        <f ca="1"/>
        <v>0x4008</v>
      </c>
      <c r="B14" s="14" t="str">
        <f ca="1"/>
        <v>SBGroupRepeatInterval</v>
      </c>
      <c r="D14" s="8" t="str">
        <f ca="1"/>
        <v>SBGroupRepeatInterval</v>
      </c>
      <c r="E14" s="8" t="str">
        <f ca="1"/>
        <v>SBGroupRepeatInterval</v>
      </c>
      <c r="F14" s="8" t="str">
        <f ca="1"/>
        <v>SBGroupRepeatInterval</v>
      </c>
      <c r="G14" s="8" t="str">
        <f ca="1"/>
        <v>SBGroupRepeatInterval</v>
      </c>
      <c r="H14" s="7" t="str">
        <f ca="1"/>
        <v/>
      </c>
      <c r="I14" s="7" t="str">
        <f ca="1"/>
        <v>SBGroupRepeatInterval</v>
      </c>
      <c r="J14" s="7" t="str">
        <f ca="1"/>
        <v>SBGroupRepeatInterval</v>
      </c>
      <c r="K14" s="7" t="str">
        <f ca="1"/>
        <v>SBGroupRepeatInterval</v>
      </c>
      <c r="L14" s="7" t="str">
        <f ca="1"/>
        <v>SBGroupRepeatInterval</v>
      </c>
      <c r="M14" s="7" t="str">
        <f ca="1"/>
        <v>SBGroupRepeatInterval</v>
      </c>
      <c r="N14" s="7" t="str">
        <f ca="1"/>
        <v/>
      </c>
      <c r="O14" s="7" t="str">
        <f ca="1"/>
        <v/>
      </c>
      <c r="P14" s="7" t="str">
        <f ca="1"/>
        <v/>
      </c>
      <c r="Q14" s="7" t="str">
        <f ca="1"/>
        <v/>
      </c>
      <c r="T14" s="7" t="str">
        <f ca="1"/>
        <v>Z8</v>
      </c>
      <c r="U14" s="7" t="str">
        <f ca="1"/>
        <v>0x4008</v>
      </c>
      <c r="V14" s="7" t="str">
        <f ca="1"/>
        <v>SBGroupRepeatInterval</v>
      </c>
      <c r="X14" s="7" t="s">
        <v>1116</v>
      </c>
      <c r="Y14" s="7" t="s">
        <v>1116</v>
      </c>
      <c r="Z14" s="7" t="s">
        <v>1116</v>
      </c>
      <c r="AA14" s="7" t="s">
        <v>1116</v>
      </c>
      <c r="AC14" s="7" t="s">
        <v>1116</v>
      </c>
      <c r="AD14" s="7" t="s">
        <v>1116</v>
      </c>
      <c r="AE14" s="7" t="s">
        <v>1116</v>
      </c>
      <c r="AF14" s="7" t="s">
        <v>1116</v>
      </c>
      <c r="AG14" s="7" t="s">
        <v>1116</v>
      </c>
    </row>
    <row r="15" spans="1:37" x14ac:dyDescent="0.25">
      <c r="A15" s="13" t="str">
        <f ca="1"/>
        <v>0x4009</v>
      </c>
      <c r="B15" s="14" t="str">
        <f ca="1"/>
        <v>SBGroupValid</v>
      </c>
      <c r="D15" s="8" t="str">
        <f ca="1"/>
        <v>SBGroupValid</v>
      </c>
      <c r="E15" s="8" t="str">
        <f ca="1"/>
        <v>SBGroupValid</v>
      </c>
      <c r="F15" s="8" t="str">
        <f ca="1"/>
        <v>SBGroupValid</v>
      </c>
      <c r="G15" s="8" t="str">
        <f ca="1"/>
        <v>SBGroupValid</v>
      </c>
      <c r="H15" s="7" t="str">
        <f ca="1"/>
        <v/>
      </c>
      <c r="I15" s="7" t="str">
        <f ca="1"/>
        <v>SBGroupValid</v>
      </c>
      <c r="J15" s="7" t="str">
        <f ca="1"/>
        <v>SBGroupValid</v>
      </c>
      <c r="K15" s="7" t="str">
        <f ca="1"/>
        <v>SBGroupValid</v>
      </c>
      <c r="L15" s="7" t="str">
        <f ca="1"/>
        <v>SBGroupValid</v>
      </c>
      <c r="M15" s="7" t="str">
        <f ca="1"/>
        <v>SBGroupValid</v>
      </c>
      <c r="N15" s="7" t="str">
        <f ca="1"/>
        <v/>
      </c>
      <c r="O15" s="7" t="str">
        <f ca="1"/>
        <v/>
      </c>
      <c r="P15" s="7" t="str">
        <f ca="1"/>
        <v/>
      </c>
      <c r="Q15" s="7" t="str">
        <f ca="1"/>
        <v/>
      </c>
      <c r="T15" s="7" t="str">
        <f ca="1"/>
        <v>Z8</v>
      </c>
      <c r="U15" s="7" t="str">
        <f ca="1"/>
        <v>0x4009</v>
      </c>
      <c r="V15" s="7" t="str">
        <f ca="1"/>
        <v>SBGroupValid</v>
      </c>
      <c r="X15" s="8" t="s">
        <v>333</v>
      </c>
      <c r="Y15" s="8" t="s">
        <v>333</v>
      </c>
      <c r="Z15" s="8" t="s">
        <v>333</v>
      </c>
      <c r="AA15" s="8" t="s">
        <v>333</v>
      </c>
      <c r="AC15" s="8" t="s">
        <v>333</v>
      </c>
      <c r="AD15" s="8" t="s">
        <v>333</v>
      </c>
      <c r="AE15" s="8" t="s">
        <v>333</v>
      </c>
      <c r="AF15" s="8" t="s">
        <v>333</v>
      </c>
      <c r="AG15" s="8" t="s">
        <v>333</v>
      </c>
    </row>
    <row r="16" spans="1:37" x14ac:dyDescent="0.25">
      <c r="T16" s="7" t="str">
        <f ca="1"/>
        <v>Z9</v>
      </c>
      <c r="U16" s="7" t="str">
        <f ca="1"/>
        <v>0x1001</v>
      </c>
      <c r="V16" s="7" t="str">
        <f ca="1"/>
        <v>SBName</v>
      </c>
      <c r="X16" s="7" t="s">
        <v>1117</v>
      </c>
      <c r="Y16" s="7" t="s">
        <v>1117</v>
      </c>
      <c r="Z16" s="7" t="s">
        <v>1117</v>
      </c>
      <c r="AA16" s="7" t="s">
        <v>1117</v>
      </c>
      <c r="AC16" s="7" t="s">
        <v>1117</v>
      </c>
      <c r="AD16" s="7" t="s">
        <v>1117</v>
      </c>
      <c r="AE16" s="7" t="s">
        <v>1117</v>
      </c>
      <c r="AF16" s="7" t="s">
        <v>1117</v>
      </c>
      <c r="AG16" s="7" t="s">
        <v>1117</v>
      </c>
    </row>
    <row r="17" spans="20:33" x14ac:dyDescent="0.25">
      <c r="T17" s="7" t="str">
        <f ca="1"/>
        <v>Z9</v>
      </c>
      <c r="U17" s="7" t="str">
        <f ca="1"/>
        <v>0x1002</v>
      </c>
      <c r="V17" s="7" t="str">
        <f ca="1"/>
        <v>SBGroupID</v>
      </c>
      <c r="X17" s="8" t="s">
        <v>335</v>
      </c>
      <c r="Y17" s="8" t="s">
        <v>335</v>
      </c>
      <c r="Z17" s="8" t="s">
        <v>335</v>
      </c>
      <c r="AA17" s="8" t="s">
        <v>335</v>
      </c>
      <c r="AC17" s="8" t="s">
        <v>335</v>
      </c>
      <c r="AD17" s="8" t="s">
        <v>335</v>
      </c>
      <c r="AE17" s="8" t="s">
        <v>335</v>
      </c>
      <c r="AF17" s="8" t="s">
        <v>335</v>
      </c>
      <c r="AG17" s="8" t="s">
        <v>335</v>
      </c>
    </row>
    <row r="18" spans="20:33" x14ac:dyDescent="0.25">
      <c r="T18" s="7" t="str">
        <f ca="1"/>
        <v>Z9</v>
      </c>
      <c r="U18" s="7" t="str">
        <f ca="1"/>
        <v>0x1003</v>
      </c>
      <c r="V18" s="7" t="str">
        <f ca="1"/>
        <v>SBStatus</v>
      </c>
      <c r="X18" s="7" t="s">
        <v>1118</v>
      </c>
      <c r="Y18" s="7" t="s">
        <v>1118</v>
      </c>
      <c r="Z18" s="7" t="s">
        <v>1118</v>
      </c>
      <c r="AA18" s="7" t="s">
        <v>1118</v>
      </c>
      <c r="AC18" s="7" t="s">
        <v>1118</v>
      </c>
      <c r="AD18" s="7" t="s">
        <v>1118</v>
      </c>
      <c r="AE18" s="7" t="s">
        <v>1118</v>
      </c>
      <c r="AF18" s="7" t="s">
        <v>1118</v>
      </c>
      <c r="AG18" s="7" t="s">
        <v>1118</v>
      </c>
    </row>
    <row r="19" spans="20:33" x14ac:dyDescent="0.25">
      <c r="T19" s="7" t="str">
        <f ca="1"/>
        <v>Z9</v>
      </c>
      <c r="U19" s="7" t="str">
        <f ca="1"/>
        <v>0x1005</v>
      </c>
      <c r="V19" s="7" t="str">
        <f ca="1"/>
        <v>SBTestFlashDisable</v>
      </c>
      <c r="X19" s="8" t="s">
        <v>337</v>
      </c>
      <c r="Y19" s="8" t="s">
        <v>337</v>
      </c>
      <c r="Z19" s="8" t="s">
        <v>337</v>
      </c>
      <c r="AA19" s="8" t="s">
        <v>337</v>
      </c>
      <c r="AC19" s="8" t="s">
        <v>337</v>
      </c>
      <c r="AD19" s="8" t="s">
        <v>337</v>
      </c>
      <c r="AE19" s="8" t="s">
        <v>337</v>
      </c>
      <c r="AF19" s="8" t="s">
        <v>337</v>
      </c>
      <c r="AG19" s="8" t="s">
        <v>337</v>
      </c>
    </row>
    <row r="20" spans="20:33" x14ac:dyDescent="0.25">
      <c r="T20" s="7" t="str">
        <f ca="1"/>
        <v>Z9</v>
      </c>
      <c r="U20" s="7" t="str">
        <f ca="1"/>
        <v>0x4001</v>
      </c>
      <c r="V20" s="7" t="str">
        <f ca="1"/>
        <v>SBGroupFlashMode</v>
      </c>
      <c r="X20" s="7" t="s">
        <v>1119</v>
      </c>
      <c r="Y20" s="7" t="s">
        <v>1119</v>
      </c>
      <c r="Z20" s="7" t="s">
        <v>1119</v>
      </c>
      <c r="AA20" s="7" t="s">
        <v>1119</v>
      </c>
      <c r="AC20" s="7" t="s">
        <v>1119</v>
      </c>
      <c r="AD20" s="7" t="s">
        <v>1119</v>
      </c>
      <c r="AE20" s="7" t="s">
        <v>1119</v>
      </c>
      <c r="AF20" s="7" t="s">
        <v>1119</v>
      </c>
      <c r="AG20" s="7" t="s">
        <v>1119</v>
      </c>
    </row>
    <row r="21" spans="20:33" x14ac:dyDescent="0.25">
      <c r="T21" s="7" t="str">
        <f ca="1"/>
        <v>Z9</v>
      </c>
      <c r="U21" s="7" t="str">
        <f ca="1"/>
        <v>0x4002</v>
      </c>
      <c r="V21" s="7" t="str">
        <f ca="1"/>
        <v>SBGroupFlashCompensation</v>
      </c>
      <c r="X21" s="8" t="s">
        <v>339</v>
      </c>
      <c r="Y21" s="8" t="s">
        <v>339</v>
      </c>
      <c r="Z21" s="8" t="s">
        <v>339</v>
      </c>
      <c r="AA21" s="8" t="s">
        <v>339</v>
      </c>
      <c r="AC21" s="8" t="s">
        <v>339</v>
      </c>
      <c r="AD21" s="8" t="s">
        <v>339</v>
      </c>
      <c r="AE21" s="8" t="s">
        <v>339</v>
      </c>
      <c r="AF21" s="8" t="s">
        <v>339</v>
      </c>
      <c r="AG21" s="8" t="s">
        <v>339</v>
      </c>
    </row>
    <row r="22" spans="20:33" x14ac:dyDescent="0.25">
      <c r="T22" s="7" t="str">
        <f ca="1"/>
        <v>Z9</v>
      </c>
      <c r="U22" s="7" t="str">
        <f ca="1"/>
        <v>0x4003</v>
      </c>
      <c r="V22" s="7" t="str">
        <f ca="1"/>
        <v>SBGroupFlashRatio</v>
      </c>
      <c r="X22" s="7" t="s">
        <v>1120</v>
      </c>
      <c r="Y22" s="7" t="s">
        <v>1120</v>
      </c>
      <c r="Z22" s="7" t="s">
        <v>1120</v>
      </c>
      <c r="AA22" s="7" t="s">
        <v>1120</v>
      </c>
      <c r="AC22" s="7" t="s">
        <v>1120</v>
      </c>
      <c r="AD22" s="7" t="s">
        <v>1120</v>
      </c>
      <c r="AE22" s="7" t="s">
        <v>1120</v>
      </c>
      <c r="AF22" s="7" t="s">
        <v>1120</v>
      </c>
      <c r="AG22" s="7" t="s">
        <v>1120</v>
      </c>
    </row>
    <row r="23" spans="20:33" x14ac:dyDescent="0.25">
      <c r="T23" s="7" t="str">
        <f ca="1"/>
        <v>Z9</v>
      </c>
      <c r="U23" s="7" t="str">
        <f ca="1"/>
        <v>0x4004</v>
      </c>
      <c r="V23" s="7" t="str">
        <f ca="1"/>
        <v>SBGroupFlashLevel</v>
      </c>
      <c r="X23" s="8" t="s">
        <v>341</v>
      </c>
      <c r="Y23" s="8" t="s">
        <v>341</v>
      </c>
      <c r="Z23" s="8" t="s">
        <v>341</v>
      </c>
      <c r="AA23" s="8" t="s">
        <v>341</v>
      </c>
      <c r="AC23" s="8" t="s">
        <v>341</v>
      </c>
      <c r="AD23" s="8" t="s">
        <v>341</v>
      </c>
      <c r="AE23" s="8" t="s">
        <v>341</v>
      </c>
      <c r="AF23" s="8" t="s">
        <v>341</v>
      </c>
      <c r="AG23" s="8" t="s">
        <v>341</v>
      </c>
    </row>
    <row r="24" spans="20:33" x14ac:dyDescent="0.25">
      <c r="T24" s="7" t="str">
        <f ca="1"/>
        <v>Z9</v>
      </c>
      <c r="U24" s="7" t="str">
        <f ca="1"/>
        <v>0x4005</v>
      </c>
      <c r="V24" s="7" t="str">
        <f ca="1"/>
        <v>SBGroupFlashRange</v>
      </c>
      <c r="X24" s="7" t="s">
        <v>1121</v>
      </c>
      <c r="Y24" s="7" t="s">
        <v>1121</v>
      </c>
      <c r="Z24" s="7" t="s">
        <v>1121</v>
      </c>
      <c r="AA24" s="7" t="s">
        <v>1121</v>
      </c>
      <c r="AC24" s="7" t="s">
        <v>1121</v>
      </c>
      <c r="AD24" s="7" t="s">
        <v>1121</v>
      </c>
      <c r="AE24" s="7" t="s">
        <v>1121</v>
      </c>
      <c r="AF24" s="7" t="s">
        <v>1121</v>
      </c>
      <c r="AG24" s="7" t="s">
        <v>1121</v>
      </c>
    </row>
    <row r="25" spans="20:33" x14ac:dyDescent="0.25">
      <c r="T25" s="7" t="str">
        <f ca="1"/>
        <v>Z9</v>
      </c>
      <c r="U25" s="7" t="str">
        <f ca="1"/>
        <v>0x4006</v>
      </c>
      <c r="V25" s="7" t="str">
        <f ca="1"/>
        <v>SBGroupRepeat</v>
      </c>
      <c r="X25" s="8" t="s">
        <v>343</v>
      </c>
      <c r="Y25" s="8" t="s">
        <v>343</v>
      </c>
      <c r="Z25" s="8" t="s">
        <v>343</v>
      </c>
      <c r="AA25" s="8" t="s">
        <v>343</v>
      </c>
      <c r="AC25" s="8" t="s">
        <v>343</v>
      </c>
      <c r="AD25" s="8" t="s">
        <v>343</v>
      </c>
      <c r="AE25" s="8" t="s">
        <v>343</v>
      </c>
      <c r="AF25" s="8" t="s">
        <v>343</v>
      </c>
      <c r="AG25" s="8" t="s">
        <v>343</v>
      </c>
    </row>
    <row r="26" spans="20:33" x14ac:dyDescent="0.25">
      <c r="T26" s="7" t="str">
        <f ca="1"/>
        <v>Z9</v>
      </c>
      <c r="U26" s="7" t="str">
        <f ca="1"/>
        <v>0x4007</v>
      </c>
      <c r="V26" s="7" t="str">
        <f ca="1"/>
        <v>SBGroupRepeatCount</v>
      </c>
      <c r="X26" s="7" t="s">
        <v>1122</v>
      </c>
      <c r="Y26" s="7" t="s">
        <v>1122</v>
      </c>
      <c r="Z26" s="7" t="s">
        <v>1122</v>
      </c>
      <c r="AA26" s="7" t="s">
        <v>1122</v>
      </c>
      <c r="AC26" s="7" t="s">
        <v>1122</v>
      </c>
      <c r="AD26" s="7" t="s">
        <v>1122</v>
      </c>
      <c r="AE26" s="7" t="s">
        <v>1122</v>
      </c>
      <c r="AF26" s="7" t="s">
        <v>1122</v>
      </c>
      <c r="AG26" s="7" t="s">
        <v>1122</v>
      </c>
    </row>
    <row r="27" spans="20:33" x14ac:dyDescent="0.25">
      <c r="T27" s="7" t="str">
        <f ca="1"/>
        <v>Z9</v>
      </c>
      <c r="U27" s="7" t="str">
        <f ca="1"/>
        <v>0x4008</v>
      </c>
      <c r="V27" s="7" t="str">
        <f ca="1"/>
        <v>SBGroupRepeatInterval</v>
      </c>
      <c r="X27" s="8" t="s">
        <v>345</v>
      </c>
      <c r="Y27" s="8" t="s">
        <v>345</v>
      </c>
      <c r="Z27" s="8" t="s">
        <v>345</v>
      </c>
      <c r="AA27" s="8" t="s">
        <v>345</v>
      </c>
      <c r="AC27" s="8" t="s">
        <v>345</v>
      </c>
      <c r="AD27" s="8" t="s">
        <v>345</v>
      </c>
      <c r="AE27" s="8" t="s">
        <v>345</v>
      </c>
      <c r="AF27" s="8" t="s">
        <v>345</v>
      </c>
      <c r="AG27" s="8" t="s">
        <v>345</v>
      </c>
    </row>
    <row r="28" spans="20:33" x14ac:dyDescent="0.25">
      <c r="T28" s="7" t="str">
        <f ca="1"/>
        <v>Z9</v>
      </c>
      <c r="U28" s="7" t="str">
        <f ca="1"/>
        <v>0x4009</v>
      </c>
      <c r="V28" s="7" t="str">
        <f ca="1"/>
        <v>SBGroupValid</v>
      </c>
      <c r="X28" s="7" t="s">
        <v>1123</v>
      </c>
      <c r="Y28" s="7" t="s">
        <v>1123</v>
      </c>
      <c r="Z28" s="7" t="s">
        <v>1123</v>
      </c>
      <c r="AA28" s="7" t="s">
        <v>1123</v>
      </c>
      <c r="AC28" s="7" t="s">
        <v>1123</v>
      </c>
      <c r="AD28" s="7" t="s">
        <v>1123</v>
      </c>
      <c r="AE28" s="7" t="s">
        <v>1123</v>
      </c>
      <c r="AF28" s="7" t="s">
        <v>1123</v>
      </c>
      <c r="AG28" s="7" t="s">
        <v>1123</v>
      </c>
    </row>
    <row r="29" spans="20:33" x14ac:dyDescent="0.25">
      <c r="T29" s="7" t="str">
        <f ca="1"/>
        <v>Z6 II</v>
      </c>
      <c r="U29" s="7" t="str">
        <f ca="1"/>
        <v>0x1001</v>
      </c>
      <c r="V29" s="7" t="str">
        <f ca="1"/>
        <v>SBName</v>
      </c>
    </row>
    <row r="30" spans="20:33" x14ac:dyDescent="0.25">
      <c r="T30" s="7" t="str">
        <f ca="1"/>
        <v>Z6 II</v>
      </c>
      <c r="U30" s="7" t="str">
        <f ca="1"/>
        <v>0x1002</v>
      </c>
      <c r="V30" s="7" t="str">
        <f ca="1"/>
        <v>SBGroupID</v>
      </c>
    </row>
    <row r="31" spans="20:33" x14ac:dyDescent="0.25">
      <c r="T31" s="7" t="str">
        <f ca="1"/>
        <v>Z6 II</v>
      </c>
      <c r="U31" s="7" t="str">
        <f ca="1"/>
        <v>0x1003</v>
      </c>
      <c r="V31" s="7" t="str">
        <f ca="1"/>
        <v>SBStatus</v>
      </c>
    </row>
    <row r="32" spans="20:33" x14ac:dyDescent="0.25">
      <c r="T32" s="7" t="str">
        <f ca="1"/>
        <v>Z6 II</v>
      </c>
      <c r="U32" s="7" t="str">
        <f ca="1"/>
        <v>0x1005</v>
      </c>
      <c r="V32" s="7" t="str">
        <f ca="1"/>
        <v>SBTestFlashDisable</v>
      </c>
    </row>
    <row r="33" spans="20:22" x14ac:dyDescent="0.25">
      <c r="T33" s="7" t="str">
        <f ca="1"/>
        <v>Z6 II</v>
      </c>
      <c r="U33" s="7" t="str">
        <f ca="1"/>
        <v>0x4001</v>
      </c>
      <c r="V33" s="7" t="str">
        <f ca="1"/>
        <v>SBGroupFlashMode</v>
      </c>
    </row>
    <row r="34" spans="20:22" x14ac:dyDescent="0.25">
      <c r="T34" s="7" t="str">
        <f ca="1"/>
        <v>Z6 II</v>
      </c>
      <c r="U34" s="7" t="str">
        <f ca="1"/>
        <v>0x4002</v>
      </c>
      <c r="V34" s="7" t="str">
        <f ca="1"/>
        <v>SBGroupFlashCompensation</v>
      </c>
    </row>
    <row r="35" spans="20:22" x14ac:dyDescent="0.25">
      <c r="T35" s="7" t="str">
        <f ca="1"/>
        <v>Z6 II</v>
      </c>
      <c r="U35" s="7" t="str">
        <f ca="1"/>
        <v>0x4003</v>
      </c>
      <c r="V35" s="7" t="str">
        <f ca="1"/>
        <v>SBGroupFlashRatio</v>
      </c>
    </row>
    <row r="36" spans="20:22" x14ac:dyDescent="0.25">
      <c r="T36" s="7" t="str">
        <f ca="1"/>
        <v>Z6 II</v>
      </c>
      <c r="U36" s="7" t="str">
        <f ca="1"/>
        <v>0x4004</v>
      </c>
      <c r="V36" s="7" t="str">
        <f ca="1"/>
        <v>SBGroupFlashLevel</v>
      </c>
    </row>
    <row r="37" spans="20:22" x14ac:dyDescent="0.25">
      <c r="T37" s="7" t="str">
        <f ca="1"/>
        <v>Z6 II</v>
      </c>
      <c r="U37" s="7" t="str">
        <f ca="1"/>
        <v>0x4005</v>
      </c>
      <c r="V37" s="7" t="str">
        <f ca="1"/>
        <v>SBGroupFlashRange</v>
      </c>
    </row>
    <row r="38" spans="20:22" x14ac:dyDescent="0.25">
      <c r="T38" s="7" t="str">
        <f ca="1"/>
        <v>Z6 II</v>
      </c>
      <c r="U38" s="7" t="str">
        <f ca="1"/>
        <v>0x4006</v>
      </c>
      <c r="V38" s="7" t="str">
        <f ca="1"/>
        <v>SBGroupRepeat</v>
      </c>
    </row>
    <row r="39" spans="20:22" x14ac:dyDescent="0.25">
      <c r="T39" s="7" t="str">
        <f ca="1"/>
        <v>Z6 II</v>
      </c>
      <c r="U39" s="7" t="str">
        <f ca="1"/>
        <v>0x4007</v>
      </c>
      <c r="V39" s="7" t="str">
        <f ca="1"/>
        <v>SBGroupRepeatCount</v>
      </c>
    </row>
    <row r="40" spans="20:22" x14ac:dyDescent="0.25">
      <c r="T40" s="7" t="str">
        <f ca="1"/>
        <v>Z6 II</v>
      </c>
      <c r="U40" s="7" t="str">
        <f ca="1"/>
        <v>0x4008</v>
      </c>
      <c r="V40" s="7" t="str">
        <f ca="1"/>
        <v>SBGroupRepeatInterval</v>
      </c>
    </row>
    <row r="41" spans="20:22" x14ac:dyDescent="0.25">
      <c r="T41" s="7" t="str">
        <f ca="1"/>
        <v>Z6 II</v>
      </c>
      <c r="U41" s="7" t="str">
        <f ca="1"/>
        <v>0x4009</v>
      </c>
      <c r="V41" s="7" t="str">
        <f ca="1"/>
        <v>SBGroupValid</v>
      </c>
    </row>
    <row r="42" spans="20:22" x14ac:dyDescent="0.25">
      <c r="T42" s="7" t="str">
        <f ca="1"/>
        <v>Z7 II</v>
      </c>
      <c r="U42" s="7" t="str">
        <f ca="1"/>
        <v>0x1001</v>
      </c>
      <c r="V42" s="7" t="str">
        <f ca="1"/>
        <v>SBName</v>
      </c>
    </row>
    <row r="43" spans="20:22" x14ac:dyDescent="0.25">
      <c r="T43" s="7" t="str">
        <f ca="1"/>
        <v>Z7 II</v>
      </c>
      <c r="U43" s="7" t="str">
        <f ca="1"/>
        <v>0x1002</v>
      </c>
      <c r="V43" s="7" t="str">
        <f ca="1"/>
        <v>SBGroupID</v>
      </c>
    </row>
    <row r="44" spans="20:22" x14ac:dyDescent="0.25">
      <c r="T44" s="7" t="str">
        <f ca="1"/>
        <v>Z7 II</v>
      </c>
      <c r="U44" s="7" t="str">
        <f ca="1"/>
        <v>0x1003</v>
      </c>
      <c r="V44" s="7" t="str">
        <f ca="1"/>
        <v>SBStatus</v>
      </c>
    </row>
    <row r="45" spans="20:22" x14ac:dyDescent="0.25">
      <c r="T45" s="7" t="str">
        <f ca="1"/>
        <v>Z7 II</v>
      </c>
      <c r="U45" s="7" t="str">
        <f ca="1"/>
        <v>0x1005</v>
      </c>
      <c r="V45" s="7" t="str">
        <f ca="1"/>
        <v>SBTestFlashDisable</v>
      </c>
    </row>
    <row r="46" spans="20:22" x14ac:dyDescent="0.25">
      <c r="T46" s="7" t="str">
        <f ca="1"/>
        <v>Z7 II</v>
      </c>
      <c r="U46" s="7" t="str">
        <f ca="1"/>
        <v>0x4001</v>
      </c>
      <c r="V46" s="7" t="str">
        <f ca="1"/>
        <v>SBGroupFlashMode</v>
      </c>
    </row>
    <row r="47" spans="20:22" x14ac:dyDescent="0.25">
      <c r="T47" s="7" t="str">
        <f ca="1"/>
        <v>Z7 II</v>
      </c>
      <c r="U47" s="7" t="str">
        <f ca="1"/>
        <v>0x4002</v>
      </c>
      <c r="V47" s="7" t="str">
        <f ca="1"/>
        <v>SBGroupFlashCompensation</v>
      </c>
    </row>
    <row r="48" spans="20:22" x14ac:dyDescent="0.25">
      <c r="T48" s="7" t="str">
        <f ca="1"/>
        <v>Z7 II</v>
      </c>
      <c r="U48" s="7" t="str">
        <f ca="1"/>
        <v>0x4003</v>
      </c>
      <c r="V48" s="7" t="str">
        <f ca="1"/>
        <v>SBGroupFlashRatio</v>
      </c>
    </row>
    <row r="49" spans="20:22" x14ac:dyDescent="0.25">
      <c r="T49" s="7" t="str">
        <f ca="1"/>
        <v>Z7 II</v>
      </c>
      <c r="U49" s="7" t="str">
        <f ca="1"/>
        <v>0x4004</v>
      </c>
      <c r="V49" s="7" t="str">
        <f ca="1"/>
        <v>SBGroupFlashLevel</v>
      </c>
    </row>
    <row r="50" spans="20:22" x14ac:dyDescent="0.25">
      <c r="T50" s="7" t="str">
        <f ca="1"/>
        <v>Z7 II</v>
      </c>
      <c r="U50" s="7" t="str">
        <f ca="1"/>
        <v>0x4005</v>
      </c>
      <c r="V50" s="7" t="str">
        <f ca="1"/>
        <v>SBGroupFlashRange</v>
      </c>
    </row>
    <row r="51" spans="20:22" x14ac:dyDescent="0.25">
      <c r="T51" s="7" t="str">
        <f ca="1"/>
        <v>Z7 II</v>
      </c>
      <c r="U51" s="7" t="str">
        <f ca="1"/>
        <v>0x4006</v>
      </c>
      <c r="V51" s="7" t="str">
        <f ca="1"/>
        <v>SBGroupRepeat</v>
      </c>
    </row>
    <row r="52" spans="20:22" x14ac:dyDescent="0.25">
      <c r="T52" s="7" t="str">
        <f ca="1"/>
        <v>Z7 II</v>
      </c>
      <c r="U52" s="7" t="str">
        <f ca="1"/>
        <v>0x4007</v>
      </c>
      <c r="V52" s="7" t="str">
        <f ca="1"/>
        <v>SBGroupRepeatCount</v>
      </c>
    </row>
    <row r="53" spans="20:22" x14ac:dyDescent="0.25">
      <c r="T53" s="7" t="str">
        <f ca="1"/>
        <v>Z7 II</v>
      </c>
      <c r="U53" s="7" t="str">
        <f ca="1"/>
        <v>0x4008</v>
      </c>
      <c r="V53" s="7" t="str">
        <f ca="1"/>
        <v>SBGroupRepeatInterval</v>
      </c>
    </row>
    <row r="54" spans="20:22" x14ac:dyDescent="0.25">
      <c r="T54" s="7" t="str">
        <f ca="1"/>
        <v>Z7 II</v>
      </c>
      <c r="U54" s="7" t="str">
        <f ca="1"/>
        <v>0x4009</v>
      </c>
      <c r="V54" s="7" t="str">
        <f ca="1"/>
        <v>SBGroupValid</v>
      </c>
    </row>
    <row r="55" spans="20:22" x14ac:dyDescent="0.25">
      <c r="T55" s="7" t="str">
        <f ca="1"/>
        <v>Z6</v>
      </c>
      <c r="U55" s="7" t="str">
        <f ca="1"/>
        <v>0x1001</v>
      </c>
      <c r="V55" s="7" t="str">
        <f ca="1"/>
        <v>SBName</v>
      </c>
    </row>
    <row r="56" spans="20:22" x14ac:dyDescent="0.25">
      <c r="T56" s="7" t="str">
        <f ca="1"/>
        <v>Z6</v>
      </c>
      <c r="U56" s="7" t="str">
        <f ca="1"/>
        <v>0x1002</v>
      </c>
      <c r="V56" s="7" t="str">
        <f ca="1"/>
        <v>SBGroupID</v>
      </c>
    </row>
    <row r="57" spans="20:22" x14ac:dyDescent="0.25">
      <c r="T57" s="7" t="str">
        <f ca="1"/>
        <v>Z6</v>
      </c>
      <c r="U57" s="7" t="str">
        <f ca="1"/>
        <v>0x1003</v>
      </c>
      <c r="V57" s="7" t="str">
        <f ca="1"/>
        <v>SBStatus</v>
      </c>
    </row>
    <row r="58" spans="20:22" x14ac:dyDescent="0.25">
      <c r="T58" s="7" t="str">
        <f ca="1"/>
        <v>Z6</v>
      </c>
      <c r="U58" s="7" t="str">
        <f ca="1"/>
        <v>0x1005</v>
      </c>
      <c r="V58" s="7" t="str">
        <f ca="1"/>
        <v>SBTestFlashDisable</v>
      </c>
    </row>
    <row r="59" spans="20:22" x14ac:dyDescent="0.25">
      <c r="T59" s="7" t="str">
        <f ca="1"/>
        <v>Z6</v>
      </c>
      <c r="U59" s="7" t="str">
        <f ca="1"/>
        <v>0x4001</v>
      </c>
      <c r="V59" s="7" t="str">
        <f ca="1"/>
        <v>SBGroupFlashMode</v>
      </c>
    </row>
    <row r="60" spans="20:22" x14ac:dyDescent="0.25">
      <c r="T60" s="7" t="str">
        <f ca="1"/>
        <v>Z6</v>
      </c>
      <c r="U60" s="7" t="str">
        <f ca="1"/>
        <v>0x4002</v>
      </c>
      <c r="V60" s="7" t="str">
        <f ca="1"/>
        <v>SBGroupFlashCompensation</v>
      </c>
    </row>
    <row r="61" spans="20:22" x14ac:dyDescent="0.25">
      <c r="T61" s="7" t="str">
        <f ca="1"/>
        <v>Z6</v>
      </c>
      <c r="U61" s="7" t="str">
        <f ca="1"/>
        <v>0x4003</v>
      </c>
      <c r="V61" s="7" t="str">
        <f ca="1"/>
        <v>SBGroupFlashRatio</v>
      </c>
    </row>
    <row r="62" spans="20:22" x14ac:dyDescent="0.25">
      <c r="T62" s="7" t="str">
        <f ca="1"/>
        <v>Z6</v>
      </c>
      <c r="U62" s="7" t="str">
        <f ca="1"/>
        <v>0x4004</v>
      </c>
      <c r="V62" s="7" t="str">
        <f ca="1"/>
        <v>SBGroupFlashLevel</v>
      </c>
    </row>
    <row r="63" spans="20:22" x14ac:dyDescent="0.25">
      <c r="T63" s="7" t="str">
        <f ca="1"/>
        <v>Z6</v>
      </c>
      <c r="U63" s="7" t="str">
        <f ca="1"/>
        <v>0x4005</v>
      </c>
      <c r="V63" s="7" t="str">
        <f ca="1"/>
        <v>SBGroupFlashRange</v>
      </c>
    </row>
    <row r="64" spans="20:22" x14ac:dyDescent="0.25">
      <c r="T64" s="7" t="str">
        <f ca="1"/>
        <v>Z6</v>
      </c>
      <c r="U64" s="7" t="str">
        <f ca="1"/>
        <v>0x4006</v>
      </c>
      <c r="V64" s="7" t="str">
        <f ca="1"/>
        <v>SBGroupRepeat</v>
      </c>
    </row>
    <row r="65" spans="20:22" x14ac:dyDescent="0.25">
      <c r="T65" s="7" t="str">
        <f ca="1"/>
        <v>Z6</v>
      </c>
      <c r="U65" s="7" t="str">
        <f ca="1"/>
        <v>0x4007</v>
      </c>
      <c r="V65" s="7" t="str">
        <f ca="1"/>
        <v>SBGroupRepeatCount</v>
      </c>
    </row>
    <row r="66" spans="20:22" x14ac:dyDescent="0.25">
      <c r="T66" s="7" t="str">
        <f ca="1"/>
        <v>Z6</v>
      </c>
      <c r="U66" s="7" t="str">
        <f ca="1"/>
        <v>0x4008</v>
      </c>
      <c r="V66" s="7" t="str">
        <f ca="1"/>
        <v>SBGroupRepeatInterval</v>
      </c>
    </row>
    <row r="67" spans="20:22" x14ac:dyDescent="0.25">
      <c r="T67" s="7" t="str">
        <f ca="1"/>
        <v>Z6</v>
      </c>
      <c r="U67" s="7" t="str">
        <f ca="1"/>
        <v>0x4009</v>
      </c>
      <c r="V67" s="7" t="str">
        <f ca="1"/>
        <v>SBGroupValid</v>
      </c>
    </row>
    <row r="68" spans="20:22" x14ac:dyDescent="0.25">
      <c r="T68" s="7" t="str">
        <f ca="1"/>
        <v>Z7</v>
      </c>
      <c r="U68" s="7" t="str">
        <f ca="1"/>
        <v>0x1001</v>
      </c>
      <c r="V68" s="7" t="str">
        <f ca="1"/>
        <v>SBName</v>
      </c>
    </row>
    <row r="69" spans="20:22" x14ac:dyDescent="0.25">
      <c r="T69" s="7" t="str">
        <f ca="1"/>
        <v>Z7</v>
      </c>
      <c r="U69" s="7" t="str">
        <f ca="1"/>
        <v>0x1002</v>
      </c>
      <c r="V69" s="7" t="str">
        <f ca="1"/>
        <v>SBGroupID</v>
      </c>
    </row>
    <row r="70" spans="20:22" x14ac:dyDescent="0.25">
      <c r="T70" s="7" t="str">
        <f ca="1"/>
        <v>Z7</v>
      </c>
      <c r="U70" s="7" t="str">
        <f ca="1"/>
        <v>0x1003</v>
      </c>
      <c r="V70" s="7" t="str">
        <f ca="1"/>
        <v>SBStatus</v>
      </c>
    </row>
    <row r="71" spans="20:22" x14ac:dyDescent="0.25">
      <c r="T71" s="7" t="str">
        <f ca="1"/>
        <v>Z7</v>
      </c>
      <c r="U71" s="7" t="str">
        <f ca="1"/>
        <v>0x1005</v>
      </c>
      <c r="V71" s="7" t="str">
        <f ca="1"/>
        <v>SBTestFlashDisable</v>
      </c>
    </row>
    <row r="72" spans="20:22" x14ac:dyDescent="0.25">
      <c r="T72" s="7" t="str">
        <f ca="1"/>
        <v>Z7</v>
      </c>
      <c r="U72" s="7" t="str">
        <f ca="1"/>
        <v>0x4001</v>
      </c>
      <c r="V72" s="7" t="str">
        <f ca="1"/>
        <v>SBGroupFlashMode</v>
      </c>
    </row>
    <row r="73" spans="20:22" x14ac:dyDescent="0.25">
      <c r="T73" s="7" t="str">
        <f ca="1"/>
        <v>Z7</v>
      </c>
      <c r="U73" s="7" t="str">
        <f ca="1"/>
        <v>0x4002</v>
      </c>
      <c r="V73" s="7" t="str">
        <f ca="1"/>
        <v>SBGroupFlashCompensation</v>
      </c>
    </row>
    <row r="74" spans="20:22" x14ac:dyDescent="0.25">
      <c r="T74" s="7" t="str">
        <f ca="1"/>
        <v>Z7</v>
      </c>
      <c r="U74" s="7" t="str">
        <f ca="1"/>
        <v>0x4003</v>
      </c>
      <c r="V74" s="7" t="str">
        <f ca="1"/>
        <v>SBGroupFlashRatio</v>
      </c>
    </row>
    <row r="75" spans="20:22" x14ac:dyDescent="0.25">
      <c r="T75" s="7" t="str">
        <f ca="1"/>
        <v>Z7</v>
      </c>
      <c r="U75" s="7" t="str">
        <f ca="1"/>
        <v>0x4004</v>
      </c>
      <c r="V75" s="7" t="str">
        <f ca="1"/>
        <v>SBGroupFlashLevel</v>
      </c>
    </row>
    <row r="76" spans="20:22" x14ac:dyDescent="0.25">
      <c r="T76" s="7" t="str">
        <f ca="1"/>
        <v>Z7</v>
      </c>
      <c r="U76" s="7" t="str">
        <f ca="1"/>
        <v>0x4005</v>
      </c>
      <c r="V76" s="7" t="str">
        <f ca="1"/>
        <v>SBGroupFlashRange</v>
      </c>
    </row>
    <row r="77" spans="20:22" x14ac:dyDescent="0.25">
      <c r="T77" s="7" t="str">
        <f ca="1"/>
        <v>Z7</v>
      </c>
      <c r="U77" s="7" t="str">
        <f ca="1"/>
        <v>0x4006</v>
      </c>
      <c r="V77" s="7" t="str">
        <f ca="1"/>
        <v>SBGroupRepeat</v>
      </c>
    </row>
    <row r="78" spans="20:22" x14ac:dyDescent="0.25">
      <c r="T78" s="7" t="str">
        <f ca="1"/>
        <v>Z7</v>
      </c>
      <c r="U78" s="7" t="str">
        <f ca="1"/>
        <v>0x4007</v>
      </c>
      <c r="V78" s="7" t="str">
        <f ca="1"/>
        <v>SBGroupRepeatCount</v>
      </c>
    </row>
    <row r="79" spans="20:22" x14ac:dyDescent="0.25">
      <c r="T79" s="7" t="str">
        <f ca="1"/>
        <v>Z7</v>
      </c>
      <c r="U79" s="7" t="str">
        <f ca="1"/>
        <v>0x4008</v>
      </c>
      <c r="V79" s="7" t="str">
        <f ca="1"/>
        <v>SBGroupRepeatInterval</v>
      </c>
    </row>
    <row r="80" spans="20:22" x14ac:dyDescent="0.25">
      <c r="T80" s="7" t="str">
        <f ca="1"/>
        <v>Z7</v>
      </c>
      <c r="U80" s="7" t="str">
        <f ca="1"/>
        <v>0x4009</v>
      </c>
      <c r="V80" s="7" t="str">
        <f ca="1"/>
        <v>SBGroupValid</v>
      </c>
    </row>
    <row r="81" spans="20:22" x14ac:dyDescent="0.25">
      <c r="T81" s="7" t="str">
        <f ca="1"/>
        <v>Z5</v>
      </c>
      <c r="U81" s="7" t="str">
        <f ca="1"/>
        <v>0x1001</v>
      </c>
      <c r="V81" s="7" t="str">
        <f ca="1"/>
        <v>SBName</v>
      </c>
    </row>
    <row r="82" spans="20:22" x14ac:dyDescent="0.25">
      <c r="T82" s="7" t="str">
        <f ca="1"/>
        <v>Z5</v>
      </c>
      <c r="U82" s="7" t="str">
        <f ca="1"/>
        <v>0x1002</v>
      </c>
      <c r="V82" s="7" t="str">
        <f ca="1"/>
        <v>SBGroupID</v>
      </c>
    </row>
    <row r="83" spans="20:22" x14ac:dyDescent="0.25">
      <c r="T83" s="7" t="str">
        <f ca="1"/>
        <v>Z5</v>
      </c>
      <c r="U83" s="7" t="str">
        <f ca="1"/>
        <v>0x1003</v>
      </c>
      <c r="V83" s="7" t="str">
        <f ca="1"/>
        <v>SBStatus</v>
      </c>
    </row>
    <row r="84" spans="20:22" x14ac:dyDescent="0.25">
      <c r="T84" s="7" t="str">
        <f ca="1"/>
        <v>Z5</v>
      </c>
      <c r="U84" s="7" t="str">
        <f ca="1"/>
        <v>0x1005</v>
      </c>
      <c r="V84" s="7" t="str">
        <f ca="1"/>
        <v>SBTestFlashDisable</v>
      </c>
    </row>
    <row r="85" spans="20:22" x14ac:dyDescent="0.25">
      <c r="T85" s="7" t="str">
        <f ca="1"/>
        <v>Z5</v>
      </c>
      <c r="U85" s="7" t="str">
        <f ca="1"/>
        <v>0x4001</v>
      </c>
      <c r="V85" s="7" t="str">
        <f ca="1"/>
        <v>SBGroupFlashMode</v>
      </c>
    </row>
    <row r="86" spans="20:22" x14ac:dyDescent="0.25">
      <c r="T86" s="7" t="str">
        <f ca="1"/>
        <v>Z5</v>
      </c>
      <c r="U86" s="7" t="str">
        <f ca="1"/>
        <v>0x4002</v>
      </c>
      <c r="V86" s="7" t="str">
        <f ca="1"/>
        <v>SBGroupFlashCompensation</v>
      </c>
    </row>
    <row r="87" spans="20:22" x14ac:dyDescent="0.25">
      <c r="T87" s="7" t="str">
        <f ca="1"/>
        <v>Z5</v>
      </c>
      <c r="U87" s="7" t="str">
        <f ca="1"/>
        <v>0x4003</v>
      </c>
      <c r="V87" s="7" t="str">
        <f ca="1"/>
        <v>SBGroupFlashRatio</v>
      </c>
    </row>
    <row r="88" spans="20:22" x14ac:dyDescent="0.25">
      <c r="T88" s="7" t="str">
        <f ca="1"/>
        <v>Z5</v>
      </c>
      <c r="U88" s="7" t="str">
        <f ca="1"/>
        <v>0x4004</v>
      </c>
      <c r="V88" s="7" t="str">
        <f ca="1"/>
        <v>SBGroupFlashLevel</v>
      </c>
    </row>
    <row r="89" spans="20:22" x14ac:dyDescent="0.25">
      <c r="T89" s="7" t="str">
        <f ca="1"/>
        <v>Z5</v>
      </c>
      <c r="U89" s="7" t="str">
        <f ca="1"/>
        <v>0x4005</v>
      </c>
      <c r="V89" s="7" t="str">
        <f ca="1"/>
        <v>SBGroupFlashRange</v>
      </c>
    </row>
    <row r="90" spans="20:22" x14ac:dyDescent="0.25">
      <c r="T90" s="7" t="str">
        <f ca="1"/>
        <v>Z5</v>
      </c>
      <c r="U90" s="7" t="str">
        <f ca="1"/>
        <v>0x4006</v>
      </c>
      <c r="V90" s="7" t="str">
        <f ca="1"/>
        <v>SBGroupRepeat</v>
      </c>
    </row>
    <row r="91" spans="20:22" x14ac:dyDescent="0.25">
      <c r="T91" s="7" t="str">
        <f ca="1"/>
        <v>Z5</v>
      </c>
      <c r="U91" s="7" t="str">
        <f ca="1"/>
        <v>0x4007</v>
      </c>
      <c r="V91" s="7" t="str">
        <f ca="1"/>
        <v>SBGroupRepeatCount</v>
      </c>
    </row>
    <row r="92" spans="20:22" x14ac:dyDescent="0.25">
      <c r="T92" s="7" t="str">
        <f ca="1"/>
        <v>Z5</v>
      </c>
      <c r="U92" s="7" t="str">
        <f ca="1"/>
        <v>0x4008</v>
      </c>
      <c r="V92" s="7" t="str">
        <f ca="1"/>
        <v>SBGroupRepeatInterval</v>
      </c>
    </row>
    <row r="93" spans="20:22" x14ac:dyDescent="0.25">
      <c r="T93" s="7" t="str">
        <f ca="1"/>
        <v>Z5</v>
      </c>
      <c r="U93" s="7" t="str">
        <f ca="1"/>
        <v>0x4009</v>
      </c>
      <c r="V93" s="7" t="str">
        <f ca="1"/>
        <v>SBGroupValid</v>
      </c>
    </row>
    <row r="94" spans="20:22" x14ac:dyDescent="0.25">
      <c r="T94" s="7" t="str">
        <f ca="1"/>
        <v>D6</v>
      </c>
      <c r="U94" s="7" t="str">
        <f ca="1"/>
        <v>0x1001</v>
      </c>
      <c r="V94" s="7" t="str">
        <f ca="1"/>
        <v>SBName</v>
      </c>
    </row>
    <row r="95" spans="20:22" x14ac:dyDescent="0.25">
      <c r="T95" s="7" t="str">
        <f ca="1"/>
        <v>D6</v>
      </c>
      <c r="U95" s="7" t="str">
        <f ca="1"/>
        <v>0x1002</v>
      </c>
      <c r="V95" s="7" t="str">
        <f ca="1"/>
        <v>SBGroupID</v>
      </c>
    </row>
    <row r="96" spans="20:22" x14ac:dyDescent="0.25">
      <c r="T96" s="7" t="str">
        <f ca="1"/>
        <v>D6</v>
      </c>
      <c r="U96" s="7" t="str">
        <f ca="1"/>
        <v>0x1003</v>
      </c>
      <c r="V96" s="7" t="str">
        <f ca="1"/>
        <v>SBStatus</v>
      </c>
    </row>
    <row r="97" spans="20:22" x14ac:dyDescent="0.25">
      <c r="T97" s="7" t="str">
        <f ca="1"/>
        <v>D6</v>
      </c>
      <c r="U97" s="7" t="str">
        <f ca="1"/>
        <v>0x1005</v>
      </c>
      <c r="V97" s="7" t="str">
        <f ca="1"/>
        <v>SBTestFlashDisable</v>
      </c>
    </row>
    <row r="98" spans="20:22" x14ac:dyDescent="0.25">
      <c r="T98" s="7" t="str">
        <f ca="1"/>
        <v>D6</v>
      </c>
      <c r="U98" s="7" t="str">
        <f ca="1"/>
        <v>0x4001</v>
      </c>
      <c r="V98" s="7" t="str">
        <f ca="1"/>
        <v>SBGroupFlashMode</v>
      </c>
    </row>
    <row r="99" spans="20:22" x14ac:dyDescent="0.25">
      <c r="T99" s="7" t="str">
        <f ca="1"/>
        <v>D6</v>
      </c>
      <c r="U99" s="7" t="str">
        <f ca="1"/>
        <v>0x4002</v>
      </c>
      <c r="V99" s="7" t="str">
        <f ca="1"/>
        <v>SBGroupFlashCompensation</v>
      </c>
    </row>
    <row r="100" spans="20:22" x14ac:dyDescent="0.25">
      <c r="T100" s="7" t="str">
        <f ca="1"/>
        <v>D6</v>
      </c>
      <c r="U100" s="7" t="str">
        <f ca="1"/>
        <v>0x4003</v>
      </c>
      <c r="V100" s="7" t="str">
        <f ca="1"/>
        <v>SBGroupFlashRatio</v>
      </c>
    </row>
    <row r="101" spans="20:22" x14ac:dyDescent="0.25">
      <c r="T101" s="7" t="str">
        <f ca="1"/>
        <v>D6</v>
      </c>
      <c r="U101" s="7" t="str">
        <f ca="1"/>
        <v>0x4004</v>
      </c>
      <c r="V101" s="7" t="str">
        <f ca="1"/>
        <v>SBGroupFlashLevel</v>
      </c>
    </row>
    <row r="102" spans="20:22" x14ac:dyDescent="0.25">
      <c r="T102" s="7" t="str">
        <f ca="1"/>
        <v>D6</v>
      </c>
      <c r="U102" s="7" t="str">
        <f ca="1"/>
        <v>0x4005</v>
      </c>
      <c r="V102" s="7" t="str">
        <f ca="1"/>
        <v>SBGroupFlashRange</v>
      </c>
    </row>
    <row r="103" spans="20:22" x14ac:dyDescent="0.25">
      <c r="T103" s="7" t="str">
        <f ca="1"/>
        <v>D6</v>
      </c>
      <c r="U103" s="7" t="str">
        <f ca="1"/>
        <v>0x4006</v>
      </c>
      <c r="V103" s="7" t="str">
        <f ca="1"/>
        <v>SBGroupRepeat</v>
      </c>
    </row>
    <row r="104" spans="20:22" x14ac:dyDescent="0.25">
      <c r="T104" s="7" t="str">
        <f ca="1"/>
        <v>D6</v>
      </c>
      <c r="U104" s="7" t="str">
        <f ca="1"/>
        <v>0x4007</v>
      </c>
      <c r="V104" s="7" t="str">
        <f ca="1"/>
        <v>SBGroupRepeatCount</v>
      </c>
    </row>
    <row r="105" spans="20:22" x14ac:dyDescent="0.25">
      <c r="T105" s="7" t="str">
        <f ca="1"/>
        <v>D6</v>
      </c>
      <c r="U105" s="7" t="str">
        <f ca="1"/>
        <v>0x4008</v>
      </c>
      <c r="V105" s="7" t="str">
        <f ca="1"/>
        <v>SBGroupRepeatInterval</v>
      </c>
    </row>
    <row r="106" spans="20:22" x14ac:dyDescent="0.25">
      <c r="T106" s="7" t="str">
        <f ca="1"/>
        <v>D6</v>
      </c>
      <c r="U106" s="7" t="str">
        <f ca="1"/>
        <v>0x4009</v>
      </c>
      <c r="V106" s="7" t="str">
        <f ca="1"/>
        <v>SBGroupValid</v>
      </c>
    </row>
    <row r="107" spans="20:22" x14ac:dyDescent="0.25">
      <c r="T107" s="7" t="str">
        <f ca="1"/>
        <v>D5</v>
      </c>
      <c r="U107" s="7" t="str">
        <f ca="1"/>
        <v>0x1001</v>
      </c>
      <c r="V107" s="7" t="str">
        <f ca="1"/>
        <v>SBName</v>
      </c>
    </row>
    <row r="108" spans="20:22" x14ac:dyDescent="0.25">
      <c r="T108" s="7" t="str">
        <f ca="1"/>
        <v>D5</v>
      </c>
      <c r="U108" s="7" t="str">
        <f ca="1"/>
        <v>0x1002</v>
      </c>
      <c r="V108" s="7" t="str">
        <f ca="1"/>
        <v>SBGroupID</v>
      </c>
    </row>
    <row r="109" spans="20:22" x14ac:dyDescent="0.25">
      <c r="T109" s="7" t="str">
        <f ca="1"/>
        <v>D5</v>
      </c>
      <c r="U109" s="7" t="str">
        <f ca="1"/>
        <v>0x1003</v>
      </c>
      <c r="V109" s="7" t="str">
        <f ca="1"/>
        <v>SBStatus</v>
      </c>
    </row>
    <row r="110" spans="20:22" x14ac:dyDescent="0.25">
      <c r="T110" s="7" t="str">
        <f ca="1"/>
        <v>D5</v>
      </c>
      <c r="U110" s="7" t="str">
        <f ca="1"/>
        <v>0x1005</v>
      </c>
      <c r="V110" s="7" t="str">
        <f ca="1"/>
        <v>SBTestFlashDisable</v>
      </c>
    </row>
    <row r="111" spans="20:22" x14ac:dyDescent="0.25">
      <c r="T111" s="7" t="str">
        <f ca="1"/>
        <v>D5</v>
      </c>
      <c r="U111" s="7" t="str">
        <f ca="1"/>
        <v>0x4001</v>
      </c>
      <c r="V111" s="7" t="str">
        <f ca="1"/>
        <v>SBGroupFlashMode</v>
      </c>
    </row>
    <row r="112" spans="20:22" x14ac:dyDescent="0.25">
      <c r="T112" s="7" t="str">
        <f ca="1"/>
        <v>D5</v>
      </c>
      <c r="U112" s="7" t="str">
        <f ca="1"/>
        <v>0x4002</v>
      </c>
      <c r="V112" s="7" t="str">
        <f ca="1"/>
        <v>SBGroupFlashCompensation</v>
      </c>
    </row>
    <row r="113" spans="20:22" x14ac:dyDescent="0.25">
      <c r="T113" s="7" t="str">
        <f ca="1"/>
        <v>D5</v>
      </c>
      <c r="U113" s="7" t="str">
        <f ca="1"/>
        <v>0x4003</v>
      </c>
      <c r="V113" s="7" t="str">
        <f ca="1"/>
        <v>SBGroupFlashRatio</v>
      </c>
    </row>
    <row r="114" spans="20:22" x14ac:dyDescent="0.25">
      <c r="T114" s="7" t="str">
        <f ca="1"/>
        <v>D5</v>
      </c>
      <c r="U114" s="7" t="str">
        <f ca="1"/>
        <v>0x4004</v>
      </c>
      <c r="V114" s="7" t="str">
        <f ca="1"/>
        <v>SBGroupFlashLevel</v>
      </c>
    </row>
    <row r="115" spans="20:22" x14ac:dyDescent="0.25">
      <c r="T115" s="7" t="str">
        <f ca="1"/>
        <v>D5</v>
      </c>
      <c r="U115" s="7" t="str">
        <f ca="1"/>
        <v>0x4005</v>
      </c>
      <c r="V115" s="7" t="str">
        <f ca="1"/>
        <v>SBGroupFlashRange</v>
      </c>
    </row>
    <row r="116" spans="20:22" x14ac:dyDescent="0.25">
      <c r="T116" s="7" t="str">
        <f ca="1"/>
        <v>D5</v>
      </c>
      <c r="U116" s="7" t="str">
        <f ca="1"/>
        <v>0x4006</v>
      </c>
      <c r="V116" s="7" t="str">
        <f ca="1"/>
        <v>SBGroupRepeat</v>
      </c>
    </row>
    <row r="117" spans="20:22" x14ac:dyDescent="0.25">
      <c r="T117" s="7" t="str">
        <f ca="1"/>
        <v>D5</v>
      </c>
      <c r="U117" s="7" t="str">
        <f ca="1"/>
        <v>0x4007</v>
      </c>
      <c r="V117" s="7" t="str">
        <f ca="1"/>
        <v>SBGroupRepeatCount</v>
      </c>
    </row>
    <row r="118" spans="20:22" x14ac:dyDescent="0.25">
      <c r="T118" s="7" t="str">
        <f ca="1"/>
        <v>D5</v>
      </c>
      <c r="U118" s="7" t="str">
        <f ca="1"/>
        <v>0x4008</v>
      </c>
      <c r="V118" s="7" t="str">
        <f ca="1"/>
        <v>SBGroupRepeatInterval</v>
      </c>
    </row>
    <row r="119" spans="20:22" x14ac:dyDescent="0.25">
      <c r="T119" s="7" t="str">
        <f ca="1"/>
        <v>D5</v>
      </c>
      <c r="U119" s="7" t="str">
        <f ca="1"/>
        <v>0x4009</v>
      </c>
      <c r="V119" s="7" t="str">
        <f ca="1"/>
        <v>SBGroupValid</v>
      </c>
    </row>
  </sheetData>
  <conditionalFormatting sqref="D3:Q1048576">
    <cfRule type="cellIs" dxfId="1" priority="1" operator="notEqual">
      <formula>_xlfn.SINGLE($B:$B)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62E45-34FB-404A-98E7-097F1DC792C8}">
  <sheetPr>
    <tabColor theme="7" tint="-0.249977111117893"/>
  </sheetPr>
  <dimension ref="A1"/>
  <sheetViews>
    <sheetView workbookViewId="0">
      <selection activeCell="N25" sqref="N25"/>
    </sheetView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2200F-C5A4-4177-969A-60B0941F3364}">
  <sheetPr>
    <tabColor theme="7" tint="0.59999389629810485"/>
  </sheetPr>
  <dimension ref="A1:D50"/>
  <sheetViews>
    <sheetView topLeftCell="A24" zoomScale="85" zoomScaleNormal="85" workbookViewId="0">
      <selection activeCell="A2" sqref="A2:D2"/>
    </sheetView>
  </sheetViews>
  <sheetFormatPr defaultRowHeight="15" x14ac:dyDescent="0.25"/>
  <cols>
    <col min="1" max="1" width="30" bestFit="1" customWidth="1"/>
    <col min="2" max="2" width="10.7109375" bestFit="1" customWidth="1"/>
    <col min="3" max="3" width="9.28515625" bestFit="1" customWidth="1"/>
    <col min="4" max="4" width="81.42578125" bestFit="1" customWidth="1"/>
  </cols>
  <sheetData>
    <row r="1" spans="1:4" ht="18.75" x14ac:dyDescent="0.3">
      <c r="A1" s="46" t="s">
        <v>1601</v>
      </c>
    </row>
    <row r="2" spans="1:4" x14ac:dyDescent="0.25">
      <c r="A2" s="45" t="s">
        <v>1563</v>
      </c>
      <c r="B2" s="44" t="s">
        <v>1562</v>
      </c>
      <c r="C2" s="44" t="s">
        <v>1559</v>
      </c>
      <c r="D2" s="44" t="s">
        <v>4</v>
      </c>
    </row>
    <row r="3" spans="1:4" x14ac:dyDescent="0.25">
      <c r="A3" s="43" t="s">
        <v>1600</v>
      </c>
      <c r="B3" s="42">
        <v>2</v>
      </c>
      <c r="C3" s="42"/>
      <c r="D3" s="41" t="s">
        <v>1599</v>
      </c>
    </row>
    <row r="4" spans="1:4" x14ac:dyDescent="0.25">
      <c r="A4" s="43" t="s">
        <v>1598</v>
      </c>
      <c r="B4" s="42">
        <v>4</v>
      </c>
      <c r="C4" s="42"/>
      <c r="D4" s="41" t="s">
        <v>1597</v>
      </c>
    </row>
    <row r="5" spans="1:4" x14ac:dyDescent="0.25">
      <c r="A5" s="56" t="s">
        <v>1596</v>
      </c>
      <c r="B5" s="48">
        <v>2</v>
      </c>
      <c r="C5" s="48"/>
      <c r="D5" s="55" t="s">
        <v>1595</v>
      </c>
    </row>
    <row r="6" spans="1:4" x14ac:dyDescent="0.25">
      <c r="A6" s="52" t="s">
        <v>1594</v>
      </c>
      <c r="B6" s="51">
        <v>1</v>
      </c>
      <c r="C6" s="51" t="s">
        <v>1574</v>
      </c>
      <c r="D6" s="50" t="s">
        <v>1593</v>
      </c>
    </row>
    <row r="7" spans="1:4" x14ac:dyDescent="0.25">
      <c r="A7" s="49"/>
      <c r="B7" s="48" t="s">
        <v>1572</v>
      </c>
      <c r="C7" s="48" t="s">
        <v>1571</v>
      </c>
      <c r="D7" s="47"/>
    </row>
    <row r="8" spans="1:4" x14ac:dyDescent="0.25">
      <c r="A8" s="43" t="s">
        <v>1592</v>
      </c>
      <c r="B8" s="42">
        <v>2</v>
      </c>
      <c r="C8" s="42"/>
      <c r="D8" s="41" t="s">
        <v>1591</v>
      </c>
    </row>
    <row r="9" spans="1:4" x14ac:dyDescent="0.25">
      <c r="A9" s="52" t="s">
        <v>1590</v>
      </c>
      <c r="B9" s="51">
        <v>4</v>
      </c>
      <c r="C9" s="51" t="s">
        <v>1574</v>
      </c>
      <c r="D9" s="50" t="s">
        <v>1589</v>
      </c>
    </row>
    <row r="10" spans="1:4" x14ac:dyDescent="0.25">
      <c r="A10" s="49"/>
      <c r="B10" s="48" t="s">
        <v>1572</v>
      </c>
      <c r="C10" s="48"/>
      <c r="D10" s="47"/>
    </row>
    <row r="11" spans="1:4" x14ac:dyDescent="0.25">
      <c r="A11" s="52" t="s">
        <v>1588</v>
      </c>
      <c r="B11" s="51">
        <v>4</v>
      </c>
      <c r="C11" s="51" t="s">
        <v>1574</v>
      </c>
      <c r="D11" s="50" t="s">
        <v>1587</v>
      </c>
    </row>
    <row r="12" spans="1:4" x14ac:dyDescent="0.25">
      <c r="A12" s="49"/>
      <c r="B12" s="48" t="s">
        <v>1572</v>
      </c>
      <c r="C12" s="48"/>
      <c r="D12" s="47"/>
    </row>
    <row r="13" spans="1:4" x14ac:dyDescent="0.25">
      <c r="A13" s="52" t="s">
        <v>1586</v>
      </c>
      <c r="B13" s="51">
        <v>4</v>
      </c>
      <c r="C13" s="51" t="s">
        <v>1574</v>
      </c>
      <c r="D13" s="50" t="s">
        <v>1585</v>
      </c>
    </row>
    <row r="14" spans="1:4" x14ac:dyDescent="0.25">
      <c r="A14" s="49"/>
      <c r="B14" s="48" t="s">
        <v>1572</v>
      </c>
      <c r="C14" s="48"/>
      <c r="D14" s="47"/>
    </row>
    <row r="15" spans="1:4" x14ac:dyDescent="0.25">
      <c r="A15" s="52" t="s">
        <v>1584</v>
      </c>
      <c r="B15" s="51">
        <v>4</v>
      </c>
      <c r="C15" s="51" t="s">
        <v>1574</v>
      </c>
      <c r="D15" s="50" t="s">
        <v>1583</v>
      </c>
    </row>
    <row r="16" spans="1:4" x14ac:dyDescent="0.25">
      <c r="A16" s="49"/>
      <c r="B16" s="48" t="s">
        <v>1572</v>
      </c>
      <c r="C16" s="48"/>
      <c r="D16" s="47"/>
    </row>
    <row r="17" spans="1:4" x14ac:dyDescent="0.25">
      <c r="A17" s="52" t="s">
        <v>1582</v>
      </c>
      <c r="B17" s="51">
        <v>4</v>
      </c>
      <c r="C17" s="51" t="s">
        <v>1574</v>
      </c>
      <c r="D17" s="50" t="s">
        <v>1581</v>
      </c>
    </row>
    <row r="18" spans="1:4" x14ac:dyDescent="0.25">
      <c r="A18" s="49"/>
      <c r="B18" s="48" t="s">
        <v>1572</v>
      </c>
      <c r="C18" s="48"/>
      <c r="D18" s="47"/>
    </row>
    <row r="19" spans="1:4" x14ac:dyDescent="0.25">
      <c r="A19" s="52" t="s">
        <v>1580</v>
      </c>
      <c r="B19" s="51">
        <v>1</v>
      </c>
      <c r="C19" s="51" t="s">
        <v>1574</v>
      </c>
      <c r="D19" s="50" t="s">
        <v>1579</v>
      </c>
    </row>
    <row r="20" spans="1:4" x14ac:dyDescent="0.25">
      <c r="A20" s="49"/>
      <c r="B20" s="48" t="s">
        <v>1572</v>
      </c>
      <c r="C20" s="48" t="s">
        <v>1571</v>
      </c>
      <c r="D20" s="47"/>
    </row>
    <row r="21" spans="1:4" x14ac:dyDescent="0.25">
      <c r="A21" s="54" t="s">
        <v>1232</v>
      </c>
      <c r="B21" s="51">
        <v>1</v>
      </c>
      <c r="C21" s="51" t="s">
        <v>1574</v>
      </c>
      <c r="D21" s="50" t="s">
        <v>1578</v>
      </c>
    </row>
    <row r="22" spans="1:4" x14ac:dyDescent="0.25">
      <c r="A22" s="53"/>
      <c r="B22" s="48" t="s">
        <v>1572</v>
      </c>
      <c r="C22" s="48" t="s">
        <v>1571</v>
      </c>
      <c r="D22" s="47"/>
    </row>
    <row r="23" spans="1:4" x14ac:dyDescent="0.25">
      <c r="A23" s="52" t="s">
        <v>1577</v>
      </c>
      <c r="B23" s="51">
        <v>1</v>
      </c>
      <c r="C23" s="51" t="s">
        <v>1574</v>
      </c>
      <c r="D23" s="50" t="s">
        <v>1576</v>
      </c>
    </row>
    <row r="24" spans="1:4" x14ac:dyDescent="0.25">
      <c r="A24" s="49"/>
      <c r="B24" s="48" t="s">
        <v>1572</v>
      </c>
      <c r="C24" s="48" t="s">
        <v>1571</v>
      </c>
      <c r="D24" s="47"/>
    </row>
    <row r="25" spans="1:4" x14ac:dyDescent="0.25">
      <c r="A25" s="52" t="s">
        <v>1575</v>
      </c>
      <c r="B25" s="51">
        <v>1</v>
      </c>
      <c r="C25" s="51" t="s">
        <v>1574</v>
      </c>
      <c r="D25" s="50" t="s">
        <v>1573</v>
      </c>
    </row>
    <row r="26" spans="1:4" x14ac:dyDescent="0.25">
      <c r="A26" s="49"/>
      <c r="B26" s="48" t="s">
        <v>1572</v>
      </c>
      <c r="C26" s="48" t="s">
        <v>1571</v>
      </c>
      <c r="D26" s="47"/>
    </row>
    <row r="31" spans="1:4" ht="18.75" x14ac:dyDescent="0.3">
      <c r="A31" s="46" t="s">
        <v>1570</v>
      </c>
    </row>
    <row r="32" spans="1:4" x14ac:dyDescent="0.25">
      <c r="A32" s="45" t="s">
        <v>1563</v>
      </c>
      <c r="B32" s="44" t="s">
        <v>1562</v>
      </c>
      <c r="C32" s="44" t="s">
        <v>1559</v>
      </c>
      <c r="D32" s="44" t="s">
        <v>4</v>
      </c>
    </row>
    <row r="33" spans="1:4" ht="45" x14ac:dyDescent="0.25">
      <c r="A33" s="43" t="s">
        <v>389</v>
      </c>
      <c r="B33" s="42" t="s">
        <v>1569</v>
      </c>
      <c r="C33" s="42"/>
      <c r="D33" s="41" t="s">
        <v>1568</v>
      </c>
    </row>
    <row r="34" spans="1:4" x14ac:dyDescent="0.25">
      <c r="A34" s="43" t="s">
        <v>1559</v>
      </c>
      <c r="B34" s="42">
        <v>2</v>
      </c>
      <c r="C34" s="42"/>
      <c r="D34" s="41" t="s">
        <v>1558</v>
      </c>
    </row>
    <row r="35" spans="1:4" x14ac:dyDescent="0.25">
      <c r="A35" s="43" t="s">
        <v>1557</v>
      </c>
      <c r="B35" s="42">
        <v>1</v>
      </c>
      <c r="C35" s="42"/>
      <c r="D35" s="41" t="s">
        <v>1556</v>
      </c>
    </row>
    <row r="36" spans="1:4" x14ac:dyDescent="0.25">
      <c r="A36" s="43" t="s">
        <v>1567</v>
      </c>
      <c r="B36" s="42" t="s">
        <v>1548</v>
      </c>
      <c r="C36" s="42"/>
      <c r="D36" s="41" t="s">
        <v>1554</v>
      </c>
    </row>
    <row r="37" spans="1:4" x14ac:dyDescent="0.25">
      <c r="A37" s="43" t="s">
        <v>1566</v>
      </c>
      <c r="B37" s="42" t="s">
        <v>1548</v>
      </c>
      <c r="C37" s="42"/>
      <c r="D37" s="41" t="s">
        <v>1565</v>
      </c>
    </row>
    <row r="38" spans="1:4" x14ac:dyDescent="0.25">
      <c r="A38" s="43" t="s">
        <v>1551</v>
      </c>
      <c r="B38" s="42">
        <v>1</v>
      </c>
      <c r="C38" s="42"/>
      <c r="D38" s="41" t="s">
        <v>1550</v>
      </c>
    </row>
    <row r="39" spans="1:4" x14ac:dyDescent="0.25">
      <c r="A39" s="43" t="s">
        <v>1549</v>
      </c>
      <c r="B39" s="42" t="s">
        <v>1548</v>
      </c>
      <c r="C39" s="42"/>
      <c r="D39" s="41" t="s">
        <v>1547</v>
      </c>
    </row>
    <row r="42" spans="1:4" ht="18.75" x14ac:dyDescent="0.3">
      <c r="A42" s="46" t="s">
        <v>1564</v>
      </c>
    </row>
    <row r="43" spans="1:4" x14ac:dyDescent="0.25">
      <c r="A43" s="45" t="s">
        <v>1563</v>
      </c>
      <c r="B43" s="44" t="s">
        <v>1562</v>
      </c>
      <c r="C43" s="44" t="s">
        <v>1559</v>
      </c>
      <c r="D43" s="44" t="s">
        <v>4</v>
      </c>
    </row>
    <row r="44" spans="1:4" x14ac:dyDescent="0.25">
      <c r="A44" s="43" t="s">
        <v>1561</v>
      </c>
      <c r="B44" s="42">
        <v>2</v>
      </c>
      <c r="C44" s="42"/>
      <c r="D44" t="s">
        <v>1560</v>
      </c>
    </row>
    <row r="45" spans="1:4" x14ac:dyDescent="0.25">
      <c r="A45" s="43" t="s">
        <v>1559</v>
      </c>
      <c r="B45" s="42">
        <v>2</v>
      </c>
      <c r="C45" s="42"/>
      <c r="D45" t="s">
        <v>1558</v>
      </c>
    </row>
    <row r="46" spans="1:4" x14ac:dyDescent="0.25">
      <c r="A46" s="43" t="s">
        <v>1557</v>
      </c>
      <c r="B46" s="42">
        <v>1</v>
      </c>
      <c r="C46" s="42"/>
      <c r="D46" s="41" t="s">
        <v>1556</v>
      </c>
    </row>
    <row r="47" spans="1:4" x14ac:dyDescent="0.25">
      <c r="A47" s="43" t="s">
        <v>1555</v>
      </c>
      <c r="B47" s="42" t="s">
        <v>1548</v>
      </c>
      <c r="C47" s="42"/>
      <c r="D47" s="41" t="s">
        <v>1554</v>
      </c>
    </row>
    <row r="48" spans="1:4" x14ac:dyDescent="0.25">
      <c r="A48" s="43" t="s">
        <v>1553</v>
      </c>
      <c r="B48" s="42">
        <v>4</v>
      </c>
      <c r="C48" s="42"/>
      <c r="D48" t="s">
        <v>1552</v>
      </c>
    </row>
    <row r="49" spans="1:4" x14ac:dyDescent="0.25">
      <c r="A49" s="43" t="s">
        <v>1551</v>
      </c>
      <c r="B49" s="42">
        <v>1</v>
      </c>
      <c r="C49" s="42"/>
      <c r="D49" s="41" t="s">
        <v>1550</v>
      </c>
    </row>
    <row r="50" spans="1:4" x14ac:dyDescent="0.25">
      <c r="A50" s="43" t="s">
        <v>1549</v>
      </c>
      <c r="B50" s="42" t="s">
        <v>1548</v>
      </c>
      <c r="C50" s="42"/>
      <c r="D50" s="41" t="s">
        <v>1547</v>
      </c>
    </row>
  </sheetData>
  <mergeCells count="20">
    <mergeCell ref="D11:D12"/>
    <mergeCell ref="D13:D14"/>
    <mergeCell ref="A6:A7"/>
    <mergeCell ref="D6:D7"/>
    <mergeCell ref="A9:A10"/>
    <mergeCell ref="D9:D10"/>
    <mergeCell ref="A11:A12"/>
    <mergeCell ref="A15:A16"/>
    <mergeCell ref="A17:A18"/>
    <mergeCell ref="D15:D16"/>
    <mergeCell ref="D17:D18"/>
    <mergeCell ref="D19:D20"/>
    <mergeCell ref="A13:A14"/>
    <mergeCell ref="D23:D24"/>
    <mergeCell ref="A25:A26"/>
    <mergeCell ref="A23:A24"/>
    <mergeCell ref="A21:A22"/>
    <mergeCell ref="A19:A20"/>
    <mergeCell ref="D25:D26"/>
    <mergeCell ref="D21:D2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5683C-1800-42D2-A3E2-06E3B5AACA2F}">
  <sheetPr>
    <tabColor theme="7" tint="0.59999389629810485"/>
  </sheetPr>
  <dimension ref="A1:I51"/>
  <sheetViews>
    <sheetView workbookViewId="0">
      <selection activeCell="N16" sqref="N16"/>
    </sheetView>
  </sheetViews>
  <sheetFormatPr defaultRowHeight="15" x14ac:dyDescent="0.25"/>
  <cols>
    <col min="1" max="1" width="9" style="57" bestFit="1" customWidth="1"/>
    <col min="2" max="2" width="12.85546875" style="57" bestFit="1" customWidth="1"/>
    <col min="3" max="3" width="2.28515625" style="57" bestFit="1" customWidth="1"/>
    <col min="4" max="4" width="11" style="57" bestFit="1" customWidth="1"/>
    <col min="5" max="5" width="9.28515625" style="57" bestFit="1" customWidth="1"/>
    <col min="6" max="6" width="11.140625" style="57" bestFit="1" customWidth="1"/>
    <col min="8" max="9" width="9.140625" style="20"/>
  </cols>
  <sheetData>
    <row r="1" spans="1:9" x14ac:dyDescent="0.25">
      <c r="H1" s="67" t="s">
        <v>1260</v>
      </c>
      <c r="I1" s="67" t="s">
        <v>1343</v>
      </c>
    </row>
    <row r="2" spans="1:9" ht="30" x14ac:dyDescent="0.25">
      <c r="A2" s="66" t="s">
        <v>1563</v>
      </c>
      <c r="B2" s="66"/>
      <c r="C2" s="65"/>
      <c r="D2" s="64" t="s">
        <v>1562</v>
      </c>
      <c r="E2" s="64" t="s">
        <v>1559</v>
      </c>
      <c r="F2" s="64" t="s">
        <v>4</v>
      </c>
      <c r="H2" s="20">
        <v>64</v>
      </c>
      <c r="I2" s="20">
        <v>128</v>
      </c>
    </row>
    <row r="3" spans="1:9" x14ac:dyDescent="0.25">
      <c r="A3" s="58" t="s">
        <v>1631</v>
      </c>
      <c r="B3" s="58"/>
      <c r="C3" s="63" t="s">
        <v>1605</v>
      </c>
      <c r="D3" s="63">
        <v>2</v>
      </c>
      <c r="E3" s="63"/>
      <c r="F3" s="63"/>
      <c r="G3" s="62"/>
      <c r="H3" s="61" t="s">
        <v>1603</v>
      </c>
      <c r="I3" s="61" t="s">
        <v>1603</v>
      </c>
    </row>
    <row r="4" spans="1:9" x14ac:dyDescent="0.25">
      <c r="A4" s="58"/>
      <c r="B4" s="58"/>
      <c r="C4" s="60" t="s">
        <v>1604</v>
      </c>
      <c r="D4" s="60">
        <v>2</v>
      </c>
      <c r="E4" s="60"/>
      <c r="F4" s="60"/>
      <c r="G4" s="4"/>
      <c r="H4" s="59"/>
      <c r="I4" s="59"/>
    </row>
    <row r="5" spans="1:9" x14ac:dyDescent="0.25">
      <c r="A5" s="58" t="s">
        <v>1630</v>
      </c>
      <c r="B5" s="58"/>
      <c r="C5" s="63" t="s">
        <v>1605</v>
      </c>
      <c r="D5" s="63">
        <v>2</v>
      </c>
      <c r="E5" s="63"/>
      <c r="F5" s="63"/>
      <c r="G5" s="62"/>
      <c r="H5" s="61" t="s">
        <v>1603</v>
      </c>
      <c r="I5" s="61" t="s">
        <v>1603</v>
      </c>
    </row>
    <row r="6" spans="1:9" x14ac:dyDescent="0.25">
      <c r="A6" s="58"/>
      <c r="B6" s="58"/>
      <c r="C6" s="60" t="s">
        <v>1604</v>
      </c>
      <c r="D6" s="60">
        <v>2</v>
      </c>
      <c r="E6" s="60"/>
      <c r="F6" s="60"/>
      <c r="G6" s="4"/>
      <c r="H6" s="59"/>
      <c r="I6" s="59"/>
    </row>
    <row r="7" spans="1:9" ht="15" customHeight="1" x14ac:dyDescent="0.25">
      <c r="A7" s="58" t="s">
        <v>1629</v>
      </c>
      <c r="B7" s="58"/>
      <c r="C7" s="63" t="s">
        <v>1605</v>
      </c>
      <c r="D7" s="63">
        <v>2</v>
      </c>
      <c r="E7" s="63"/>
      <c r="F7" s="63"/>
      <c r="G7" s="62"/>
      <c r="H7" s="61" t="s">
        <v>1603</v>
      </c>
      <c r="I7" s="61" t="s">
        <v>1603</v>
      </c>
    </row>
    <row r="8" spans="1:9" x14ac:dyDescent="0.25">
      <c r="A8" s="58"/>
      <c r="B8" s="58"/>
      <c r="C8" s="60" t="s">
        <v>1604</v>
      </c>
      <c r="D8" s="60">
        <v>2</v>
      </c>
      <c r="E8" s="60"/>
      <c r="F8" s="60"/>
      <c r="G8" s="4"/>
      <c r="H8" s="59"/>
      <c r="I8" s="59"/>
    </row>
    <row r="9" spans="1:9" ht="15" customHeight="1" x14ac:dyDescent="0.25">
      <c r="A9" s="58" t="s">
        <v>1628</v>
      </c>
      <c r="B9" s="58"/>
      <c r="C9" s="63" t="s">
        <v>1605</v>
      </c>
      <c r="D9" s="63">
        <v>2</v>
      </c>
      <c r="E9" s="63"/>
      <c r="F9" s="63"/>
      <c r="G9" s="62"/>
      <c r="H9" s="61" t="s">
        <v>1603</v>
      </c>
      <c r="I9" s="61" t="s">
        <v>1603</v>
      </c>
    </row>
    <row r="10" spans="1:9" x14ac:dyDescent="0.25">
      <c r="A10" s="58"/>
      <c r="B10" s="58"/>
      <c r="C10" s="60" t="s">
        <v>1604</v>
      </c>
      <c r="D10" s="60">
        <v>2</v>
      </c>
      <c r="E10" s="60"/>
      <c r="F10" s="60"/>
      <c r="G10" s="4"/>
      <c r="H10" s="59"/>
      <c r="I10" s="59"/>
    </row>
    <row r="11" spans="1:9" x14ac:dyDescent="0.25">
      <c r="A11" s="58" t="s">
        <v>1607</v>
      </c>
      <c r="B11" s="58"/>
      <c r="C11" s="63" t="s">
        <v>1605</v>
      </c>
      <c r="D11" s="63">
        <v>2</v>
      </c>
      <c r="E11" s="63"/>
      <c r="F11" s="63"/>
      <c r="G11" s="62"/>
      <c r="H11" s="61" t="s">
        <v>1603</v>
      </c>
      <c r="I11" s="61" t="s">
        <v>1627</v>
      </c>
    </row>
    <row r="12" spans="1:9" x14ac:dyDescent="0.25">
      <c r="A12" s="58"/>
      <c r="B12" s="58"/>
      <c r="C12" s="60" t="s">
        <v>1604</v>
      </c>
      <c r="D12" s="60">
        <v>2</v>
      </c>
      <c r="E12" s="60"/>
      <c r="F12" s="60"/>
      <c r="G12" s="4"/>
      <c r="H12" s="59"/>
      <c r="I12" s="59"/>
    </row>
    <row r="13" spans="1:9" ht="15" customHeight="1" x14ac:dyDescent="0.25">
      <c r="A13" s="58" t="s">
        <v>1606</v>
      </c>
      <c r="B13" s="58"/>
      <c r="C13" s="63" t="s">
        <v>1605</v>
      </c>
      <c r="D13" s="63">
        <v>2</v>
      </c>
      <c r="E13" s="63"/>
      <c r="F13" s="63"/>
      <c r="G13" s="62"/>
      <c r="H13" s="61" t="s">
        <v>1603</v>
      </c>
      <c r="I13" s="61" t="s">
        <v>1627</v>
      </c>
    </row>
    <row r="14" spans="1:9" x14ac:dyDescent="0.25">
      <c r="A14" s="58"/>
      <c r="B14" s="58"/>
      <c r="C14" s="60" t="s">
        <v>1604</v>
      </c>
      <c r="D14" s="60">
        <v>2</v>
      </c>
      <c r="E14" s="60"/>
      <c r="F14" s="60"/>
      <c r="G14" s="4"/>
      <c r="H14" s="59"/>
      <c r="I14" s="59"/>
    </row>
    <row r="15" spans="1:9" ht="15" customHeight="1" x14ac:dyDescent="0.25">
      <c r="A15" s="58" t="s">
        <v>1626</v>
      </c>
      <c r="B15" s="58"/>
      <c r="C15" s="58"/>
      <c r="D15" s="57">
        <v>4</v>
      </c>
      <c r="H15" s="20" t="s">
        <v>1602</v>
      </c>
      <c r="I15" s="20" t="s">
        <v>1603</v>
      </c>
    </row>
    <row r="16" spans="1:9" ht="15" customHeight="1" x14ac:dyDescent="0.25">
      <c r="A16" s="58" t="s">
        <v>1625</v>
      </c>
      <c r="B16" s="58"/>
      <c r="C16" s="58"/>
      <c r="D16" s="57">
        <v>1</v>
      </c>
      <c r="H16" s="20" t="s">
        <v>1603</v>
      </c>
      <c r="I16" s="20" t="s">
        <v>1603</v>
      </c>
    </row>
    <row r="17" spans="1:9" ht="15" customHeight="1" x14ac:dyDescent="0.25">
      <c r="A17" s="58" t="s">
        <v>1624</v>
      </c>
      <c r="B17" s="58"/>
      <c r="C17" s="58"/>
      <c r="D17" s="57">
        <v>1</v>
      </c>
      <c r="H17" s="20" t="s">
        <v>1603</v>
      </c>
      <c r="I17" s="20" t="s">
        <v>1603</v>
      </c>
    </row>
    <row r="18" spans="1:9" ht="15" customHeight="1" x14ac:dyDescent="0.25">
      <c r="A18" s="58" t="s">
        <v>1623</v>
      </c>
      <c r="B18" s="58"/>
      <c r="C18" s="58"/>
      <c r="D18" s="57">
        <v>1</v>
      </c>
      <c r="H18" s="20" t="s">
        <v>1603</v>
      </c>
      <c r="I18" s="20" t="s">
        <v>1603</v>
      </c>
    </row>
    <row r="19" spans="1:9" ht="15" customHeight="1" x14ac:dyDescent="0.25">
      <c r="A19" s="58" t="s">
        <v>1622</v>
      </c>
      <c r="B19" s="58"/>
      <c r="C19" s="58"/>
      <c r="D19" s="57">
        <v>1</v>
      </c>
      <c r="H19" s="20" t="s">
        <v>1603</v>
      </c>
      <c r="I19" s="20" t="s">
        <v>1602</v>
      </c>
    </row>
    <row r="20" spans="1:9" x14ac:dyDescent="0.25">
      <c r="A20" s="58" t="s">
        <v>1621</v>
      </c>
      <c r="B20" s="58"/>
      <c r="C20" s="58"/>
      <c r="D20" s="57">
        <v>4</v>
      </c>
      <c r="H20" s="20" t="s">
        <v>1603</v>
      </c>
      <c r="I20" s="20" t="s">
        <v>1603</v>
      </c>
    </row>
    <row r="21" spans="1:9" ht="15" customHeight="1" x14ac:dyDescent="0.25">
      <c r="A21" s="58" t="s">
        <v>1620</v>
      </c>
      <c r="B21" s="58"/>
      <c r="C21" s="58"/>
      <c r="D21" s="57">
        <v>2</v>
      </c>
      <c r="H21" s="20" t="s">
        <v>1603</v>
      </c>
      <c r="I21" s="20" t="s">
        <v>1603</v>
      </c>
    </row>
    <row r="22" spans="1:9" ht="15" customHeight="1" x14ac:dyDescent="0.25">
      <c r="A22" s="58" t="s">
        <v>1619</v>
      </c>
      <c r="B22" s="58"/>
      <c r="C22" s="58"/>
      <c r="D22" s="57">
        <v>2</v>
      </c>
      <c r="H22" s="20" t="s">
        <v>1603</v>
      </c>
      <c r="I22" s="20" t="s">
        <v>1603</v>
      </c>
    </row>
    <row r="23" spans="1:9" ht="15" customHeight="1" x14ac:dyDescent="0.25">
      <c r="A23" s="58" t="s">
        <v>1618</v>
      </c>
      <c r="B23" s="58"/>
      <c r="C23" s="58"/>
      <c r="D23" s="57">
        <v>1</v>
      </c>
      <c r="H23" s="20" t="s">
        <v>1603</v>
      </c>
      <c r="I23" s="20" t="s">
        <v>1603</v>
      </c>
    </row>
    <row r="24" spans="1:9" ht="15" customHeight="1" x14ac:dyDescent="0.25">
      <c r="A24" s="58" t="s">
        <v>1617</v>
      </c>
      <c r="B24" s="58"/>
      <c r="C24" s="58"/>
      <c r="D24" s="57">
        <v>1</v>
      </c>
      <c r="H24" s="20" t="s">
        <v>1603</v>
      </c>
      <c r="I24" s="20" t="s">
        <v>1603</v>
      </c>
    </row>
    <row r="25" spans="1:9" x14ac:dyDescent="0.25">
      <c r="A25" s="58" t="s">
        <v>1602</v>
      </c>
      <c r="B25" s="58"/>
      <c r="C25" s="58"/>
      <c r="D25" s="57">
        <v>2</v>
      </c>
      <c r="H25" s="20" t="s">
        <v>1602</v>
      </c>
      <c r="I25" s="20" t="s">
        <v>1602</v>
      </c>
    </row>
    <row r="26" spans="1:9" ht="15" customHeight="1" x14ac:dyDescent="0.25">
      <c r="A26" s="58" t="s">
        <v>1616</v>
      </c>
      <c r="B26" s="58"/>
      <c r="C26" s="58"/>
      <c r="D26" s="57">
        <v>4</v>
      </c>
      <c r="H26" s="20" t="s">
        <v>1602</v>
      </c>
      <c r="I26" s="20" t="s">
        <v>1603</v>
      </c>
    </row>
    <row r="27" spans="1:9" ht="15" customHeight="1" x14ac:dyDescent="0.25">
      <c r="A27" s="58" t="s">
        <v>1615</v>
      </c>
      <c r="B27" s="58"/>
      <c r="C27" s="58"/>
      <c r="D27" s="57">
        <v>1</v>
      </c>
      <c r="H27" s="20" t="s">
        <v>1602</v>
      </c>
      <c r="I27" s="20" t="s">
        <v>1603</v>
      </c>
    </row>
    <row r="28" spans="1:9" x14ac:dyDescent="0.25">
      <c r="A28" s="58" t="s">
        <v>1602</v>
      </c>
      <c r="B28" s="58"/>
      <c r="C28" s="58"/>
      <c r="D28" s="57">
        <v>1</v>
      </c>
      <c r="H28" s="20" t="s">
        <v>1602</v>
      </c>
      <c r="I28" s="20" t="s">
        <v>1602</v>
      </c>
    </row>
    <row r="29" spans="1:9" x14ac:dyDescent="0.25">
      <c r="A29" s="58" t="s">
        <v>1614</v>
      </c>
      <c r="B29" s="58"/>
      <c r="C29" s="58"/>
      <c r="D29" s="57">
        <v>1</v>
      </c>
      <c r="H29" s="20" t="s">
        <v>1602</v>
      </c>
      <c r="I29" s="20" t="s">
        <v>1603</v>
      </c>
    </row>
    <row r="30" spans="1:9" x14ac:dyDescent="0.25">
      <c r="A30" s="58" t="s">
        <v>1613</v>
      </c>
      <c r="B30" s="58"/>
      <c r="C30" s="58"/>
      <c r="D30" s="57">
        <v>1</v>
      </c>
      <c r="H30" s="20" t="s">
        <v>1602</v>
      </c>
      <c r="I30" s="20" t="s">
        <v>1603</v>
      </c>
    </row>
    <row r="31" spans="1:9" x14ac:dyDescent="0.25">
      <c r="A31" s="58" t="s">
        <v>1612</v>
      </c>
      <c r="B31" s="58" t="s">
        <v>1607</v>
      </c>
      <c r="C31" s="57" t="s">
        <v>1605</v>
      </c>
      <c r="D31" s="57">
        <v>2</v>
      </c>
      <c r="H31" s="20" t="s">
        <v>1602</v>
      </c>
      <c r="I31" s="20" t="s">
        <v>1603</v>
      </c>
    </row>
    <row r="32" spans="1:9" x14ac:dyDescent="0.25">
      <c r="A32" s="58"/>
      <c r="B32" s="58"/>
      <c r="C32" s="57" t="s">
        <v>1604</v>
      </c>
      <c r="D32" s="57">
        <v>2</v>
      </c>
      <c r="H32" s="20" t="s">
        <v>1602</v>
      </c>
      <c r="I32" s="20" t="s">
        <v>1603</v>
      </c>
    </row>
    <row r="33" spans="1:9" x14ac:dyDescent="0.25">
      <c r="A33" s="58"/>
      <c r="B33" s="58" t="s">
        <v>1606</v>
      </c>
      <c r="C33" s="57" t="s">
        <v>1605</v>
      </c>
      <c r="D33" s="57">
        <v>2</v>
      </c>
      <c r="H33" s="20" t="s">
        <v>1602</v>
      </c>
      <c r="I33" s="20" t="s">
        <v>1603</v>
      </c>
    </row>
    <row r="34" spans="1:9" x14ac:dyDescent="0.25">
      <c r="A34" s="58"/>
      <c r="B34" s="58"/>
      <c r="C34" s="57" t="s">
        <v>1604</v>
      </c>
      <c r="D34" s="57">
        <v>2</v>
      </c>
      <c r="H34" s="20" t="s">
        <v>1602</v>
      </c>
      <c r="I34" s="20" t="s">
        <v>1603</v>
      </c>
    </row>
    <row r="35" spans="1:9" x14ac:dyDescent="0.25">
      <c r="A35" s="58" t="s">
        <v>1611</v>
      </c>
      <c r="B35" s="58" t="s">
        <v>1607</v>
      </c>
      <c r="C35" s="57" t="s">
        <v>1605</v>
      </c>
      <c r="D35" s="57">
        <v>2</v>
      </c>
      <c r="H35" s="20" t="s">
        <v>1602</v>
      </c>
      <c r="I35" s="20" t="s">
        <v>1603</v>
      </c>
    </row>
    <row r="36" spans="1:9" x14ac:dyDescent="0.25">
      <c r="A36" s="58"/>
      <c r="B36" s="58"/>
      <c r="C36" s="57" t="s">
        <v>1604</v>
      </c>
      <c r="D36" s="57">
        <v>2</v>
      </c>
      <c r="H36" s="20" t="s">
        <v>1602</v>
      </c>
      <c r="I36" s="20" t="s">
        <v>1603</v>
      </c>
    </row>
    <row r="37" spans="1:9" x14ac:dyDescent="0.25">
      <c r="A37" s="58"/>
      <c r="B37" s="58" t="s">
        <v>1606</v>
      </c>
      <c r="C37" s="57" t="s">
        <v>1605</v>
      </c>
      <c r="D37" s="57">
        <v>2</v>
      </c>
      <c r="I37" s="20" t="s">
        <v>1603</v>
      </c>
    </row>
    <row r="38" spans="1:9" x14ac:dyDescent="0.25">
      <c r="A38" s="58"/>
      <c r="B38" s="58"/>
      <c r="C38" s="57" t="s">
        <v>1604</v>
      </c>
      <c r="D38" s="57">
        <v>2</v>
      </c>
      <c r="I38" s="20" t="s">
        <v>1603</v>
      </c>
    </row>
    <row r="39" spans="1:9" x14ac:dyDescent="0.25">
      <c r="A39" s="58" t="s">
        <v>1610</v>
      </c>
      <c r="B39" s="58" t="s">
        <v>1607</v>
      </c>
      <c r="C39" s="57" t="s">
        <v>1605</v>
      </c>
      <c r="D39" s="57">
        <v>2</v>
      </c>
      <c r="I39" s="20" t="s">
        <v>1603</v>
      </c>
    </row>
    <row r="40" spans="1:9" x14ac:dyDescent="0.25">
      <c r="A40" s="58"/>
      <c r="B40" s="58"/>
      <c r="C40" s="57" t="s">
        <v>1604</v>
      </c>
      <c r="D40" s="57">
        <v>2</v>
      </c>
      <c r="I40" s="20" t="s">
        <v>1603</v>
      </c>
    </row>
    <row r="41" spans="1:9" x14ac:dyDescent="0.25">
      <c r="A41" s="58"/>
      <c r="B41" s="58" t="s">
        <v>1606</v>
      </c>
      <c r="C41" s="57" t="s">
        <v>1605</v>
      </c>
      <c r="D41" s="57">
        <v>2</v>
      </c>
      <c r="I41" s="20" t="s">
        <v>1603</v>
      </c>
    </row>
    <row r="42" spans="1:9" x14ac:dyDescent="0.25">
      <c r="A42" s="58"/>
      <c r="B42" s="58"/>
      <c r="C42" s="57" t="s">
        <v>1604</v>
      </c>
      <c r="D42" s="57">
        <v>2</v>
      </c>
      <c r="I42" s="20" t="s">
        <v>1603</v>
      </c>
    </row>
    <row r="43" spans="1:9" x14ac:dyDescent="0.25">
      <c r="A43" s="58" t="s">
        <v>1609</v>
      </c>
      <c r="B43" s="58" t="s">
        <v>1607</v>
      </c>
      <c r="C43" s="57" t="s">
        <v>1605</v>
      </c>
      <c r="D43" s="57">
        <v>2</v>
      </c>
      <c r="I43" s="20" t="s">
        <v>1603</v>
      </c>
    </row>
    <row r="44" spans="1:9" x14ac:dyDescent="0.25">
      <c r="A44" s="58"/>
      <c r="B44" s="58"/>
      <c r="C44" s="57" t="s">
        <v>1604</v>
      </c>
      <c r="D44" s="57">
        <v>2</v>
      </c>
      <c r="I44" s="20" t="s">
        <v>1603</v>
      </c>
    </row>
    <row r="45" spans="1:9" x14ac:dyDescent="0.25">
      <c r="A45" s="58"/>
      <c r="B45" s="58" t="s">
        <v>1606</v>
      </c>
      <c r="C45" s="57" t="s">
        <v>1605</v>
      </c>
      <c r="D45" s="57">
        <v>2</v>
      </c>
      <c r="I45" s="20" t="s">
        <v>1603</v>
      </c>
    </row>
    <row r="46" spans="1:9" x14ac:dyDescent="0.25">
      <c r="A46" s="58"/>
      <c r="B46" s="58"/>
      <c r="C46" s="57" t="s">
        <v>1604</v>
      </c>
      <c r="D46" s="57">
        <v>2</v>
      </c>
      <c r="I46" s="20" t="s">
        <v>1603</v>
      </c>
    </row>
    <row r="47" spans="1:9" x14ac:dyDescent="0.25">
      <c r="A47" s="58" t="s">
        <v>1608</v>
      </c>
      <c r="B47" s="58" t="s">
        <v>1607</v>
      </c>
      <c r="C47" s="57" t="s">
        <v>1605</v>
      </c>
      <c r="D47" s="57">
        <v>2</v>
      </c>
      <c r="I47" s="20" t="s">
        <v>1603</v>
      </c>
    </row>
    <row r="48" spans="1:9" x14ac:dyDescent="0.25">
      <c r="A48" s="58"/>
      <c r="B48" s="58"/>
      <c r="C48" s="57" t="s">
        <v>1604</v>
      </c>
      <c r="D48" s="57">
        <v>2</v>
      </c>
      <c r="I48" s="20" t="s">
        <v>1603</v>
      </c>
    </row>
    <row r="49" spans="1:9" x14ac:dyDescent="0.25">
      <c r="A49" s="58"/>
      <c r="B49" s="58" t="s">
        <v>1606</v>
      </c>
      <c r="C49" s="57" t="s">
        <v>1605</v>
      </c>
      <c r="D49" s="57">
        <v>2</v>
      </c>
      <c r="I49" s="20" t="s">
        <v>1603</v>
      </c>
    </row>
    <row r="50" spans="1:9" x14ac:dyDescent="0.25">
      <c r="A50" s="58"/>
      <c r="B50" s="58"/>
      <c r="C50" s="57" t="s">
        <v>1604</v>
      </c>
      <c r="D50" s="57">
        <v>2</v>
      </c>
      <c r="I50" s="20" t="s">
        <v>1603</v>
      </c>
    </row>
    <row r="51" spans="1:9" x14ac:dyDescent="0.25">
      <c r="A51" s="58" t="s">
        <v>1602</v>
      </c>
      <c r="B51" s="58"/>
      <c r="C51" s="58"/>
      <c r="D51" s="57">
        <v>36</v>
      </c>
      <c r="I51" s="20" t="s">
        <v>1602</v>
      </c>
    </row>
  </sheetData>
  <mergeCells count="51">
    <mergeCell ref="I9:I10"/>
    <mergeCell ref="I11:I12"/>
    <mergeCell ref="I3:I4"/>
    <mergeCell ref="I5:I6"/>
    <mergeCell ref="H3:H4"/>
    <mergeCell ref="H5:H6"/>
    <mergeCell ref="H7:H8"/>
    <mergeCell ref="I13:I14"/>
    <mergeCell ref="A13:B14"/>
    <mergeCell ref="H13:H14"/>
    <mergeCell ref="H9:H10"/>
    <mergeCell ref="H11:H12"/>
    <mergeCell ref="A11:B12"/>
    <mergeCell ref="I7:I8"/>
    <mergeCell ref="A28:C28"/>
    <mergeCell ref="A30:C30"/>
    <mergeCell ref="A2:C2"/>
    <mergeCell ref="A3:B4"/>
    <mergeCell ref="A5:B6"/>
    <mergeCell ref="A7:B8"/>
    <mergeCell ref="A9:B10"/>
    <mergeCell ref="A21:C21"/>
    <mergeCell ref="A22:C22"/>
    <mergeCell ref="A31:A34"/>
    <mergeCell ref="B31:B32"/>
    <mergeCell ref="B33:B34"/>
    <mergeCell ref="A23:C23"/>
    <mergeCell ref="A24:C24"/>
    <mergeCell ref="A25:C25"/>
    <mergeCell ref="A26:C26"/>
    <mergeCell ref="A27:C27"/>
    <mergeCell ref="A15:C15"/>
    <mergeCell ref="A16:C16"/>
    <mergeCell ref="A17:C17"/>
    <mergeCell ref="A18:C18"/>
    <mergeCell ref="A19:C19"/>
    <mergeCell ref="A20:C20"/>
    <mergeCell ref="A35:A38"/>
    <mergeCell ref="B35:B36"/>
    <mergeCell ref="B37:B38"/>
    <mergeCell ref="A29:C29"/>
    <mergeCell ref="A47:A50"/>
    <mergeCell ref="B47:B48"/>
    <mergeCell ref="B49:B50"/>
    <mergeCell ref="A51:C51"/>
    <mergeCell ref="A39:A42"/>
    <mergeCell ref="B39:B40"/>
    <mergeCell ref="B41:B42"/>
    <mergeCell ref="A43:A46"/>
    <mergeCell ref="B43:B44"/>
    <mergeCell ref="B45:B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Camera (NINA)</vt:lpstr>
      <vt:lpstr>Cameras (MTP)</vt:lpstr>
      <vt:lpstr>Enums</vt:lpstr>
      <vt:lpstr>OperationCode</vt:lpstr>
      <vt:lpstr>ResponseCode</vt:lpstr>
      <vt:lpstr>EventCode</vt:lpstr>
      <vt:lpstr>DevicePropCode</vt:lpstr>
      <vt:lpstr>ObjectPropCode</vt:lpstr>
      <vt:lpstr>SBAttributeCode</vt:lpstr>
      <vt:lpstr>Struct</vt:lpstr>
      <vt:lpstr>DataSet</vt:lpstr>
      <vt:lpstr>LiveViewDataSet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Alias</dc:creator>
  <cp:lastModifiedBy>Lucas Alias</cp:lastModifiedBy>
  <dcterms:created xsi:type="dcterms:W3CDTF">2026-02-22T14:09:43Z</dcterms:created>
  <dcterms:modified xsi:type="dcterms:W3CDTF">2026-02-22T20:49:53Z</dcterms:modified>
</cp:coreProperties>
</file>